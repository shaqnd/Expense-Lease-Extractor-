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Sales Comparables" sheetId="7" state="visible" r:id="rId7"/>
    <sheet xmlns:r="http://schemas.openxmlformats.org/officeDocument/2006/relationships" name="Related Parcel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$#,##0;($#,##0);-"/>
    <numFmt numFmtId="166" formatCode="$#,##0.00"/>
    <numFmt numFmtId="167" formatCode="$#,##0.00;($#,##0.0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2026-07-30  |  8 subject properties, all Adams County, Colorado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 + sale comps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+ market sales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6" ht="26" customHeight="1">
      <c r="A16" s="7" t="inlineStr">
        <is>
          <t>Notes: Figures transcribed from the source documents. Total / net / average cells are live formulas (SUM/AVERAGE) verified against the printed totals; they populate on open in Excel/Sheets.</t>
        </is>
      </c>
    </row>
    <row r="17" ht="26" customHeight="1">
      <c r="A17" s="7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</row>
    <row r="18" ht="26" customHeight="1">
      <c r="A18" s="7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</row>
  </sheetData>
  <mergeCells count="5">
    <mergeCell ref="A2:F2"/>
    <mergeCell ref="A16:F16"/>
    <mergeCell ref="A1:F1"/>
    <mergeCell ref="A17:F17"/>
    <mergeCell ref="A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</row>
  </sheetData>
  <mergeCells count="2">
    <mergeCell ref="A2:Y2"/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40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Marion) and proforma lease assumptions (tax appeals)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</sheetData>
  <mergeCells count="5">
    <mergeCell ref="A1:M1"/>
    <mergeCell ref="A5:M5"/>
    <mergeCell ref="A18:M18"/>
    <mergeCell ref="A21:M21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2" ht="28" customHeight="1">
      <c r="A12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</t>
        </is>
      </c>
      <c r="B12" s="20" t="n"/>
      <c r="C12" s="20" t="n"/>
      <c r="D12" s="20" t="n"/>
      <c r="E12" s="20" t="n"/>
      <c r="F12" s="20" t="n"/>
      <c r="G12" s="20" t="n"/>
      <c r="H12" s="21" t="n"/>
    </row>
    <row r="14">
      <c r="A14" s="17" t="inlineStr">
        <is>
          <t>B. Income-Approach Proformas</t>
        </is>
      </c>
      <c r="B14" s="20" t="n"/>
      <c r="C14" s="20" t="n"/>
      <c r="D14" s="20" t="n"/>
      <c r="E14" s="20" t="n"/>
      <c r="F14" s="20" t="n"/>
      <c r="G14" s="20" t="n"/>
      <c r="H14" s="21" t="n"/>
    </row>
    <row r="15" ht="30" customHeight="1">
      <c r="A15" s="4" t="inlineStr">
        <is>
          <t>Property</t>
        </is>
      </c>
      <c r="B15" s="4" t="inlineStr">
        <is>
          <t>PGI</t>
        </is>
      </c>
      <c r="C15" s="4" t="inlineStr">
        <is>
          <t>Vacancy</t>
        </is>
      </c>
      <c r="D15" s="4" t="inlineStr">
        <is>
          <t>EGI</t>
        </is>
      </c>
      <c r="E15" s="4" t="inlineStr">
        <is>
          <t>Operating Exp</t>
        </is>
      </c>
      <c r="F15" s="4" t="inlineStr">
        <is>
          <t>NOI</t>
        </is>
      </c>
      <c r="G15" s="4" t="inlineStr">
        <is>
          <t>Cap Rate</t>
        </is>
      </c>
      <c r="H15" s="4" t="inlineStr">
        <is>
          <t>Indicated Value</t>
        </is>
      </c>
    </row>
    <row r="16">
      <c r="A16" s="6" t="inlineStr">
        <is>
          <t>7205 Gilpin Way</t>
        </is>
      </c>
      <c r="B16" s="9" t="n">
        <v>359394</v>
      </c>
      <c r="C16" s="9" t="n">
        <v>-17970</v>
      </c>
      <c r="D16" s="9" t="n">
        <v>341424</v>
      </c>
      <c r="E16" s="9" t="n">
        <v>-27314</v>
      </c>
      <c r="F16" s="14" t="n">
        <v>314110</v>
      </c>
      <c r="G16" s="19" t="n">
        <v>0.065</v>
      </c>
      <c r="H16" s="14" t="n">
        <v>4832500</v>
      </c>
    </row>
    <row r="17">
      <c r="A17" s="6" t="inlineStr">
        <is>
          <t>17608 E. 24th Dr</t>
        </is>
      </c>
      <c r="B17" s="9" t="n">
        <v>209100</v>
      </c>
      <c r="C17" s="9" t="n">
        <v>-10455</v>
      </c>
      <c r="D17" s="9" t="n">
        <v>198645</v>
      </c>
      <c r="E17" s="9" t="n">
        <v>-15892</v>
      </c>
      <c r="F17" s="14" t="n">
        <v>182753</v>
      </c>
      <c r="G17" s="19" t="n">
        <v>0.06</v>
      </c>
      <c r="H17" s="14" t="n">
        <v>3050000</v>
      </c>
    </row>
    <row r="18">
      <c r="A18" s="6" t="inlineStr">
        <is>
          <t>12260 Pennsylvania St</t>
        </is>
      </c>
      <c r="B18" s="9" t="n">
        <v>237290</v>
      </c>
      <c r="C18" s="9" t="n">
        <v>-16610</v>
      </c>
      <c r="D18" s="9" t="n">
        <v>220680</v>
      </c>
      <c r="E18" s="9" t="n">
        <v>-22068</v>
      </c>
      <c r="F18" s="14" t="n">
        <v>198612</v>
      </c>
      <c r="G18" s="19" t="n">
        <v>0.07000000000000001</v>
      </c>
      <c r="H18" s="14" t="n">
        <v>2837000</v>
      </c>
    </row>
    <row r="19">
      <c r="A19" s="6" t="inlineStr">
        <is>
          <t>6770 E. 56th Ave</t>
        </is>
      </c>
      <c r="B19" s="9" t="n">
        <v>115824</v>
      </c>
      <c r="C19" s="9" t="n">
        <v>-5791</v>
      </c>
      <c r="D19" s="9" t="n">
        <v>110033</v>
      </c>
      <c r="E19" s="9" t="n">
        <v>-5502</v>
      </c>
      <c r="F19" s="14" t="n">
        <v>104531</v>
      </c>
      <c r="G19" s="19" t="n">
        <v>0.07000000000000001</v>
      </c>
      <c r="H19" s="14" t="n">
        <v>1493302</v>
      </c>
    </row>
    <row r="20">
      <c r="A20" s="6" t="inlineStr">
        <is>
          <t>5970 Marion Drive (mkt)</t>
        </is>
      </c>
      <c r="B20" s="9" t="n">
        <v>172800</v>
      </c>
      <c r="C20" s="9" t="n">
        <v>-8640</v>
      </c>
      <c r="D20" s="9" t="n">
        <v>164160</v>
      </c>
      <c r="E20" s="9" t="n">
        <v>-4223</v>
      </c>
      <c r="F20" s="14" t="n">
        <v>159937</v>
      </c>
      <c r="G20" s="19" t="n">
        <v>0.065</v>
      </c>
      <c r="H20" s="14" t="n">
        <v>2460577</v>
      </c>
    </row>
    <row r="22" ht="28" customHeight="1">
      <c r="A22" s="18" t="inlineStr">
        <is>
          <t>Proforma vacancy/EGI figures as reported by each preparer (Ryan, Property Tax Advisors, or owner's analysis). 5970 Marion figures are from the owner's income-approach block in the 2024 P&amp;L workbook (PGI $172,800, 95% occ, NOI $159,938, 6.5% cap → $2,460,577; assigned $2,527,915).</t>
        </is>
      </c>
      <c r="B22" s="20" t="n"/>
      <c r="C22" s="20" t="n"/>
      <c r="D22" s="20" t="n"/>
      <c r="E22" s="20" t="n"/>
      <c r="F22" s="20" t="n"/>
      <c r="G22" s="20" t="n"/>
      <c r="H22" s="21" t="n"/>
    </row>
  </sheetData>
  <mergeCells count="6">
    <mergeCell ref="A12:H12"/>
    <mergeCell ref="A4:H4"/>
    <mergeCell ref="A2:H2"/>
    <mergeCell ref="A14:H14"/>
    <mergeCell ref="A1:H1"/>
    <mergeCell ref="A22: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</row>
    <row r="10" ht="28" customHeight="1">
      <c r="A10" s="18" t="inlineStr">
        <is>
          <t>Net = Total Income − Total Expense as printed. Bases differ: 5970 Marion &amp; Broadview totals include financing/depreciation, so they are cash-flow / tax figures, not NOI. TempTee reported operating expenses only. See 'Assessments &amp; Valuation' tab for stabilized NOI proformas.</t>
        </is>
      </c>
    </row>
  </sheetData>
  <mergeCells count="3">
    <mergeCell ref="A2:E2"/>
    <mergeCell ref="A1:E1"/>
    <mergeCell ref="A10:E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24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0" customWidth="1" min="9" max="9"/>
  </cols>
  <sheetData>
    <row r="1" ht="26" customHeight="1">
      <c r="A1" s="1" t="inlineStr">
        <is>
          <t>SALES COMPARABLES</t>
        </is>
      </c>
    </row>
    <row r="2" ht="14" customHeight="1">
      <c r="A2" s="2" t="inlineStr">
        <is>
          <t>Warehouse sale comps supporting the R0169133 (17608 E. 24th Dr) appraisal — CoStar / Ryan LLC</t>
        </is>
      </c>
    </row>
    <row r="4" ht="28" customHeight="1">
      <c r="A4" s="4" t="inlineStr">
        <is>
          <t>#</t>
        </is>
      </c>
      <c r="B4" s="4" t="inlineStr">
        <is>
          <t>Address</t>
        </is>
      </c>
      <c r="C4" s="4" t="inlineStr">
        <is>
          <t>City, ST ZIP</t>
        </is>
      </c>
      <c r="D4" s="4" t="inlineStr">
        <is>
          <t>Type</t>
        </is>
      </c>
      <c r="E4" s="4" t="inlineStr">
        <is>
          <t>Year Built</t>
        </is>
      </c>
      <c r="F4" s="4" t="inlineStr">
        <is>
          <t>Building SF</t>
        </is>
      </c>
      <c r="G4" s="4" t="inlineStr">
        <is>
          <t>Sale Date</t>
        </is>
      </c>
      <c r="H4" s="4" t="inlineStr">
        <is>
          <t>Sale Price</t>
        </is>
      </c>
      <c r="I4" s="4" t="inlineStr">
        <is>
          <t>Price PSF</t>
        </is>
      </c>
    </row>
    <row r="5">
      <c r="A5" s="5" t="n">
        <v>1</v>
      </c>
      <c r="B5" s="6" t="inlineStr">
        <is>
          <t>8495 Roslyn St</t>
        </is>
      </c>
      <c r="C5" s="6" t="inlineStr">
        <is>
          <t>Commerce City, CO 80022</t>
        </is>
      </c>
      <c r="D5" s="5" t="inlineStr">
        <is>
          <t>Warehouse</t>
        </is>
      </c>
      <c r="E5" s="5" t="n">
        <v>1987</v>
      </c>
      <c r="F5" s="29" t="n">
        <v>15100</v>
      </c>
      <c r="G5" s="5" t="inlineStr">
        <is>
          <t>3/25/2024</t>
        </is>
      </c>
      <c r="H5" s="9" t="n">
        <v>2500000</v>
      </c>
      <c r="I5" s="16" t="n">
        <v>165.56</v>
      </c>
    </row>
    <row r="6">
      <c r="A6" s="5" t="n">
        <v>2</v>
      </c>
      <c r="B6" s="6" t="inlineStr">
        <is>
          <t>11900 E 33rd Ave</t>
        </is>
      </c>
      <c r="C6" s="6" t="inlineStr">
        <is>
          <t>Aurora, CO 80010</t>
        </is>
      </c>
      <c r="D6" s="5" t="inlineStr">
        <is>
          <t>Warehouse</t>
        </is>
      </c>
      <c r="E6" s="5" t="n">
        <v>1996</v>
      </c>
      <c r="F6" s="29" t="n">
        <v>39655</v>
      </c>
      <c r="G6" s="5" t="inlineStr">
        <is>
          <t>1/23/2024</t>
        </is>
      </c>
      <c r="H6" s="9" t="n">
        <v>6700000</v>
      </c>
      <c r="I6" s="16" t="n">
        <v>168.96</v>
      </c>
    </row>
    <row r="7">
      <c r="A7" s="5" t="n">
        <v>3</v>
      </c>
      <c r="B7" s="6" t="inlineStr">
        <is>
          <t>6270 E 50th Ave</t>
        </is>
      </c>
      <c r="C7" s="6" t="inlineStr">
        <is>
          <t>Commerce City, CO 80022</t>
        </is>
      </c>
      <c r="D7" s="5" t="inlineStr">
        <is>
          <t>Warehouse</t>
        </is>
      </c>
      <c r="E7" s="5" t="n">
        <v>1996</v>
      </c>
      <c r="F7" s="29" t="n">
        <v>35441</v>
      </c>
      <c r="G7" s="5" t="inlineStr">
        <is>
          <t>11/6/2023</t>
        </is>
      </c>
      <c r="H7" s="9" t="n">
        <v>3775000</v>
      </c>
      <c r="I7" s="16" t="n">
        <v>106.52</v>
      </c>
    </row>
    <row r="8">
      <c r="A8" s="5" t="n">
        <v>4</v>
      </c>
      <c r="B8" s="6" t="inlineStr">
        <is>
          <t>7001 E 57th Pl</t>
        </is>
      </c>
      <c r="C8" s="6" t="inlineStr">
        <is>
          <t>Commerce City, CO 80022</t>
        </is>
      </c>
      <c r="D8" s="5" t="inlineStr">
        <is>
          <t>Warehouse</t>
        </is>
      </c>
      <c r="E8" s="5" t="n">
        <v>1982</v>
      </c>
      <c r="F8" s="29" t="n">
        <v>22000</v>
      </c>
      <c r="G8" s="5" t="inlineStr">
        <is>
          <t>9/20/2022</t>
        </is>
      </c>
      <c r="H8" s="9" t="n">
        <v>3685000</v>
      </c>
      <c r="I8" s="16" t="n">
        <v>167.5</v>
      </c>
    </row>
    <row r="9">
      <c r="A9" s="13" t="inlineStr"/>
      <c r="B9" s="12" t="inlineStr">
        <is>
          <t>Average</t>
        </is>
      </c>
      <c r="C9" s="13" t="inlineStr"/>
      <c r="D9" s="13" t="inlineStr"/>
      <c r="E9" s="13" t="inlineStr"/>
      <c r="F9" s="30">
        <f>AVERAGE(F5:F8)</f>
        <v/>
      </c>
      <c r="G9" s="13" t="inlineStr"/>
      <c r="H9" s="14">
        <f>AVERAGE(H5:H8)</f>
        <v/>
      </c>
      <c r="I9" s="31">
        <f>AVERAGE(I5:I8)</f>
        <v/>
      </c>
    </row>
    <row r="11" ht="28" customHeight="1">
      <c r="A11" s="18" t="inlineStr">
        <is>
          <t>Source: CoStar (©2025), included in the R0169133 package. Other appeal files also contain comps: R0092302 &amp; 5650 Washington St include CoStar sale/rent comps; R0024442 &amp; R0178308 include CoStar rent/sale sheets — not itemized here (supporting market data).</t>
        </is>
      </c>
    </row>
  </sheetData>
  <mergeCells count="3">
    <mergeCell ref="A1:I1"/>
    <mergeCell ref="A2:I2"/>
    <mergeCell ref="A11:I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North Side Gardens LLC portfolio — parcel schedule attached to the 7205 Gilpin Way (R0178308) appeal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10" ht="28" customHeight="1">
      <c r="A10" s="18" t="inlineStr">
        <is>
          <t>Highlighted row (R0178308 / 7205 Gilpin Way) is the primary appeal subject; the other three parcels are co-listed on the same authorization schedule. Appeal owner of record: Center Land Properties (signed by Ken R. Lombardi, Manager).</t>
        </is>
      </c>
    </row>
  </sheetData>
  <mergeCells count="3">
    <mergeCell ref="A2:E2"/>
    <mergeCell ref="A1:E1"/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2026-07-30T22:58:34Z</dcterms:modified>
</cp:coreProperties>
</file>