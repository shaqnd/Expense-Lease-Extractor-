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perty Registry" sheetId="1" state="visible" r:id="rId1"/>
    <sheet name="Expenses - Annual" sheetId="2" state="visible" r:id="rId2"/>
    <sheet name="Expenses - Per SF" sheetId="3" state="visible" r:id="rId3"/>
  </sheets>
  <definedNames>
    <definedName name="_xlnm._FilterDatabase" localSheetId="0" hidden="1">'Property Registry'!$A$4:$Q$33</definedName>
    <definedName name="_xlnm._FilterDatabase" localSheetId="1" hidden="1">'Expenses - Annual'!$A$4:$I$163</definedName>
    <definedName name="_xlnm._FilterDatabase" localSheetId="2" hidden="1">'Expenses - Per SF'!$A$4:$I$163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&quot;-&quot;"/>
    <numFmt numFmtId="165" formatCode="$#,##0;($#,##0);&quot;-&quot;"/>
    <numFmt numFmtId="166" formatCode="$#,##0.00;($#,##0.00);&quot;-&quot;"/>
  </numFmts>
  <fonts count="6">
    <font>
      <name val="Calibri"/>
      <family val="2"/>
      <color theme="1"/>
      <sz val="11"/>
      <scheme val="minor"/>
    </font>
    <font>
      <name val="Arial"/>
      <b val="1"/>
      <color rgb="FFFFFFFF"/>
      <sz val="14"/>
    </font>
    <font>
      <name val="Arial"/>
      <i val="1"/>
      <color rgb="FFD9E1F2"/>
      <sz val="10"/>
    </font>
    <font>
      <name val="Arial"/>
      <b val="1"/>
      <color rgb="FFFFFFFF"/>
      <sz val="11"/>
    </font>
    <font>
      <name val="Arial"/>
      <sz val="10"/>
    </font>
    <font>
      <name val="Arial"/>
      <color rgb="FF0000FF"/>
      <sz val="10"/>
    </font>
  </fonts>
  <fills count="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5496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vertical="center" wrapText="1"/>
    </xf>
    <xf numFmtId="0" fontId="4" fillId="0" borderId="1" pivotButton="0" quotePrefix="0" xfId="0"/>
    <xf numFmtId="164" fontId="5" fillId="0" borderId="1" pivotButton="0" quotePrefix="0" xfId="0"/>
    <xf numFmtId="165" fontId="4" fillId="0" borderId="1" pivotButton="0" quotePrefix="0" xfId="0"/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right"/>
    </xf>
    <xf numFmtId="165" fontId="5" fillId="0" borderId="1" pivotButton="0" quotePrefix="0" xfId="0"/>
    <xf numFmtId="0" fontId="4" fillId="0" borderId="1" applyAlignment="1" pivotButton="0" quotePrefix="0" xfId="0">
      <alignment wrapText="1"/>
    </xf>
    <xf numFmtId="166" fontId="4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24" customWidth="1" min="3" max="3"/>
    <col width="12" customWidth="1" min="4" max="4"/>
    <col width="5" customWidth="1" min="5" max="5"/>
    <col width="10" customWidth="1" min="6" max="6"/>
    <col width="11" customWidth="1" min="7" max="7"/>
    <col width="32" customWidth="1" min="8" max="8"/>
    <col width="15" customWidth="1" min="9" max="9"/>
    <col width="12" customWidth="1" min="10" max="10"/>
    <col width="10" customWidth="1" min="11" max="11"/>
    <col width="20" customWidth="1" min="12" max="12"/>
    <col width="26" customWidth="1" min="13" max="13"/>
    <col width="11" customWidth="1" min="14" max="14"/>
    <col width="16" customWidth="1" min="15" max="15"/>
    <col width="13" customWidth="1" min="16" max="16"/>
    <col width="24" customWidth="1" min="17" max="17"/>
  </cols>
  <sheetData>
    <row r="1">
      <c r="A1" s="1" t="inlineStr">
        <is>
          <t>PROPERTY REGISTRY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One row per subject property. Sorted by OCCC Code, then Building Size (largest first). Filter/sort by OCCC Code + Building Size to find comparable properties.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4">
      <c r="A4" s="4" t="inlineStr">
        <is>
          <t>Property ID</t>
        </is>
      </c>
      <c r="B4" s="4" t="inlineStr">
        <is>
          <t>Property Name</t>
        </is>
      </c>
      <c r="C4" s="4" t="inlineStr">
        <is>
          <t>Address</t>
        </is>
      </c>
      <c r="D4" s="4" t="inlineStr">
        <is>
          <t>City</t>
        </is>
      </c>
      <c r="E4" s="4" t="inlineStr">
        <is>
          <t>ST</t>
        </is>
      </c>
      <c r="F4" s="4" t="inlineStr">
        <is>
          <t>County</t>
        </is>
      </c>
      <c r="G4" s="4" t="inlineStr">
        <is>
          <t>OCCC Code</t>
        </is>
      </c>
      <c r="H4" s="4" t="inlineStr">
        <is>
          <t>Property Type / Use</t>
        </is>
      </c>
      <c r="I4" s="4" t="inlineStr">
        <is>
          <t>Building Size (SF)</t>
        </is>
      </c>
      <c r="J4" s="4" t="inlineStr">
        <is>
          <t>Size Source</t>
        </is>
      </c>
      <c r="K4" s="4" t="inlineStr">
        <is>
          <t>Year Built</t>
        </is>
      </c>
      <c r="L4" s="4" t="inlineStr">
        <is>
          <t>Tenancy</t>
        </is>
      </c>
      <c r="M4" s="4" t="inlineStr">
        <is>
          <t>Owner / Client</t>
        </is>
      </c>
      <c r="N4" s="4" t="inlineStr">
        <is>
          <t>Assessment Yr</t>
        </is>
      </c>
      <c r="O4" s="4" t="inlineStr">
        <is>
          <t>Latest Assessor Value</t>
        </is>
      </c>
      <c r="P4" s="4" t="inlineStr">
        <is>
          <t>Has Expense Data</t>
        </is>
      </c>
      <c r="Q4" s="4" t="inlineStr">
        <is>
          <t>Source File</t>
        </is>
      </c>
    </row>
    <row r="5">
      <c r="A5" s="5" t="inlineStr">
        <is>
          <t>R0002819</t>
        </is>
      </c>
      <c r="B5" s="5" t="inlineStr">
        <is>
          <t>Broadview</t>
        </is>
      </c>
      <c r="C5" s="5" t="inlineStr">
        <is>
          <t>125 Bridge St</t>
        </is>
      </c>
      <c r="D5" s="5" t="inlineStr">
        <is>
          <t>Brighton</t>
        </is>
      </c>
      <c r="E5" s="5" t="inlineStr">
        <is>
          <t>CO</t>
        </is>
      </c>
      <c r="F5" s="5" t="inlineStr">
        <is>
          <t>Adams</t>
        </is>
      </c>
      <c r="G5" s="5" t="inlineStr">
        <is>
          <t>COM-MT</t>
        </is>
      </c>
      <c r="H5" s="5" t="inlineStr">
        <is>
          <t>Commercial (multi-tenant industrial)</t>
        </is>
      </c>
      <c r="I5" s="6" t="n"/>
      <c r="J5" s="5" t="inlineStr">
        <is>
          <t>Not available</t>
        </is>
      </c>
      <c r="K5" s="5" t="n"/>
      <c r="L5" s="5" t="inlineStr">
        <is>
          <t>Multi-tenant</t>
        </is>
      </c>
      <c r="M5" s="5" t="inlineStr">
        <is>
          <t>Broadview LLC</t>
        </is>
      </c>
      <c r="N5" s="5" t="inlineStr">
        <is>
          <t>—</t>
        </is>
      </c>
      <c r="O5" s="7" t="n"/>
      <c r="P5" s="8">
        <f>IF(COUNTIF('Expenses - Annual'!$A$5:$A$163,A5)&gt;0,"Yes","No")</f>
        <v/>
      </c>
      <c r="Q5" s="5" t="inlineStr">
        <is>
          <t>R0002819.pdf</t>
        </is>
      </c>
    </row>
    <row r="6">
      <c r="A6" s="5" t="inlineStr">
        <is>
          <t>5970 Marion</t>
        </is>
      </c>
      <c r="B6" s="5" t="inlineStr">
        <is>
          <t>5970 Marion Drive</t>
        </is>
      </c>
      <c r="C6" s="5" t="inlineStr">
        <is>
          <t>5970 Marion Drive</t>
        </is>
      </c>
      <c r="D6" s="5" t="inlineStr">
        <is>
          <t>Denver</t>
        </is>
      </c>
      <c r="E6" s="5" t="inlineStr">
        <is>
          <t>CO</t>
        </is>
      </c>
      <c r="F6" s="5" t="inlineStr">
        <is>
          <t>Adams</t>
        </is>
      </c>
      <c r="G6" s="5" t="inlineStr">
        <is>
          <t>IND-2U</t>
        </is>
      </c>
      <c r="H6" s="5" t="inlineStr">
        <is>
          <t>Industrial - 2-unit</t>
        </is>
      </c>
      <c r="I6" s="6" t="n">
        <v>14400</v>
      </c>
      <c r="J6" s="5" t="inlineStr">
        <is>
          <t>NRA/NLA</t>
        </is>
      </c>
      <c r="K6" s="5" t="n"/>
      <c r="L6" s="5" t="inlineStr">
        <is>
          <t>Multi (2 units)</t>
        </is>
      </c>
      <c r="M6" s="5" t="inlineStr">
        <is>
          <t>Ankur Kumar (owner)</t>
        </is>
      </c>
      <c r="N6" s="5" t="inlineStr">
        <is>
          <t>2025 (assigned)</t>
        </is>
      </c>
      <c r="O6" s="7" t="n">
        <v>2527915</v>
      </c>
      <c r="P6" s="8">
        <f>IF(COUNTIF('Expenses - Annual'!$A$5:$A$163,A6)&gt;0,"Yes","No")</f>
        <v/>
      </c>
      <c r="Q6" s="5" t="inlineStr">
        <is>
          <t>5970 Marion P&amp;L/CF/xlsx</t>
        </is>
      </c>
    </row>
    <row r="7">
      <c r="A7" s="5" t="inlineStr">
        <is>
          <t>R0191292</t>
        </is>
      </c>
      <c r="B7" s="5" t="inlineStr">
        <is>
          <t>DEN2 - PR Park 70</t>
        </is>
      </c>
      <c r="C7" s="5" t="inlineStr">
        <is>
          <t>22205 E 19th Avenue</t>
        </is>
      </c>
      <c r="D7" s="5" t="inlineStr">
        <is>
          <t>Aurora</t>
        </is>
      </c>
      <c r="E7" s="5" t="inlineStr">
        <is>
          <t>CO</t>
        </is>
      </c>
      <c r="F7" s="5" t="inlineStr">
        <is>
          <t>Adams</t>
        </is>
      </c>
      <c r="G7" s="5" t="inlineStr">
        <is>
          <t>IND-AMZN</t>
        </is>
      </c>
      <c r="H7" s="5" t="inlineStr">
        <is>
          <t>Traditional Non-Sortable (Amazon fulfillment)</t>
        </is>
      </c>
      <c r="I7" s="6" t="n">
        <v>1016116</v>
      </c>
      <c r="J7" s="5" t="inlineStr">
        <is>
          <t>NRA/NLA</t>
        </is>
      </c>
      <c r="K7" s="5" t="n">
        <v>2017</v>
      </c>
      <c r="L7" s="5" t="inlineStr">
        <is>
          <t>Single-tenant (Amazon, NNN)</t>
        </is>
      </c>
      <c r="M7" s="5" t="inlineStr">
        <is>
          <t>PRISA LHC LLC dba Park 70 Building Venture 11 LLC (PGIM)</t>
        </is>
      </c>
      <c r="N7" s="5" t="inlineStr">
        <is>
          <t>2025</t>
        </is>
      </c>
      <c r="O7" s="7" t="n">
        <v>91704470</v>
      </c>
      <c r="P7" s="8">
        <f>IF(COUNTIF('Expenses - Annual'!$A$5:$A$163,A7)&gt;0,"Yes","No")</f>
        <v/>
      </c>
      <c r="Q7" s="5" t="inlineStr">
        <is>
          <t>R0191292.pdf</t>
        </is>
      </c>
    </row>
    <row r="8">
      <c r="A8" s="5" t="inlineStr">
        <is>
          <t>R0198789</t>
        </is>
      </c>
      <c r="B8" s="5" t="inlineStr">
        <is>
          <t>DEN3 - Bull Crossing</t>
        </is>
      </c>
      <c r="C8" s="5" t="inlineStr">
        <is>
          <t>14601 Grant Street</t>
        </is>
      </c>
      <c r="D8" s="5" t="inlineStr">
        <is>
          <t>Thornton</t>
        </is>
      </c>
      <c r="E8" s="5" t="inlineStr">
        <is>
          <t>CO</t>
        </is>
      </c>
      <c r="F8" s="5" t="inlineStr">
        <is>
          <t>Adams</t>
        </is>
      </c>
      <c r="G8" s="5" t="inlineStr">
        <is>
          <t>IND-AMZN</t>
        </is>
      </c>
      <c r="H8" s="5" t="inlineStr">
        <is>
          <t>Industrial - AR Sortable (Amazon fulfillment)</t>
        </is>
      </c>
      <c r="I8" s="6" t="n">
        <v>857400</v>
      </c>
      <c r="J8" s="5" t="inlineStr">
        <is>
          <t>NRA/NLA</t>
        </is>
      </c>
      <c r="K8" s="5" t="n">
        <v>2018</v>
      </c>
      <c r="L8" s="5" t="inlineStr">
        <is>
          <t>Single-tenant (Amazon, NNN)</t>
        </is>
      </c>
      <c r="M8" s="5" t="inlineStr">
        <is>
          <t>144 Bull Crossing Associates LLC</t>
        </is>
      </c>
      <c r="N8" s="5" t="inlineStr">
        <is>
          <t>2025</t>
        </is>
      </c>
      <c r="O8" s="7" t="n">
        <v>91498458</v>
      </c>
      <c r="P8" s="8">
        <f>IF(COUNTIF('Expenses - Annual'!$A$5:$A$163,A8)&gt;0,"Yes","No")</f>
        <v/>
      </c>
      <c r="Q8" s="5" t="inlineStr">
        <is>
          <t>R0198789.pdf</t>
        </is>
      </c>
    </row>
    <row r="9">
      <c r="A9" s="5" t="inlineStr">
        <is>
          <t>R0198530</t>
        </is>
      </c>
      <c r="B9" s="5" t="inlineStr">
        <is>
          <t>DEN7</t>
        </is>
      </c>
      <c r="C9" s="5" t="inlineStr">
        <is>
          <t>22300 E 26th Avenue</t>
        </is>
      </c>
      <c r="D9" s="5" t="inlineStr">
        <is>
          <t>Aurora</t>
        </is>
      </c>
      <c r="E9" s="5" t="inlineStr">
        <is>
          <t>CO</t>
        </is>
      </c>
      <c r="F9" s="5" t="inlineStr">
        <is>
          <t>Adams</t>
        </is>
      </c>
      <c r="G9" s="5" t="inlineStr">
        <is>
          <t>IND-AMZN</t>
        </is>
      </c>
      <c r="H9" s="5" t="inlineStr">
        <is>
          <t>Warehouse (Amazon fulfillment)</t>
        </is>
      </c>
      <c r="I9" s="6" t="n">
        <v>555840</v>
      </c>
      <c r="J9" s="5" t="inlineStr">
        <is>
          <t>NRA/NLA</t>
        </is>
      </c>
      <c r="K9" s="5" t="n">
        <v>2019</v>
      </c>
      <c r="L9" s="5" t="inlineStr">
        <is>
          <t>Single-tenant (Amazon, NNN)</t>
        </is>
      </c>
      <c r="M9" s="5" t="inlineStr">
        <is>
          <t>FR Aurora Commerce Center Phase I LLC (First Industrial Realty Trust)</t>
        </is>
      </c>
      <c r="N9" s="5" t="inlineStr">
        <is>
          <t>2025</t>
        </is>
      </c>
      <c r="O9" s="7" t="n">
        <v>58528163</v>
      </c>
      <c r="P9" s="8">
        <f>IF(COUNTIF('Expenses - Annual'!$A$5:$A$163,A9)&gt;0,"Yes","No")</f>
        <v/>
      </c>
      <c r="Q9" s="5" t="inlineStr">
        <is>
          <t>R0198530.pdf</t>
        </is>
      </c>
    </row>
    <row r="10">
      <c r="A10" s="5" t="inlineStr">
        <is>
          <t>R0212546</t>
        </is>
      </c>
      <c r="B10" s="5" t="inlineStr">
        <is>
          <t>2780 N. Tower Road (parcel 1 of 2)</t>
        </is>
      </c>
      <c r="C10" s="5" t="inlineStr">
        <is>
          <t>2780 N. Tower Road</t>
        </is>
      </c>
      <c r="D10" s="5" t="inlineStr">
        <is>
          <t>Aurora</t>
        </is>
      </c>
      <c r="E10" s="5" t="inlineStr">
        <is>
          <t>CO</t>
        </is>
      </c>
      <c r="F10" s="5" t="inlineStr">
        <is>
          <t>Adams</t>
        </is>
      </c>
      <c r="G10" s="5" t="inlineStr">
        <is>
          <t>IND-DIST</t>
        </is>
      </c>
      <c r="H10" s="5" t="inlineStr">
        <is>
          <t>Industrial - Distribution (single tenant)</t>
        </is>
      </c>
      <c r="I10" s="6" t="n">
        <v>386000</v>
      </c>
      <c r="J10" s="5" t="inlineStr">
        <is>
          <t>NRA/NLA</t>
        </is>
      </c>
      <c r="K10" s="5" t="n">
        <v>1983</v>
      </c>
      <c r="L10" s="5" t="inlineStr">
        <is>
          <t>Single-tenant</t>
        </is>
      </c>
      <c r="M10" s="5" t="inlineStr">
        <is>
          <t>2780 North Tower Road, LLC</t>
        </is>
      </c>
      <c r="N10" s="5" t="inlineStr">
        <is>
          <t>2026</t>
        </is>
      </c>
      <c r="O10" s="7" t="n"/>
      <c r="P10" s="8">
        <f>IF(COUNTIF('Expenses - Annual'!$A$5:$A$163,A10)&gt;0,"Yes","No")</f>
        <v/>
      </c>
      <c r="Q10" s="5" t="inlineStr">
        <is>
          <t>R0212546.pdf</t>
        </is>
      </c>
    </row>
    <row r="11">
      <c r="A11" s="5" t="inlineStr">
        <is>
          <t>R0169133</t>
        </is>
      </c>
      <c r="B11" s="5" t="inlineStr">
        <is>
          <t>(7194) CO-Aurora</t>
        </is>
      </c>
      <c r="C11" s="5" t="inlineStr">
        <is>
          <t>17608 E. 24th Drive</t>
        </is>
      </c>
      <c r="D11" s="5" t="inlineStr">
        <is>
          <t>Aurora</t>
        </is>
      </c>
      <c r="E11" s="5" t="inlineStr">
        <is>
          <t>CO</t>
        </is>
      </c>
      <c r="F11" s="5" t="inlineStr">
        <is>
          <t>Adams</t>
        </is>
      </c>
      <c r="G11" s="5" t="inlineStr">
        <is>
          <t>IND-DIST</t>
        </is>
      </c>
      <c r="H11" s="5" t="inlineStr">
        <is>
          <t>Industrial - Distribution</t>
        </is>
      </c>
      <c r="I11" s="6" t="n">
        <v>20910</v>
      </c>
      <c r="J11" s="5" t="inlineStr">
        <is>
          <t>NRA/NLA</t>
        </is>
      </c>
      <c r="K11" s="5" t="n">
        <v>2006</v>
      </c>
      <c r="L11" s="5" t="inlineStr">
        <is>
          <t>Single (proforma)</t>
        </is>
      </c>
      <c r="M11" s="5" t="inlineStr">
        <is>
          <t>ABC Supply Co., Inc.</t>
        </is>
      </c>
      <c r="N11" s="5" t="inlineStr">
        <is>
          <t>2025</t>
        </is>
      </c>
      <c r="O11" s="7" t="n">
        <v>3408546</v>
      </c>
      <c r="P11" s="8">
        <f>IF(COUNTIF('Expenses - Annual'!$A$5:$A$163,A11)&gt;0,"Yes","No")</f>
        <v/>
      </c>
      <c r="Q11" s="5" t="inlineStr">
        <is>
          <t>R0169133.pdf</t>
        </is>
      </c>
    </row>
    <row r="12">
      <c r="A12" s="5" t="inlineStr">
        <is>
          <t>R0212547</t>
        </is>
      </c>
      <c r="B12" s="5" t="inlineStr">
        <is>
          <t>2780 N. Tower Road (parcel 2 of 2)</t>
        </is>
      </c>
      <c r="C12" s="5" t="inlineStr">
        <is>
          <t>2780 N. Tower Road</t>
        </is>
      </c>
      <c r="D12" s="5" t="inlineStr">
        <is>
          <t>Aurora</t>
        </is>
      </c>
      <c r="E12" s="5" t="inlineStr">
        <is>
          <t>CO</t>
        </is>
      </c>
      <c r="F12" s="5" t="inlineStr">
        <is>
          <t>Adams</t>
        </is>
      </c>
      <c r="G12" s="5" t="inlineStr">
        <is>
          <t>IND-DIST</t>
        </is>
      </c>
      <c r="H12" s="5" t="inlineStr">
        <is>
          <t>Industrial - Distribution (single tenant)</t>
        </is>
      </c>
      <c r="I12" s="6" t="n"/>
      <c r="J12" s="5" t="inlineStr">
        <is>
          <t>Not available</t>
        </is>
      </c>
      <c r="K12" s="5" t="n">
        <v>1983</v>
      </c>
      <c r="L12" s="5" t="inlineStr">
        <is>
          <t>Single-tenant</t>
        </is>
      </c>
      <c r="M12" s="5" t="inlineStr">
        <is>
          <t>2780 North Tower Road, LLC</t>
        </is>
      </c>
      <c r="N12" s="5" t="inlineStr">
        <is>
          <t>2026</t>
        </is>
      </c>
      <c r="O12" s="7" t="n"/>
      <c r="P12" s="8">
        <f>IF(COUNTIF('Expenses - Annual'!$A$5:$A$163,A12)&gt;0,"Yes","No")</f>
        <v/>
      </c>
      <c r="Q12" s="5" t="inlineStr">
        <is>
          <t>R0212546.pdf</t>
        </is>
      </c>
    </row>
    <row r="13">
      <c r="A13" s="5" t="inlineStr">
        <is>
          <t>R0103767</t>
        </is>
      </c>
      <c r="B13" s="5" t="inlineStr">
        <is>
          <t>Washington Business Park</t>
        </is>
      </c>
      <c r="C13" s="5" t="inlineStr">
        <is>
          <t>5650 Washington St</t>
        </is>
      </c>
      <c r="D13" s="5" t="inlineStr">
        <is>
          <t>Denver</t>
        </is>
      </c>
      <c r="E13" s="5" t="inlineStr">
        <is>
          <t>CO</t>
        </is>
      </c>
      <c r="F13" s="5" t="inlineStr">
        <is>
          <t>Adams</t>
        </is>
      </c>
      <c r="G13" s="5" t="inlineStr">
        <is>
          <t>IND-FLEX</t>
        </is>
      </c>
      <c r="H13" s="5" t="inlineStr">
        <is>
          <t>Industrial / Flex (multi-tenant)</t>
        </is>
      </c>
      <c r="I13" s="6" t="n">
        <v>34442</v>
      </c>
      <c r="J13" s="5" t="inlineStr">
        <is>
          <t>NRA/NLA</t>
        </is>
      </c>
      <c r="K13" s="5" t="n">
        <v>1988</v>
      </c>
      <c r="L13" s="5" t="inlineStr">
        <is>
          <t>Multi-tenant</t>
        </is>
      </c>
      <c r="M13" s="5" t="inlineStr">
        <is>
          <t>Washington Business Park Property LLC</t>
        </is>
      </c>
      <c r="N13" s="5" t="inlineStr">
        <is>
          <t>2025</t>
        </is>
      </c>
      <c r="O13" s="7" t="n"/>
      <c r="P13" s="8">
        <f>IF(COUNTIF('Expenses - Annual'!$A$5:$A$163,A13)&gt;0,"Yes","No")</f>
        <v/>
      </c>
      <c r="Q13" s="5" t="inlineStr">
        <is>
          <t>5650_Washington_St.docx</t>
        </is>
      </c>
    </row>
    <row r="14">
      <c r="A14" s="5" t="inlineStr">
        <is>
          <t>R0198564</t>
        </is>
      </c>
      <c r="B14" s="5" t="inlineStr">
        <is>
          <t>TrusTile Doors</t>
        </is>
      </c>
      <c r="C14" s="5" t="inlineStr">
        <is>
          <t>1111 E 71st Ave</t>
        </is>
      </c>
      <c r="D14" s="5" t="inlineStr">
        <is>
          <t>Denver</t>
        </is>
      </c>
      <c r="E14" s="5" t="inlineStr">
        <is>
          <t>CO</t>
        </is>
      </c>
      <c r="F14" s="5" t="inlineStr">
        <is>
          <t>Adams</t>
        </is>
      </c>
      <c r="G14" s="5" t="inlineStr">
        <is>
          <t>IND-MFG</t>
        </is>
      </c>
      <c r="H14" s="5" t="inlineStr">
        <is>
          <t>Industrial - Manufacturing (doors)</t>
        </is>
      </c>
      <c r="I14" s="6" t="n">
        <v>277869</v>
      </c>
      <c r="J14" s="5" t="inlineStr">
        <is>
          <t>GBA</t>
        </is>
      </c>
      <c r="K14" s="5" t="n"/>
      <c r="L14" s="5" t="inlineStr">
        <is>
          <t>Owner-occupied</t>
        </is>
      </c>
      <c r="M14" s="5" t="inlineStr">
        <is>
          <t>TrusTile Doors LLC</t>
        </is>
      </c>
      <c r="N14" s="5" t="inlineStr">
        <is>
          <t>2025</t>
        </is>
      </c>
      <c r="O14" s="7" t="n"/>
      <c r="P14" s="8">
        <f>IF(COUNTIF('Expenses - Annual'!$A$5:$A$163,A14)&gt;0,"Yes","No")</f>
        <v/>
      </c>
      <c r="Q14" s="5" t="inlineStr">
        <is>
          <t>R0198564.pdf</t>
        </is>
      </c>
    </row>
    <row r="15">
      <c r="A15" s="5" t="inlineStr">
        <is>
          <t>R0103792</t>
        </is>
      </c>
      <c r="B15" s="5" t="inlineStr">
        <is>
          <t>TempTee Brand Steaks</t>
        </is>
      </c>
      <c r="C15" s="5" t="inlineStr">
        <is>
          <t>2011 E 58th Ave</t>
        </is>
      </c>
      <c r="D15" s="5" t="inlineStr">
        <is>
          <t>Denver</t>
        </is>
      </c>
      <c r="E15" s="5" t="inlineStr">
        <is>
          <t>CO</t>
        </is>
      </c>
      <c r="F15" s="5" t="inlineStr">
        <is>
          <t>Adams</t>
        </is>
      </c>
      <c r="G15" s="5" t="inlineStr">
        <is>
          <t>IND-MFG</t>
        </is>
      </c>
      <c r="H15" s="5" t="inlineStr">
        <is>
          <t>Industrial - Mfg / Food Processing</t>
        </is>
      </c>
      <c r="I15" s="6" t="n">
        <v>17000</v>
      </c>
      <c r="J15" s="5" t="inlineStr">
        <is>
          <t>NRA/NLA</t>
        </is>
      </c>
      <c r="K15" s="5" t="n"/>
      <c r="L15" s="5" t="inlineStr">
        <is>
          <t>Owner-occupied</t>
        </is>
      </c>
      <c r="M15" s="5" t="inlineStr">
        <is>
          <t>TempTee Brand Steaks Inc</t>
        </is>
      </c>
      <c r="N15" s="5" t="inlineStr">
        <is>
          <t>2025</t>
        </is>
      </c>
      <c r="O15" s="7" t="n"/>
      <c r="P15" s="8">
        <f>IF(COUNTIF('Expenses - Annual'!$A$5:$A$163,A15)&gt;0,"Yes","No")</f>
        <v/>
      </c>
      <c r="Q15" s="5" t="inlineStr">
        <is>
          <t>R0103792.pdf</t>
        </is>
      </c>
    </row>
    <row r="16">
      <c r="A16" s="5" t="inlineStr">
        <is>
          <t>R0193588</t>
        </is>
      </c>
      <c r="B16" s="5" t="inlineStr">
        <is>
          <t>Majestic Commercenter Bldg 15</t>
        </is>
      </c>
      <c r="C16" s="5" t="inlineStr">
        <is>
          <t>2889 Himalaya Road</t>
        </is>
      </c>
      <c r="D16" s="5" t="inlineStr">
        <is>
          <t>Adams County</t>
        </is>
      </c>
      <c r="E16" s="5" t="inlineStr">
        <is>
          <t>CO</t>
        </is>
      </c>
      <c r="F16" s="5" t="inlineStr">
        <is>
          <t>Adams</t>
        </is>
      </c>
      <c r="G16" s="5" t="inlineStr">
        <is>
          <t>IND-WH</t>
        </is>
      </c>
      <c r="H16" s="5" t="inlineStr">
        <is>
          <t>Industrial - Warehouse</t>
        </is>
      </c>
      <c r="I16" s="6" t="n">
        <v>702491</v>
      </c>
      <c r="J16" s="5" t="inlineStr">
        <is>
          <t>NRA/NLA</t>
        </is>
      </c>
      <c r="K16" s="5" t="n">
        <v>2019</v>
      </c>
      <c r="L16" s="5" t="inlineStr">
        <is>
          <t>Single-tenant</t>
        </is>
      </c>
      <c r="M16" s="5" t="inlineStr">
        <is>
          <t>Maj Commercenter Bldg 15, LLC</t>
        </is>
      </c>
      <c r="N16" s="5" t="inlineStr">
        <is>
          <t>2026</t>
        </is>
      </c>
      <c r="O16" s="7" t="n"/>
      <c r="P16" s="8">
        <f>IF(COUNTIF('Expenses - Annual'!$A$5:$A$163,A16)&gt;0,"Yes","No")</f>
        <v/>
      </c>
      <c r="Q16" s="5" t="inlineStr">
        <is>
          <t>R0193588.pdf</t>
        </is>
      </c>
    </row>
    <row r="17">
      <c r="A17" s="5" t="inlineStr">
        <is>
          <t>R0213058</t>
        </is>
      </c>
      <c r="B17" s="5" t="inlineStr">
        <is>
          <t>Lovett 76 Logistics Center</t>
        </is>
      </c>
      <c r="C17" s="5" t="inlineStr">
        <is>
          <t>6196 E Bridge St</t>
        </is>
      </c>
      <c r="D17" s="5" t="inlineStr">
        <is>
          <t>Brighton</t>
        </is>
      </c>
      <c r="E17" s="5" t="inlineStr">
        <is>
          <t>CO</t>
        </is>
      </c>
      <c r="F17" s="5" t="inlineStr">
        <is>
          <t>Adams</t>
        </is>
      </c>
      <c r="G17" s="5" t="inlineStr">
        <is>
          <t>IND-WH</t>
        </is>
      </c>
      <c r="H17" s="5" t="inlineStr">
        <is>
          <t>Industrial - Warehouse</t>
        </is>
      </c>
      <c r="I17" s="6" t="n">
        <v>614010</v>
      </c>
      <c r="J17" s="5" t="inlineStr">
        <is>
          <t>NRA/NLA</t>
        </is>
      </c>
      <c r="K17" s="5" t="n">
        <v>2023</v>
      </c>
      <c r="L17" s="5" t="inlineStr">
        <is>
          <t>Single (proforma)</t>
        </is>
      </c>
      <c r="M17" s="5" t="inlineStr">
        <is>
          <t>Lovett Industrial, LLC</t>
        </is>
      </c>
      <c r="N17" s="5" t="inlineStr">
        <is>
          <t>2025</t>
        </is>
      </c>
      <c r="O17" s="7" t="n">
        <v>70695025</v>
      </c>
      <c r="P17" s="8">
        <f>IF(COUNTIF('Expenses - Annual'!$A$5:$A$163,A17)&gt;0,"Yes","No")</f>
        <v/>
      </c>
      <c r="Q17" s="5" t="inlineStr">
        <is>
          <t>R0213058.pdf</t>
        </is>
      </c>
    </row>
    <row r="18">
      <c r="A18" s="5" t="inlineStr">
        <is>
          <t>R0218284</t>
        </is>
      </c>
      <c r="B18" s="5" t="inlineStr">
        <is>
          <t>Majestic Commercenter Bldg 12</t>
        </is>
      </c>
      <c r="C18" s="5" t="inlineStr">
        <is>
          <t>20600 E. 35th Drive</t>
        </is>
      </c>
      <c r="D18" s="5" t="inlineStr">
        <is>
          <t>Denver</t>
        </is>
      </c>
      <c r="E18" s="5" t="inlineStr">
        <is>
          <t>CO</t>
        </is>
      </c>
      <c r="F18" s="5" t="inlineStr">
        <is>
          <t>Adams</t>
        </is>
      </c>
      <c r="G18" s="5" t="inlineStr">
        <is>
          <t>IND-WH</t>
        </is>
      </c>
      <c r="H18" s="5" t="inlineStr">
        <is>
          <t>Industrial - Warehouse</t>
        </is>
      </c>
      <c r="I18" s="6" t="n">
        <v>461580</v>
      </c>
      <c r="J18" s="5" t="inlineStr">
        <is>
          <t>NRA/NLA</t>
        </is>
      </c>
      <c r="K18" s="5" t="n">
        <v>2023</v>
      </c>
      <c r="L18" s="5" t="inlineStr">
        <is>
          <t>Multi-tenant (proforma)</t>
        </is>
      </c>
      <c r="M18" s="5" t="inlineStr">
        <is>
          <t>Majestic Realty Co. (Maj Commercenter Ph 1)</t>
        </is>
      </c>
      <c r="N18" s="5" t="inlineStr">
        <is>
          <t>2026</t>
        </is>
      </c>
      <c r="O18" s="7" t="n"/>
      <c r="P18" s="8">
        <f>IF(COUNTIF('Expenses - Annual'!$A$5:$A$163,A18)&gt;0,"Yes","No")</f>
        <v/>
      </c>
      <c r="Q18" s="5" t="inlineStr">
        <is>
          <t>R0218284.pdf</t>
        </is>
      </c>
    </row>
    <row r="19">
      <c r="A19" s="5" t="inlineStr">
        <is>
          <t>R0187866</t>
        </is>
      </c>
      <c r="B19" s="5" t="inlineStr">
        <is>
          <t>Majestic Commercenter Bldg 29</t>
        </is>
      </c>
      <c r="C19" s="5" t="inlineStr">
        <is>
          <t>19799 E. 36th Drive</t>
        </is>
      </c>
      <c r="D19" s="5" t="inlineStr">
        <is>
          <t>Adams County</t>
        </is>
      </c>
      <c r="E19" s="5" t="inlineStr">
        <is>
          <t>CO</t>
        </is>
      </c>
      <c r="F19" s="5" t="inlineStr">
        <is>
          <t>Adams</t>
        </is>
      </c>
      <c r="G19" s="5" t="inlineStr">
        <is>
          <t>IND-WH</t>
        </is>
      </c>
      <c r="H19" s="5" t="inlineStr">
        <is>
          <t>Industrial - Warehouse</t>
        </is>
      </c>
      <c r="I19" s="6" t="n">
        <v>452400</v>
      </c>
      <c r="J19" s="5" t="inlineStr">
        <is>
          <t>NRA/NLA</t>
        </is>
      </c>
      <c r="K19" s="5" t="n">
        <v>2015</v>
      </c>
      <c r="L19" s="5" t="inlineStr">
        <is>
          <t>Multi-tenant</t>
        </is>
      </c>
      <c r="M19" s="5" t="inlineStr">
        <is>
          <t>Maj Commercenter Bldg 29 LLC</t>
        </is>
      </c>
      <c r="N19" s="5" t="inlineStr">
        <is>
          <t>2026</t>
        </is>
      </c>
      <c r="O19" s="7" t="n"/>
      <c r="P19" s="8">
        <f>IF(COUNTIF('Expenses - Annual'!$A$5:$A$163,A19)&gt;0,"Yes","No")</f>
        <v/>
      </c>
      <c r="Q19" s="5" t="inlineStr">
        <is>
          <t>R0187866.pdf</t>
        </is>
      </c>
    </row>
    <row r="20">
      <c r="A20" s="5" t="inlineStr">
        <is>
          <t>R0172848</t>
        </is>
      </c>
      <c r="B20" s="5" t="inlineStr">
        <is>
          <t>22100 E 26th Ave (ASB)</t>
        </is>
      </c>
      <c r="C20" s="5" t="inlineStr">
        <is>
          <t>22100 E 26th Ave</t>
        </is>
      </c>
      <c r="D20" s="5" t="inlineStr">
        <is>
          <t>Aurora</t>
        </is>
      </c>
      <c r="E20" s="5" t="inlineStr">
        <is>
          <t>CO</t>
        </is>
      </c>
      <c r="F20" s="5" t="inlineStr">
        <is>
          <t>Adams</t>
        </is>
      </c>
      <c r="G20" s="5" t="inlineStr">
        <is>
          <t>IND-WH</t>
        </is>
      </c>
      <c r="H20" s="5" t="inlineStr">
        <is>
          <t>Industrial</t>
        </is>
      </c>
      <c r="I20" s="6" t="n">
        <v>406959</v>
      </c>
      <c r="J20" s="5" t="inlineStr">
        <is>
          <t>NRA/NLA</t>
        </is>
      </c>
      <c r="K20" s="5" t="n">
        <v>2007</v>
      </c>
      <c r="L20" s="5" t="inlineStr">
        <is>
          <t>Multi-tenant (28% occupied at DOV)</t>
        </is>
      </c>
      <c r="M20" s="5" t="inlineStr">
        <is>
          <t>22100 E 26th Owner LLC (ASB Real Estate)</t>
        </is>
      </c>
      <c r="N20" s="5" t="inlineStr">
        <is>
          <t>2025</t>
        </is>
      </c>
      <c r="O20" s="7" t="n">
        <v>43077347</v>
      </c>
      <c r="P20" s="8">
        <f>IF(COUNTIF('Expenses - Annual'!$A$5:$A$163,A20)&gt;0,"Yes","No")</f>
        <v/>
      </c>
      <c r="Q20" s="5" t="inlineStr">
        <is>
          <t>R0172848.pdf</t>
        </is>
      </c>
    </row>
    <row r="21">
      <c r="A21" s="5" t="inlineStr">
        <is>
          <t>R0218172</t>
        </is>
      </c>
      <c r="B21" s="5" t="inlineStr">
        <is>
          <t>Denali Building 1</t>
        </is>
      </c>
      <c r="C21" s="5" t="inlineStr">
        <is>
          <t>Denali Buildings 1-3 (Bldg 1)</t>
        </is>
      </c>
      <c r="D21" s="5" t="inlineStr">
        <is>
          <t>Adams County</t>
        </is>
      </c>
      <c r="E21" s="5" t="inlineStr">
        <is>
          <t>CO</t>
        </is>
      </c>
      <c r="F21" s="5" t="inlineStr">
        <is>
          <t>Adams</t>
        </is>
      </c>
      <c r="G21" s="5" t="inlineStr">
        <is>
          <t>IND-WH</t>
        </is>
      </c>
      <c r="H21" s="5" t="inlineStr">
        <is>
          <t>Industrial - Warehouse</t>
        </is>
      </c>
      <c r="I21" s="6" t="n">
        <v>353350</v>
      </c>
      <c r="J21" s="5" t="inlineStr">
        <is>
          <t>NRA/NLA</t>
        </is>
      </c>
      <c r="K21" s="5" t="n">
        <v>2024</v>
      </c>
      <c r="L21" s="5" t="inlineStr">
        <is>
          <t>Multi-tenant (proforma)</t>
        </is>
      </c>
      <c r="M21" s="5" t="inlineStr">
        <is>
          <t>—</t>
        </is>
      </c>
      <c r="N21" s="5" t="inlineStr">
        <is>
          <t>2025</t>
        </is>
      </c>
      <c r="O21" s="7" t="n">
        <v>40319703</v>
      </c>
      <c r="P21" s="8">
        <f>IF(COUNTIF('Expenses - Annual'!$A$5:$A$163,A21)&gt;0,"Yes","No")</f>
        <v/>
      </c>
      <c r="Q21" s="5" t="inlineStr">
        <is>
          <t>R0218172.pdf</t>
        </is>
      </c>
    </row>
    <row r="22">
      <c r="A22" s="5" t="inlineStr">
        <is>
          <t>R0092655</t>
        </is>
      </c>
      <c r="B22" s="5" t="inlineStr">
        <is>
          <t>Shamrock Foods</t>
        </is>
      </c>
      <c r="C22" s="5" t="inlineStr">
        <is>
          <t>5199 Ivy St</t>
        </is>
      </c>
      <c r="D22" s="5" t="inlineStr">
        <is>
          <t>Commerce City</t>
        </is>
      </c>
      <c r="E22" s="5" t="inlineStr">
        <is>
          <t>CO</t>
        </is>
      </c>
      <c r="F22" s="5" t="inlineStr">
        <is>
          <t>Adams</t>
        </is>
      </c>
      <c r="G22" s="5" t="inlineStr">
        <is>
          <t>IND-WH</t>
        </is>
      </c>
      <c r="H22" s="5" t="inlineStr">
        <is>
          <t>Warehouse</t>
        </is>
      </c>
      <c r="I22" s="6" t="n">
        <v>329903</v>
      </c>
      <c r="J22" s="5" t="inlineStr">
        <is>
          <t>NRA/NLA</t>
        </is>
      </c>
      <c r="K22" s="5" t="n">
        <v>1983</v>
      </c>
      <c r="L22" s="5" t="inlineStr">
        <is>
          <t>Owner-occupied</t>
        </is>
      </c>
      <c r="M22" s="5" t="inlineStr">
        <is>
          <t>Shamrock Foods Company</t>
        </is>
      </c>
      <c r="N22" s="5" t="inlineStr">
        <is>
          <t>2025</t>
        </is>
      </c>
      <c r="O22" s="7" t="n">
        <v>36703938</v>
      </c>
      <c r="P22" s="8">
        <f>IF(COUNTIF('Expenses - Annual'!$A$5:$A$163,A22)&gt;0,"Yes","No")</f>
        <v/>
      </c>
      <c r="Q22" s="5" t="inlineStr">
        <is>
          <t>R0092655.pdf</t>
        </is>
      </c>
    </row>
    <row r="23">
      <c r="A23" s="5" t="inlineStr">
        <is>
          <t>R0218283</t>
        </is>
      </c>
      <c r="B23" s="5" t="inlineStr">
        <is>
          <t>Majestic Commercenter Bldg 11</t>
        </is>
      </c>
      <c r="C23" s="5" t="inlineStr">
        <is>
          <t>20310 E. 35th Drive</t>
        </is>
      </c>
      <c r="D23" s="5" t="inlineStr">
        <is>
          <t>Denver</t>
        </is>
      </c>
      <c r="E23" s="5" t="inlineStr">
        <is>
          <t>CO</t>
        </is>
      </c>
      <c r="F23" s="5" t="inlineStr">
        <is>
          <t>Adams</t>
        </is>
      </c>
      <c r="G23" s="5" t="inlineStr">
        <is>
          <t>IND-WH</t>
        </is>
      </c>
      <c r="H23" s="5" t="inlineStr">
        <is>
          <t>Industrial - Warehouse</t>
        </is>
      </c>
      <c r="I23" s="6" t="n">
        <v>244920</v>
      </c>
      <c r="J23" s="5" t="inlineStr">
        <is>
          <t>NRA/NLA</t>
        </is>
      </c>
      <c r="K23" s="5" t="n">
        <v>2023</v>
      </c>
      <c r="L23" s="5" t="inlineStr">
        <is>
          <t>Multi-tenant (proforma)</t>
        </is>
      </c>
      <c r="M23" s="5" t="inlineStr">
        <is>
          <t>Majestic Realty Co. (Maj Commercenter Ph 1)</t>
        </is>
      </c>
      <c r="N23" s="5" t="inlineStr">
        <is>
          <t>2026</t>
        </is>
      </c>
      <c r="O23" s="7" t="n"/>
      <c r="P23" s="8">
        <f>IF(COUNTIF('Expenses - Annual'!$A$5:$A$163,A23)&gt;0,"Yes","No")</f>
        <v/>
      </c>
      <c r="Q23" s="5" t="inlineStr">
        <is>
          <t>R0218283.pdf</t>
        </is>
      </c>
    </row>
    <row r="24">
      <c r="A24" s="5" t="inlineStr">
        <is>
          <t>R0180551</t>
        </is>
      </c>
      <c r="B24" s="5" t="inlineStr">
        <is>
          <t>Home Depot Denver</t>
        </is>
      </c>
      <c r="C24" s="5" t="inlineStr">
        <is>
          <t>1953 Gun Club Rd</t>
        </is>
      </c>
      <c r="D24" s="5" t="inlineStr">
        <is>
          <t>Aurora</t>
        </is>
      </c>
      <c r="E24" s="5" t="inlineStr">
        <is>
          <t>CO</t>
        </is>
      </c>
      <c r="F24" s="5" t="inlineStr">
        <is>
          <t>Adams</t>
        </is>
      </c>
      <c r="G24" s="5" t="inlineStr">
        <is>
          <t>IND-WH</t>
        </is>
      </c>
      <c r="H24" s="5" t="inlineStr">
        <is>
          <t>Industrial - Warehouse</t>
        </is>
      </c>
      <c r="I24" s="6" t="n">
        <v>220000</v>
      </c>
      <c r="J24" s="5" t="inlineStr">
        <is>
          <t>NRA/NLA</t>
        </is>
      </c>
      <c r="K24" s="5" t="n">
        <v>2012</v>
      </c>
      <c r="L24" s="5" t="inlineStr">
        <is>
          <t>Single-tenant (Home Depot, NNN)</t>
        </is>
      </c>
      <c r="M24" s="5" t="inlineStr">
        <is>
          <t>Cherry Owner III LLC (Alpha Industrial Properties)</t>
        </is>
      </c>
      <c r="N24" s="5" t="inlineStr">
        <is>
          <t>2025</t>
        </is>
      </c>
      <c r="O24" s="7" t="n">
        <v>36400834</v>
      </c>
      <c r="P24" s="8">
        <f>IF(COUNTIF('Expenses - Annual'!$A$5:$A$163,A24)&gt;0,"Yes","No")</f>
        <v/>
      </c>
      <c r="Q24" s="5" t="inlineStr">
        <is>
          <t>R0180551.pdf</t>
        </is>
      </c>
    </row>
    <row r="25">
      <c r="A25" s="5" t="inlineStr">
        <is>
          <t>R0172865</t>
        </is>
      </c>
      <c r="B25" s="5" t="inlineStr">
        <is>
          <t>Majestic Commercenter Bldg 24</t>
        </is>
      </c>
      <c r="C25" s="5" t="inlineStr">
        <is>
          <t>3500 N. Windsor Drive</t>
        </is>
      </c>
      <c r="D25" s="5" t="inlineStr">
        <is>
          <t>Adams County</t>
        </is>
      </c>
      <c r="E25" s="5" t="inlineStr">
        <is>
          <t>CO</t>
        </is>
      </c>
      <c r="F25" s="5" t="inlineStr">
        <is>
          <t>Adams</t>
        </is>
      </c>
      <c r="G25" s="5" t="inlineStr">
        <is>
          <t>IND-WH</t>
        </is>
      </c>
      <c r="H25" s="5" t="inlineStr">
        <is>
          <t>Industrial - Warehouse</t>
        </is>
      </c>
      <c r="I25" s="6" t="n">
        <v>215030</v>
      </c>
      <c r="J25" s="5" t="inlineStr">
        <is>
          <t>NRA/NLA</t>
        </is>
      </c>
      <c r="K25" s="5" t="n">
        <v>2008</v>
      </c>
      <c r="L25" s="5" t="inlineStr">
        <is>
          <t>Multi-tenant</t>
        </is>
      </c>
      <c r="M25" s="5" t="inlineStr">
        <is>
          <t>Commercenter #24 LLC</t>
        </is>
      </c>
      <c r="N25" s="5" t="inlineStr">
        <is>
          <t>2026</t>
        </is>
      </c>
      <c r="O25" s="7" t="n"/>
      <c r="P25" s="8">
        <f>IF(COUNTIF('Expenses - Annual'!$A$5:$A$163,A25)&gt;0,"Yes","No")</f>
        <v/>
      </c>
      <c r="Q25" s="5" t="inlineStr">
        <is>
          <t>R0172865.pdf</t>
        </is>
      </c>
    </row>
    <row r="26">
      <c r="A26" s="5" t="inlineStr">
        <is>
          <t>R0218173</t>
        </is>
      </c>
      <c r="B26" s="5" t="inlineStr">
        <is>
          <t>Denali Building 2</t>
        </is>
      </c>
      <c r="C26" s="5" t="inlineStr">
        <is>
          <t>Denali Buildings 1-3 (Bldg 2)</t>
        </is>
      </c>
      <c r="D26" s="5" t="inlineStr">
        <is>
          <t>Adams County</t>
        </is>
      </c>
      <c r="E26" s="5" t="inlineStr">
        <is>
          <t>CO</t>
        </is>
      </c>
      <c r="F26" s="5" t="inlineStr">
        <is>
          <t>Adams</t>
        </is>
      </c>
      <c r="G26" s="5" t="inlineStr">
        <is>
          <t>IND-WH</t>
        </is>
      </c>
      <c r="H26" s="5" t="inlineStr">
        <is>
          <t>Industrial - Warehouse</t>
        </is>
      </c>
      <c r="I26" s="6" t="n">
        <v>205800</v>
      </c>
      <c r="J26" s="5" t="inlineStr">
        <is>
          <t>NRA/NLA</t>
        </is>
      </c>
      <c r="K26" s="5" t="n">
        <v>2024</v>
      </c>
      <c r="L26" s="5" t="inlineStr">
        <is>
          <t>Multi-tenant (proforma)</t>
        </is>
      </c>
      <c r="M26" s="5" t="inlineStr">
        <is>
          <t>—</t>
        </is>
      </c>
      <c r="N26" s="5" t="inlineStr">
        <is>
          <t>2025</t>
        </is>
      </c>
      <c r="O26" s="7" t="n">
        <v>22901099</v>
      </c>
      <c r="P26" s="8">
        <f>IF(COUNTIF('Expenses - Annual'!$A$5:$A$163,A26)&gt;0,"Yes","No")</f>
        <v/>
      </c>
      <c r="Q26" s="5" t="inlineStr">
        <is>
          <t>R0218172.pdf</t>
        </is>
      </c>
    </row>
    <row r="27">
      <c r="A27" s="5" t="inlineStr">
        <is>
          <t>R0218174</t>
        </is>
      </c>
      <c r="B27" s="5" t="inlineStr">
        <is>
          <t>Denali Building 3</t>
        </is>
      </c>
      <c r="C27" s="5" t="inlineStr">
        <is>
          <t>Denali Buildings 1-3 (Bldg 3)</t>
        </is>
      </c>
      <c r="D27" s="5" t="inlineStr">
        <is>
          <t>Adams County</t>
        </is>
      </c>
      <c r="E27" s="5" t="inlineStr">
        <is>
          <t>CO</t>
        </is>
      </c>
      <c r="F27" s="5" t="inlineStr">
        <is>
          <t>Adams</t>
        </is>
      </c>
      <c r="G27" s="5" t="inlineStr">
        <is>
          <t>IND-WH</t>
        </is>
      </c>
      <c r="H27" s="5" t="inlineStr">
        <is>
          <t>Industrial - Warehouse</t>
        </is>
      </c>
      <c r="I27" s="6" t="n">
        <v>201250</v>
      </c>
      <c r="J27" s="5" t="inlineStr">
        <is>
          <t>NRA/NLA</t>
        </is>
      </c>
      <c r="K27" s="5" t="n">
        <v>2024</v>
      </c>
      <c r="L27" s="5" t="inlineStr">
        <is>
          <t>Multi-tenant (proforma)</t>
        </is>
      </c>
      <c r="M27" s="5" t="inlineStr">
        <is>
          <t>—</t>
        </is>
      </c>
      <c r="N27" s="5" t="inlineStr">
        <is>
          <t>2025</t>
        </is>
      </c>
      <c r="O27" s="7" t="n">
        <v>22610267</v>
      </c>
      <c r="P27" s="8">
        <f>IF(COUNTIF('Expenses - Annual'!$A$5:$A$163,A27)&gt;0,"Yes","No")</f>
        <v/>
      </c>
      <c r="Q27" s="5" t="inlineStr">
        <is>
          <t>R0218172.pdf</t>
        </is>
      </c>
    </row>
    <row r="28">
      <c r="A28" s="5" t="inlineStr">
        <is>
          <t>R0217136</t>
        </is>
      </c>
      <c r="B28" s="5" t="inlineStr">
        <is>
          <t>Broadway Logistics Center</t>
        </is>
      </c>
      <c r="C28" s="5" t="inlineStr">
        <is>
          <t>6795 Broadway St</t>
        </is>
      </c>
      <c r="D28" s="5" t="inlineStr">
        <is>
          <t>Denver</t>
        </is>
      </c>
      <c r="E28" s="5" t="inlineStr">
        <is>
          <t>CO</t>
        </is>
      </c>
      <c r="F28" s="5" t="inlineStr">
        <is>
          <t>Adams</t>
        </is>
      </c>
      <c r="G28" s="5" t="inlineStr">
        <is>
          <t>IND-WH</t>
        </is>
      </c>
      <c r="H28" s="5" t="inlineStr">
        <is>
          <t>Industrial - Warehouse</t>
        </is>
      </c>
      <c r="I28" s="6" t="n">
        <v>201025</v>
      </c>
      <c r="J28" s="5" t="inlineStr">
        <is>
          <t>NRA/NLA</t>
        </is>
      </c>
      <c r="K28" s="5" t="n">
        <v>2023</v>
      </c>
      <c r="L28" s="5" t="inlineStr">
        <is>
          <t>Multi-tenant (proforma; actual 100% vacant)</t>
        </is>
      </c>
      <c r="M28" s="5" t="inlineStr">
        <is>
          <t>Lovett Industrial, LLC</t>
        </is>
      </c>
      <c r="N28" s="5" t="inlineStr">
        <is>
          <t>2025</t>
        </is>
      </c>
      <c r="O28" s="7" t="n">
        <v>25207046</v>
      </c>
      <c r="P28" s="8">
        <f>IF(COUNTIF('Expenses - Annual'!$A$5:$A$163,A28)&gt;0,"Yes","No")</f>
        <v/>
      </c>
      <c r="Q28" s="5" t="inlineStr">
        <is>
          <t>R0217136.pdf</t>
        </is>
      </c>
    </row>
    <row r="29">
      <c r="A29" s="5" t="inlineStr">
        <is>
          <t>R0132030</t>
        </is>
      </c>
      <c r="B29" s="5" t="inlineStr">
        <is>
          <t>Majestic Commercenter Bldg 22</t>
        </is>
      </c>
      <c r="C29" s="5" t="inlineStr">
        <is>
          <t>3543 N. Windsor Drive</t>
        </is>
      </c>
      <c r="D29" s="5" t="inlineStr">
        <is>
          <t>Adams County</t>
        </is>
      </c>
      <c r="E29" s="5" t="inlineStr">
        <is>
          <t>CO</t>
        </is>
      </c>
      <c r="F29" s="5" t="inlineStr">
        <is>
          <t>Adams</t>
        </is>
      </c>
      <c r="G29" s="5" t="inlineStr">
        <is>
          <t>IND-WH</t>
        </is>
      </c>
      <c r="H29" s="5" t="inlineStr">
        <is>
          <t>Industrial - Warehouse</t>
        </is>
      </c>
      <c r="I29" s="6" t="n">
        <v>200090</v>
      </c>
      <c r="J29" s="5" t="inlineStr">
        <is>
          <t>NRA/NLA</t>
        </is>
      </c>
      <c r="K29" s="5" t="n">
        <v>2001</v>
      </c>
      <c r="L29" s="5" t="inlineStr">
        <is>
          <t>Multi-tenant</t>
        </is>
      </c>
      <c r="M29" s="5" t="inlineStr">
        <is>
          <t>Commercenter #22 LLC</t>
        </is>
      </c>
      <c r="N29" s="5" t="inlineStr">
        <is>
          <t>2026</t>
        </is>
      </c>
      <c r="O29" s="7" t="n"/>
      <c r="P29" s="8">
        <f>IF(COUNTIF('Expenses - Annual'!$A$5:$A$163,A29)&gt;0,"Yes","No")</f>
        <v/>
      </c>
      <c r="Q29" s="5" t="inlineStr">
        <is>
          <t>R0132030.pdf</t>
        </is>
      </c>
    </row>
    <row r="30">
      <c r="A30" s="5" t="inlineStr">
        <is>
          <t>R0172868</t>
        </is>
      </c>
      <c r="B30" s="5" t="inlineStr">
        <is>
          <t>Majestic Commercenter Bldg 26</t>
        </is>
      </c>
      <c r="C30" s="5" t="inlineStr">
        <is>
          <t>19755 E. 35th Drive</t>
        </is>
      </c>
      <c r="D30" s="5" t="inlineStr">
        <is>
          <t>Adams County</t>
        </is>
      </c>
      <c r="E30" s="5" t="inlineStr">
        <is>
          <t>CO</t>
        </is>
      </c>
      <c r="F30" s="5" t="inlineStr">
        <is>
          <t>Adams</t>
        </is>
      </c>
      <c r="G30" s="5" t="inlineStr">
        <is>
          <t>IND-WH</t>
        </is>
      </c>
      <c r="H30" s="5" t="inlineStr">
        <is>
          <t>Industrial - Warehouse</t>
        </is>
      </c>
      <c r="I30" s="6" t="n">
        <v>200000</v>
      </c>
      <c r="J30" s="5" t="inlineStr">
        <is>
          <t>NRA/NLA</t>
        </is>
      </c>
      <c r="K30" s="5" t="n">
        <v>2007</v>
      </c>
      <c r="L30" s="5" t="inlineStr">
        <is>
          <t>Single-tenant</t>
        </is>
      </c>
      <c r="M30" s="5" t="inlineStr">
        <is>
          <t>Commercenter #26 LLC</t>
        </is>
      </c>
      <c r="N30" s="5" t="inlineStr">
        <is>
          <t>2026</t>
        </is>
      </c>
      <c r="O30" s="7" t="n"/>
      <c r="P30" s="8">
        <f>IF(COUNTIF('Expenses - Annual'!$A$5:$A$163,A30)&gt;0,"Yes","No")</f>
        <v/>
      </c>
      <c r="Q30" s="5" t="inlineStr">
        <is>
          <t>R0172868.pdf</t>
        </is>
      </c>
    </row>
    <row r="31">
      <c r="A31" s="5" t="inlineStr">
        <is>
          <t>R0178308</t>
        </is>
      </c>
      <c r="B31" s="5" t="inlineStr">
        <is>
          <t>7205 Gilpin Way</t>
        </is>
      </c>
      <c r="C31" s="5" t="inlineStr">
        <is>
          <t>7205 Gilpin Way</t>
        </is>
      </c>
      <c r="D31" s="5" t="inlineStr">
        <is>
          <t>Denver</t>
        </is>
      </c>
      <c r="E31" s="5" t="inlineStr">
        <is>
          <t>CO</t>
        </is>
      </c>
      <c r="F31" s="5" t="inlineStr">
        <is>
          <t>Adams</t>
        </is>
      </c>
      <c r="G31" s="5" t="inlineStr">
        <is>
          <t>IND-WH</t>
        </is>
      </c>
      <c r="H31" s="5" t="inlineStr">
        <is>
          <t>Industrial - Warehouse</t>
        </is>
      </c>
      <c r="I31" s="6" t="n">
        <v>34228</v>
      </c>
      <c r="J31" s="5" t="inlineStr">
        <is>
          <t>NRA/NLA</t>
        </is>
      </c>
      <c r="K31" s="5" t="n">
        <v>2013</v>
      </c>
      <c r="L31" s="5" t="inlineStr">
        <is>
          <t>Single (proforma)</t>
        </is>
      </c>
      <c r="M31" s="5" t="inlineStr">
        <is>
          <t>Center Land Properties</t>
        </is>
      </c>
      <c r="N31" s="5" t="inlineStr">
        <is>
          <t>2025</t>
        </is>
      </c>
      <c r="O31" s="7" t="n">
        <v>5150325</v>
      </c>
      <c r="P31" s="8">
        <f>IF(COUNTIF('Expenses - Annual'!$A$5:$A$163,A31)&gt;0,"Yes","No")</f>
        <v/>
      </c>
      <c r="Q31" s="5" t="inlineStr">
        <is>
          <t>R0178308.pdf</t>
        </is>
      </c>
    </row>
    <row r="32">
      <c r="A32" s="5" t="inlineStr">
        <is>
          <t>R0024442</t>
        </is>
      </c>
      <c r="B32" s="5" t="inlineStr">
        <is>
          <t>SGS - Pennsylvania Industrial</t>
        </is>
      </c>
      <c r="C32" s="5" t="inlineStr">
        <is>
          <t>12260 Pennsylvania St</t>
        </is>
      </c>
      <c r="D32" s="5" t="inlineStr">
        <is>
          <t>Thornton</t>
        </is>
      </c>
      <c r="E32" s="5" t="inlineStr">
        <is>
          <t>CO</t>
        </is>
      </c>
      <c r="F32" s="5" t="inlineStr">
        <is>
          <t>Adams</t>
        </is>
      </c>
      <c r="G32" s="5" t="inlineStr">
        <is>
          <t>IND-WH</t>
        </is>
      </c>
      <c r="H32" s="5" t="inlineStr">
        <is>
          <t>Industrial - Warehouse</t>
        </is>
      </c>
      <c r="I32" s="6" t="n">
        <v>23729</v>
      </c>
      <c r="J32" s="5" t="inlineStr">
        <is>
          <t>NRA/NLA</t>
        </is>
      </c>
      <c r="K32" s="5" t="n">
        <v>1984</v>
      </c>
      <c r="L32" s="5" t="inlineStr">
        <is>
          <t>Single-tenant</t>
        </is>
      </c>
      <c r="M32" s="5" t="inlineStr">
        <is>
          <t>Trinity Real Estate</t>
        </is>
      </c>
      <c r="N32" s="5" t="inlineStr">
        <is>
          <t>2025</t>
        </is>
      </c>
      <c r="O32" s="7" t="n">
        <v>3876387</v>
      </c>
      <c r="P32" s="8">
        <f>IF(COUNTIF('Expenses - Annual'!$A$5:$A$163,A32)&gt;0,"Yes","No")</f>
        <v/>
      </c>
      <c r="Q32" s="5" t="inlineStr">
        <is>
          <t>R0024442.pdf</t>
        </is>
      </c>
    </row>
    <row r="33">
      <c r="A33" s="5" t="inlineStr">
        <is>
          <t>R0092302</t>
        </is>
      </c>
      <c r="B33" s="5" t="inlineStr">
        <is>
          <t>6770 E. 56th Ave</t>
        </is>
      </c>
      <c r="C33" s="5" t="inlineStr">
        <is>
          <t>6770 E. 56th Ave</t>
        </is>
      </c>
      <c r="D33" s="5" t="inlineStr">
        <is>
          <t>Aurora</t>
        </is>
      </c>
      <c r="E33" s="5" t="inlineStr">
        <is>
          <t>CO</t>
        </is>
      </c>
      <c r="F33" s="5" t="inlineStr">
        <is>
          <t>Adams</t>
        </is>
      </c>
      <c r="G33" s="5" t="inlineStr">
        <is>
          <t>IND-WH</t>
        </is>
      </c>
      <c r="H33" s="5" t="inlineStr">
        <is>
          <t>Industrial - Warehouse</t>
        </is>
      </c>
      <c r="I33" s="6" t="n">
        <v>9652</v>
      </c>
      <c r="J33" s="5" t="inlineStr">
        <is>
          <t>NRA/NLA</t>
        </is>
      </c>
      <c r="K33" s="5" t="n">
        <v>1973</v>
      </c>
      <c r="L33" s="5" t="inlineStr">
        <is>
          <t>Single-tenant</t>
        </is>
      </c>
      <c r="M33" s="5" t="inlineStr">
        <is>
          <t>56th Ave. J Investments LLC et al</t>
        </is>
      </c>
      <c r="N33" s="5" t="inlineStr">
        <is>
          <t>2026</t>
        </is>
      </c>
      <c r="O33" s="7" t="n">
        <v>1815434</v>
      </c>
      <c r="P33" s="8">
        <f>IF(COUNTIF('Expenses - Annual'!$A$5:$A$163,A33)&gt;0,"Yes","No")</f>
        <v/>
      </c>
      <c r="Q33" s="5" t="inlineStr">
        <is>
          <t>R0092302.pdf</t>
        </is>
      </c>
    </row>
  </sheetData>
  <autoFilter ref="A4:Q33"/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6" customWidth="1" min="3" max="3"/>
    <col width="30" customWidth="1" min="4" max="4"/>
    <col width="30" customWidth="1" min="5" max="5"/>
    <col width="15" customWidth="1" min="6" max="6"/>
    <col width="32" customWidth="1" min="7" max="7"/>
    <col width="15" customWidth="1" min="8" max="8"/>
    <col width="55" customWidth="1" min="9" max="9"/>
  </cols>
  <sheetData>
    <row r="1">
      <c r="A1" s="1" t="inlineStr">
        <is>
          <t>EXPENSES — ANNUAL ($)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Operating expense, interest &amp; other expense line items by property, in annual dollars. OCCC Code &amp; Building Size are pulled live from Property Registry — filter/sort by either to line up comparables, then read Annual Amount.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4" t="inlineStr">
        <is>
          <t>Property ID</t>
        </is>
      </c>
      <c r="B4" s="4" t="inlineStr">
        <is>
          <t>OCCC Code</t>
        </is>
      </c>
      <c r="C4" s="4" t="inlineStr">
        <is>
          <t>Building Size (SF)</t>
        </is>
      </c>
      <c r="D4" s="4" t="inlineStr">
        <is>
          <t>Property</t>
        </is>
      </c>
      <c r="E4" s="4" t="inlineStr">
        <is>
          <t>Period</t>
        </is>
      </c>
      <c r="F4" s="4" t="inlineStr">
        <is>
          <t>Category</t>
        </is>
      </c>
      <c r="G4" s="4" t="inlineStr">
        <is>
          <t>Line Item / Account</t>
        </is>
      </c>
      <c r="H4" s="4" t="inlineStr">
        <is>
          <t>Annual Amount</t>
        </is>
      </c>
      <c r="I4" s="4" t="inlineStr">
        <is>
          <t>Notes</t>
        </is>
      </c>
    </row>
    <row r="5">
      <c r="A5" s="5" t="inlineStr">
        <is>
          <t>R0002819</t>
        </is>
      </c>
      <c r="B5" s="8">
        <f>IFERROR(INDEX('Property Registry'!$G$5:$G$33,MATCH(A5,'Property Registry'!$A$5:$A$33,0)),"")</f>
        <v/>
      </c>
      <c r="C5" s="9">
        <f>IFERROR(INDEX('Property Registry'!$I$5:$I$33,MATCH(A5,'Property Registry'!$A$5:$A$33,0)),"")</f>
        <v/>
      </c>
      <c r="D5" s="5" t="inlineStr">
        <is>
          <t>125 Bridge St (Broadview)</t>
        </is>
      </c>
      <c r="E5" s="5" t="inlineStr">
        <is>
          <t>Form 8825</t>
        </is>
      </c>
      <c r="F5" s="8" t="inlineStr">
        <is>
          <t>Expense</t>
        </is>
      </c>
      <c r="G5" s="5" t="inlineStr">
        <is>
          <t>Advertising</t>
        </is>
      </c>
      <c r="H5" s="10" t="n">
        <v>776</v>
      </c>
      <c r="I5" s="11" t="n"/>
    </row>
    <row r="6">
      <c r="A6" s="5" t="inlineStr">
        <is>
          <t>R0002819</t>
        </is>
      </c>
      <c r="B6" s="8">
        <f>IFERROR(INDEX('Property Registry'!$G$5:$G$33,MATCH(A6,'Property Registry'!$A$5:$A$33,0)),"")</f>
        <v/>
      </c>
      <c r="C6" s="9">
        <f>IFERROR(INDEX('Property Registry'!$I$5:$I$33,MATCH(A6,'Property Registry'!$A$5:$A$33,0)),"")</f>
        <v/>
      </c>
      <c r="D6" s="5" t="inlineStr">
        <is>
          <t>125 Bridge St (Broadview)</t>
        </is>
      </c>
      <c r="E6" s="5" t="inlineStr">
        <is>
          <t>Form 8825</t>
        </is>
      </c>
      <c r="F6" s="8" t="inlineStr">
        <is>
          <t>Expense</t>
        </is>
      </c>
      <c r="G6" s="5" t="inlineStr">
        <is>
          <t>Insurance</t>
        </is>
      </c>
      <c r="H6" s="10" t="n">
        <v>12004</v>
      </c>
      <c r="I6" s="11" t="n"/>
    </row>
    <row r="7">
      <c r="A7" s="5" t="inlineStr">
        <is>
          <t>R0002819</t>
        </is>
      </c>
      <c r="B7" s="8">
        <f>IFERROR(INDEX('Property Registry'!$G$5:$G$33,MATCH(A7,'Property Registry'!$A$5:$A$33,0)),"")</f>
        <v/>
      </c>
      <c r="C7" s="9">
        <f>IFERROR(INDEX('Property Registry'!$I$5:$I$33,MATCH(A7,'Property Registry'!$A$5:$A$33,0)),"")</f>
        <v/>
      </c>
      <c r="D7" s="5" t="inlineStr">
        <is>
          <t>125 Bridge St (Broadview)</t>
        </is>
      </c>
      <c r="E7" s="5" t="inlineStr">
        <is>
          <t>Form 8825</t>
        </is>
      </c>
      <c r="F7" s="8" t="inlineStr">
        <is>
          <t>Expense</t>
        </is>
      </c>
      <c r="G7" s="5" t="inlineStr">
        <is>
          <t>Legal &amp; professional fees</t>
        </is>
      </c>
      <c r="H7" s="10" t="n">
        <v>10211</v>
      </c>
      <c r="I7" s="11" t="n"/>
    </row>
    <row r="8">
      <c r="A8" s="5" t="inlineStr">
        <is>
          <t>R0002819</t>
        </is>
      </c>
      <c r="B8" s="8">
        <f>IFERROR(INDEX('Property Registry'!$G$5:$G$33,MATCH(A8,'Property Registry'!$A$5:$A$33,0)),"")</f>
        <v/>
      </c>
      <c r="C8" s="9">
        <f>IFERROR(INDEX('Property Registry'!$I$5:$I$33,MATCH(A8,'Property Registry'!$A$5:$A$33,0)),"")</f>
        <v/>
      </c>
      <c r="D8" s="5" t="inlineStr">
        <is>
          <t>125 Bridge St (Broadview)</t>
        </is>
      </c>
      <c r="E8" s="5" t="inlineStr">
        <is>
          <t>Form 8825</t>
        </is>
      </c>
      <c r="F8" s="8" t="inlineStr">
        <is>
          <t>Expense</t>
        </is>
      </c>
      <c r="G8" s="5" t="inlineStr">
        <is>
          <t>Interest</t>
        </is>
      </c>
      <c r="H8" s="10" t="n">
        <v>98058</v>
      </c>
      <c r="I8" s="11" t="n"/>
    </row>
    <row r="9">
      <c r="A9" s="5" t="inlineStr">
        <is>
          <t>R0002819</t>
        </is>
      </c>
      <c r="B9" s="8">
        <f>IFERROR(INDEX('Property Registry'!$G$5:$G$33,MATCH(A9,'Property Registry'!$A$5:$A$33,0)),"")</f>
        <v/>
      </c>
      <c r="C9" s="9">
        <f>IFERROR(INDEX('Property Registry'!$I$5:$I$33,MATCH(A9,'Property Registry'!$A$5:$A$33,0)),"")</f>
        <v/>
      </c>
      <c r="D9" s="5" t="inlineStr">
        <is>
          <t>125 Bridge St (Broadview)</t>
        </is>
      </c>
      <c r="E9" s="5" t="inlineStr">
        <is>
          <t>Form 8825</t>
        </is>
      </c>
      <c r="F9" s="8" t="inlineStr">
        <is>
          <t>Expense</t>
        </is>
      </c>
      <c r="G9" s="5" t="inlineStr">
        <is>
          <t>Repairs</t>
        </is>
      </c>
      <c r="H9" s="10" t="n">
        <v>100279</v>
      </c>
      <c r="I9" s="11" t="n"/>
    </row>
    <row r="10">
      <c r="A10" s="5" t="inlineStr">
        <is>
          <t>R0002819</t>
        </is>
      </c>
      <c r="B10" s="8">
        <f>IFERROR(INDEX('Property Registry'!$G$5:$G$33,MATCH(A10,'Property Registry'!$A$5:$A$33,0)),"")</f>
        <v/>
      </c>
      <c r="C10" s="9">
        <f>IFERROR(INDEX('Property Registry'!$I$5:$I$33,MATCH(A10,'Property Registry'!$A$5:$A$33,0)),"")</f>
        <v/>
      </c>
      <c r="D10" s="5" t="inlineStr">
        <is>
          <t>125 Bridge St (Broadview)</t>
        </is>
      </c>
      <c r="E10" s="5" t="inlineStr">
        <is>
          <t>Form 8825</t>
        </is>
      </c>
      <c r="F10" s="8" t="inlineStr">
        <is>
          <t>Expense</t>
        </is>
      </c>
      <c r="G10" s="5" t="inlineStr">
        <is>
          <t>Utilities</t>
        </is>
      </c>
      <c r="H10" s="10" t="n">
        <v>4731</v>
      </c>
      <c r="I10" s="11" t="n"/>
    </row>
    <row r="11">
      <c r="A11" s="5" t="inlineStr">
        <is>
          <t>R0002819</t>
        </is>
      </c>
      <c r="B11" s="8">
        <f>IFERROR(INDEX('Property Registry'!$G$5:$G$33,MATCH(A11,'Property Registry'!$A$5:$A$33,0)),"")</f>
        <v/>
      </c>
      <c r="C11" s="9">
        <f>IFERROR(INDEX('Property Registry'!$I$5:$I$33,MATCH(A11,'Property Registry'!$A$5:$A$33,0)),"")</f>
        <v/>
      </c>
      <c r="D11" s="5" t="inlineStr">
        <is>
          <t>125 Bridge St (Broadview)</t>
        </is>
      </c>
      <c r="E11" s="5" t="inlineStr">
        <is>
          <t>Form 8825</t>
        </is>
      </c>
      <c r="F11" s="8" t="inlineStr">
        <is>
          <t>Expense</t>
        </is>
      </c>
      <c r="G11" s="5" t="inlineStr">
        <is>
          <t>Depreciation</t>
        </is>
      </c>
      <c r="H11" s="10" t="n">
        <v>47109</v>
      </c>
      <c r="I11" s="11" t="n"/>
    </row>
    <row r="12">
      <c r="A12" s="5" t="inlineStr">
        <is>
          <t>R0002819</t>
        </is>
      </c>
      <c r="B12" s="8">
        <f>IFERROR(INDEX('Property Registry'!$G$5:$G$33,MATCH(A12,'Property Registry'!$A$5:$A$33,0)),"")</f>
        <v/>
      </c>
      <c r="C12" s="9">
        <f>IFERROR(INDEX('Property Registry'!$I$5:$I$33,MATCH(A12,'Property Registry'!$A$5:$A$33,0)),"")</f>
        <v/>
      </c>
      <c r="D12" s="5" t="inlineStr">
        <is>
          <t>125 Bridge St (Broadview)</t>
        </is>
      </c>
      <c r="E12" s="5" t="inlineStr">
        <is>
          <t>Form 8825</t>
        </is>
      </c>
      <c r="F12" s="8" t="inlineStr">
        <is>
          <t>Expense</t>
        </is>
      </c>
      <c r="G12" s="5" t="inlineStr">
        <is>
          <t>Meals - 100%</t>
        </is>
      </c>
      <c r="H12" s="10" t="n">
        <v>1080</v>
      </c>
      <c r="I12" s="11" t="n"/>
    </row>
    <row r="13">
      <c r="A13" s="5" t="inlineStr">
        <is>
          <t>R0002819</t>
        </is>
      </c>
      <c r="B13" s="8">
        <f>IFERROR(INDEX('Property Registry'!$G$5:$G$33,MATCH(A13,'Property Registry'!$A$5:$A$33,0)),"")</f>
        <v/>
      </c>
      <c r="C13" s="9">
        <f>IFERROR(INDEX('Property Registry'!$I$5:$I$33,MATCH(A13,'Property Registry'!$A$5:$A$33,0)),"")</f>
        <v/>
      </c>
      <c r="D13" s="5" t="inlineStr">
        <is>
          <t>125 Bridge St (Broadview)</t>
        </is>
      </c>
      <c r="E13" s="5" t="inlineStr">
        <is>
          <t>Form 8825</t>
        </is>
      </c>
      <c r="F13" s="8" t="inlineStr">
        <is>
          <t>Expense</t>
        </is>
      </c>
      <c r="G13" s="5" t="inlineStr">
        <is>
          <t>Amortization</t>
        </is>
      </c>
      <c r="H13" s="10" t="n">
        <v>2166</v>
      </c>
      <c r="I13" s="11" t="n"/>
    </row>
    <row r="14">
      <c r="A14" s="5" t="inlineStr">
        <is>
          <t>R0002819</t>
        </is>
      </c>
      <c r="B14" s="8">
        <f>IFERROR(INDEX('Property Registry'!$G$5:$G$33,MATCH(A14,'Property Registry'!$A$5:$A$33,0)),"")</f>
        <v/>
      </c>
      <c r="C14" s="9">
        <f>IFERROR(INDEX('Property Registry'!$I$5:$I$33,MATCH(A14,'Property Registry'!$A$5:$A$33,0)),"")</f>
        <v/>
      </c>
      <c r="D14" s="5" t="inlineStr">
        <is>
          <t>125 Bridge St (Broadview)</t>
        </is>
      </c>
      <c r="E14" s="5" t="inlineStr">
        <is>
          <t>Form 8825</t>
        </is>
      </c>
      <c r="F14" s="8" t="inlineStr">
        <is>
          <t>Expense</t>
        </is>
      </c>
      <c r="G14" s="5" t="inlineStr">
        <is>
          <t>Other (Statement #8A)</t>
        </is>
      </c>
      <c r="H14" s="10" t="n">
        <v>39767</v>
      </c>
      <c r="I14" s="11" t="n"/>
    </row>
    <row r="15">
      <c r="A15" s="5" t="inlineStr">
        <is>
          <t>R0002819</t>
        </is>
      </c>
      <c r="B15" s="8">
        <f>IFERROR(INDEX('Property Registry'!$G$5:$G$33,MATCH(A15,'Property Registry'!$A$5:$A$33,0)),"")</f>
        <v/>
      </c>
      <c r="C15" s="9">
        <f>IFERROR(INDEX('Property Registry'!$I$5:$I$33,MATCH(A15,'Property Registry'!$A$5:$A$33,0)),"")</f>
        <v/>
      </c>
      <c r="D15" s="5" t="inlineStr">
        <is>
          <t>125 Bridge St (Broadview)</t>
        </is>
      </c>
      <c r="E15" s="5" t="inlineStr">
        <is>
          <t>Form 8825</t>
        </is>
      </c>
      <c r="F15" s="8" t="inlineStr">
        <is>
          <t>Expense</t>
        </is>
      </c>
      <c r="G15" s="5" t="inlineStr">
        <is>
          <t>TOTAL EXPENSE</t>
        </is>
      </c>
      <c r="H15" s="10" t="n">
        <v>316181</v>
      </c>
      <c r="I15" s="11" t="inlineStr">
        <is>
          <t>Printed total: $316,181.00. IRS Form 8825; net rental loss $(8,364). Tax basis (incl. depreciation, amortization &amp; interest).</t>
        </is>
      </c>
    </row>
    <row r="16">
      <c r="A16" s="5" t="inlineStr">
        <is>
          <t>5970 Marion</t>
        </is>
      </c>
      <c r="B16" s="8">
        <f>IFERROR(INDEX('Property Registry'!$G$5:$G$33,MATCH(A16,'Property Registry'!$A$5:$A$33,0)),"")</f>
        <v/>
      </c>
      <c r="C16" s="9">
        <f>IFERROR(INDEX('Property Registry'!$I$5:$I$33,MATCH(A16,'Property Registry'!$A$5:$A$33,0)),"")</f>
        <v/>
      </c>
      <c r="D16" s="5" t="inlineStr">
        <is>
          <t>5970 Marion Drive</t>
        </is>
      </c>
      <c r="E16" s="5" t="inlineStr">
        <is>
          <t>FY2023</t>
        </is>
      </c>
      <c r="F16" s="8" t="inlineStr">
        <is>
          <t>Expense</t>
        </is>
      </c>
      <c r="G16" s="5" t="inlineStr">
        <is>
          <t>Electrical Repairs &amp; Lighting</t>
        </is>
      </c>
      <c r="H16" s="10" t="n">
        <v>1550</v>
      </c>
      <c r="I16" s="11" t="n"/>
    </row>
    <row r="17">
      <c r="A17" s="5" t="inlineStr">
        <is>
          <t>5970 Marion</t>
        </is>
      </c>
      <c r="B17" s="8">
        <f>IFERROR(INDEX('Property Registry'!$G$5:$G$33,MATCH(A17,'Property Registry'!$A$5:$A$33,0)),"")</f>
        <v/>
      </c>
      <c r="C17" s="9">
        <f>IFERROR(INDEX('Property Registry'!$I$5:$I$33,MATCH(A17,'Property Registry'!$A$5:$A$33,0)),"")</f>
        <v/>
      </c>
      <c r="D17" s="5" t="inlineStr">
        <is>
          <t>5970 Marion Drive</t>
        </is>
      </c>
      <c r="E17" s="5" t="inlineStr">
        <is>
          <t>FY2023</t>
        </is>
      </c>
      <c r="F17" s="8" t="inlineStr">
        <is>
          <t>Expense</t>
        </is>
      </c>
      <c r="G17" s="5" t="inlineStr">
        <is>
          <t>Roofing Repairs</t>
        </is>
      </c>
      <c r="H17" s="10" t="n">
        <v>47000</v>
      </c>
      <c r="I17" s="11" t="n"/>
    </row>
    <row r="18">
      <c r="A18" s="5" t="inlineStr">
        <is>
          <t>5970 Marion</t>
        </is>
      </c>
      <c r="B18" s="8">
        <f>IFERROR(INDEX('Property Registry'!$G$5:$G$33,MATCH(A18,'Property Registry'!$A$5:$A$33,0)),"")</f>
        <v/>
      </c>
      <c r="C18" s="9">
        <f>IFERROR(INDEX('Property Registry'!$I$5:$I$33,MATCH(A18,'Property Registry'!$A$5:$A$33,0)),"")</f>
        <v/>
      </c>
      <c r="D18" s="5" t="inlineStr">
        <is>
          <t>5970 Marion Drive</t>
        </is>
      </c>
      <c r="E18" s="5" t="inlineStr">
        <is>
          <t>FY2023</t>
        </is>
      </c>
      <c r="F18" s="8" t="inlineStr">
        <is>
          <t>Expense</t>
        </is>
      </c>
      <c r="G18" s="5" t="inlineStr">
        <is>
          <t>Drywall Repairs</t>
        </is>
      </c>
      <c r="H18" s="10" t="n">
        <v>810</v>
      </c>
      <c r="I18" s="11" t="n"/>
    </row>
    <row r="19">
      <c r="A19" s="5" t="inlineStr">
        <is>
          <t>5970 Marion</t>
        </is>
      </c>
      <c r="B19" s="8">
        <f>IFERROR(INDEX('Property Registry'!$G$5:$G$33,MATCH(A19,'Property Registry'!$A$5:$A$33,0)),"")</f>
        <v/>
      </c>
      <c r="C19" s="9">
        <f>IFERROR(INDEX('Property Registry'!$I$5:$I$33,MATCH(A19,'Property Registry'!$A$5:$A$33,0)),"")</f>
        <v/>
      </c>
      <c r="D19" s="5" t="inlineStr">
        <is>
          <t>5970 Marion Drive</t>
        </is>
      </c>
      <c r="E19" s="5" t="inlineStr">
        <is>
          <t>FY2023</t>
        </is>
      </c>
      <c r="F19" s="8" t="inlineStr">
        <is>
          <t>Expense</t>
        </is>
      </c>
      <c r="G19" s="5" t="inlineStr">
        <is>
          <t>Snow Removal</t>
        </is>
      </c>
      <c r="H19" s="10" t="n">
        <v>1016.31</v>
      </c>
      <c r="I19" s="11" t="n"/>
    </row>
    <row r="20">
      <c r="A20" s="5" t="inlineStr">
        <is>
          <t>5970 Marion</t>
        </is>
      </c>
      <c r="B20" s="8">
        <f>IFERROR(INDEX('Property Registry'!$G$5:$G$33,MATCH(A20,'Property Registry'!$A$5:$A$33,0)),"")</f>
        <v/>
      </c>
      <c r="C20" s="9">
        <f>IFERROR(INDEX('Property Registry'!$I$5:$I$33,MATCH(A20,'Property Registry'!$A$5:$A$33,0)),"")</f>
        <v/>
      </c>
      <c r="D20" s="5" t="inlineStr">
        <is>
          <t>5970 Marion Drive</t>
        </is>
      </c>
      <c r="E20" s="5" t="inlineStr">
        <is>
          <t>FY2023</t>
        </is>
      </c>
      <c r="F20" s="8" t="inlineStr">
        <is>
          <t>Expense</t>
        </is>
      </c>
      <c r="G20" s="5" t="inlineStr">
        <is>
          <t>Utilities - Water</t>
        </is>
      </c>
      <c r="H20" s="10" t="n">
        <v>2157.08</v>
      </c>
      <c r="I20" s="11" t="n"/>
    </row>
    <row r="21">
      <c r="A21" s="5" t="inlineStr">
        <is>
          <t>5970 Marion</t>
        </is>
      </c>
      <c r="B21" s="8">
        <f>IFERROR(INDEX('Property Registry'!$G$5:$G$33,MATCH(A21,'Property Registry'!$A$5:$A$33,0)),"")</f>
        <v/>
      </c>
      <c r="C21" s="9">
        <f>IFERROR(INDEX('Property Registry'!$I$5:$I$33,MATCH(A21,'Property Registry'!$A$5:$A$33,0)),"")</f>
        <v/>
      </c>
      <c r="D21" s="5" t="inlineStr">
        <is>
          <t>5970 Marion Drive</t>
        </is>
      </c>
      <c r="E21" s="5" t="inlineStr">
        <is>
          <t>FY2023</t>
        </is>
      </c>
      <c r="F21" s="8" t="inlineStr">
        <is>
          <t>Expense</t>
        </is>
      </c>
      <c r="G21" s="5" t="inlineStr">
        <is>
          <t>Trash</t>
        </is>
      </c>
      <c r="H21" s="10" t="n">
        <v>151.01</v>
      </c>
      <c r="I21" s="11" t="n"/>
    </row>
    <row r="22">
      <c r="A22" s="5" t="inlineStr">
        <is>
          <t>5970 Marion</t>
        </is>
      </c>
      <c r="B22" s="8">
        <f>IFERROR(INDEX('Property Registry'!$G$5:$G$33,MATCH(A22,'Property Registry'!$A$5:$A$33,0)),"")</f>
        <v/>
      </c>
      <c r="C22" s="9">
        <f>IFERROR(INDEX('Property Registry'!$I$5:$I$33,MATCH(A22,'Property Registry'!$A$5:$A$33,0)),"")</f>
        <v/>
      </c>
      <c r="D22" s="5" t="inlineStr">
        <is>
          <t>5970 Marion Drive</t>
        </is>
      </c>
      <c r="E22" s="5" t="inlineStr">
        <is>
          <t>FY2023</t>
        </is>
      </c>
      <c r="F22" s="8" t="inlineStr">
        <is>
          <t>Expense</t>
        </is>
      </c>
      <c r="G22" s="5" t="inlineStr">
        <is>
          <t>Inspection &amp; Compliance</t>
        </is>
      </c>
      <c r="H22" s="10" t="n">
        <v>110</v>
      </c>
      <c r="I22" s="11" t="n"/>
    </row>
    <row r="23">
      <c r="A23" s="5" t="inlineStr">
        <is>
          <t>5970 Marion</t>
        </is>
      </c>
      <c r="B23" s="8">
        <f>IFERROR(INDEX('Property Registry'!$G$5:$G$33,MATCH(A23,'Property Registry'!$A$5:$A$33,0)),"")</f>
        <v/>
      </c>
      <c r="C23" s="9">
        <f>IFERROR(INDEX('Property Registry'!$I$5:$I$33,MATCH(A23,'Property Registry'!$A$5:$A$33,0)),"")</f>
        <v/>
      </c>
      <c r="D23" s="5" t="inlineStr">
        <is>
          <t>5970 Marion Drive</t>
        </is>
      </c>
      <c r="E23" s="5" t="inlineStr">
        <is>
          <t>FY2023</t>
        </is>
      </c>
      <c r="F23" s="8" t="inlineStr">
        <is>
          <t>Expense</t>
        </is>
      </c>
      <c r="G23" s="5" t="inlineStr">
        <is>
          <t>Property Management</t>
        </is>
      </c>
      <c r="H23" s="10" t="n">
        <v>6000</v>
      </c>
      <c r="I23" s="11" t="n"/>
    </row>
    <row r="24">
      <c r="A24" s="5" t="inlineStr">
        <is>
          <t>5970 Marion</t>
        </is>
      </c>
      <c r="B24" s="8">
        <f>IFERROR(INDEX('Property Registry'!$G$5:$G$33,MATCH(A24,'Property Registry'!$A$5:$A$33,0)),"")</f>
        <v/>
      </c>
      <c r="C24" s="9">
        <f>IFERROR(INDEX('Property Registry'!$I$5:$I$33,MATCH(A24,'Property Registry'!$A$5:$A$33,0)),"")</f>
        <v/>
      </c>
      <c r="D24" s="5" t="inlineStr">
        <is>
          <t>5970 Marion Drive</t>
        </is>
      </c>
      <c r="E24" s="5" t="inlineStr">
        <is>
          <t>FY2023</t>
        </is>
      </c>
      <c r="F24" s="8" t="inlineStr">
        <is>
          <t>Expense</t>
        </is>
      </c>
      <c r="G24" s="5" t="inlineStr">
        <is>
          <t>Bank fees</t>
        </is>
      </c>
      <c r="H24" s="10" t="n">
        <v>180</v>
      </c>
      <c r="I24" s="11" t="n"/>
    </row>
    <row r="25">
      <c r="A25" s="5" t="inlineStr">
        <is>
          <t>5970 Marion</t>
        </is>
      </c>
      <c r="B25" s="8">
        <f>IFERROR(INDEX('Property Registry'!$G$5:$G$33,MATCH(A25,'Property Registry'!$A$5:$A$33,0)),"")</f>
        <v/>
      </c>
      <c r="C25" s="9">
        <f>IFERROR(INDEX('Property Registry'!$I$5:$I$33,MATCH(A25,'Property Registry'!$A$5:$A$33,0)),"")</f>
        <v/>
      </c>
      <c r="D25" s="5" t="inlineStr">
        <is>
          <t>5970 Marion Drive</t>
        </is>
      </c>
      <c r="E25" s="5" t="inlineStr">
        <is>
          <t>FY2023</t>
        </is>
      </c>
      <c r="F25" s="8" t="inlineStr">
        <is>
          <t>Expense</t>
        </is>
      </c>
      <c r="G25" s="5" t="inlineStr">
        <is>
          <t>Insurance</t>
        </is>
      </c>
      <c r="H25" s="10" t="n">
        <v>8640.99</v>
      </c>
      <c r="I25" s="11" t="n"/>
    </row>
    <row r="26">
      <c r="A26" s="5" t="inlineStr">
        <is>
          <t>5970 Marion</t>
        </is>
      </c>
      <c r="B26" s="8">
        <f>IFERROR(INDEX('Property Registry'!$G$5:$G$33,MATCH(A26,'Property Registry'!$A$5:$A$33,0)),"")</f>
        <v/>
      </c>
      <c r="C26" s="9">
        <f>IFERROR(INDEX('Property Registry'!$I$5:$I$33,MATCH(A26,'Property Registry'!$A$5:$A$33,0)),"")</f>
        <v/>
      </c>
      <c r="D26" s="5" t="inlineStr">
        <is>
          <t>5970 Marion Drive</t>
        </is>
      </c>
      <c r="E26" s="5" t="inlineStr">
        <is>
          <t>FY2023</t>
        </is>
      </c>
      <c r="F26" s="8" t="inlineStr">
        <is>
          <t>Expense</t>
        </is>
      </c>
      <c r="G26" s="5" t="inlineStr">
        <is>
          <t>Taxes - Real Property</t>
        </is>
      </c>
      <c r="H26" s="10" t="n">
        <v>37726.76</v>
      </c>
      <c r="I26" s="11" t="n"/>
    </row>
    <row r="27">
      <c r="A27" s="5" t="inlineStr">
        <is>
          <t>5970 Marion</t>
        </is>
      </c>
      <c r="B27" s="8">
        <f>IFERROR(INDEX('Property Registry'!$G$5:$G$33,MATCH(A27,'Property Registry'!$A$5:$A$33,0)),"")</f>
        <v/>
      </c>
      <c r="C27" s="9">
        <f>IFERROR(INDEX('Property Registry'!$I$5:$I$33,MATCH(A27,'Property Registry'!$A$5:$A$33,0)),"")</f>
        <v/>
      </c>
      <c r="D27" s="5" t="inlineStr">
        <is>
          <t>5970 Marion Drive</t>
        </is>
      </c>
      <c r="E27" s="5" t="inlineStr">
        <is>
          <t>FY2023</t>
        </is>
      </c>
      <c r="F27" s="8" t="inlineStr">
        <is>
          <t>Expense</t>
        </is>
      </c>
      <c r="G27" s="5" t="inlineStr">
        <is>
          <t>Taxes Other</t>
        </is>
      </c>
      <c r="H27" s="10" t="n">
        <v>4968.83</v>
      </c>
      <c r="I27" s="11" t="n"/>
    </row>
    <row r="28">
      <c r="A28" s="5" t="inlineStr">
        <is>
          <t>5970 Marion</t>
        </is>
      </c>
      <c r="B28" s="8">
        <f>IFERROR(INDEX('Property Registry'!$G$5:$G$33,MATCH(A28,'Property Registry'!$A$5:$A$33,0)),"")</f>
        <v/>
      </c>
      <c r="C28" s="9">
        <f>IFERROR(INDEX('Property Registry'!$I$5:$I$33,MATCH(A28,'Property Registry'!$A$5:$A$33,0)),"")</f>
        <v/>
      </c>
      <c r="D28" s="5" t="inlineStr">
        <is>
          <t>5970 Marion Drive</t>
        </is>
      </c>
      <c r="E28" s="5" t="inlineStr">
        <is>
          <t>FY2023</t>
        </is>
      </c>
      <c r="F28" s="8" t="inlineStr">
        <is>
          <t>Expense</t>
        </is>
      </c>
      <c r="G28" s="5" t="inlineStr">
        <is>
          <t>Mortgage Principal</t>
        </is>
      </c>
      <c r="H28" s="10" t="n">
        <v>26699.59</v>
      </c>
      <c r="I28" s="11" t="n"/>
    </row>
    <row r="29">
      <c r="A29" s="5" t="inlineStr">
        <is>
          <t>5970 Marion</t>
        </is>
      </c>
      <c r="B29" s="8">
        <f>IFERROR(INDEX('Property Registry'!$G$5:$G$33,MATCH(A29,'Property Registry'!$A$5:$A$33,0)),"")</f>
        <v/>
      </c>
      <c r="C29" s="9">
        <f>IFERROR(INDEX('Property Registry'!$I$5:$I$33,MATCH(A29,'Property Registry'!$A$5:$A$33,0)),"")</f>
        <v/>
      </c>
      <c r="D29" s="5" t="inlineStr">
        <is>
          <t>5970 Marion Drive</t>
        </is>
      </c>
      <c r="E29" s="5" t="inlineStr">
        <is>
          <t>FY2023</t>
        </is>
      </c>
      <c r="F29" s="8" t="inlineStr">
        <is>
          <t>Expense</t>
        </is>
      </c>
      <c r="G29" s="5" t="inlineStr">
        <is>
          <t>Mortgage Interest</t>
        </is>
      </c>
      <c r="H29" s="10" t="n">
        <v>51624.89</v>
      </c>
      <c r="I29" s="11" t="n"/>
    </row>
    <row r="30">
      <c r="A30" s="5" t="inlineStr">
        <is>
          <t>5970 Marion</t>
        </is>
      </c>
      <c r="B30" s="8">
        <f>IFERROR(INDEX('Property Registry'!$G$5:$G$33,MATCH(A30,'Property Registry'!$A$5:$A$33,0)),"")</f>
        <v/>
      </c>
      <c r="C30" s="9">
        <f>IFERROR(INDEX('Property Registry'!$I$5:$I$33,MATCH(A30,'Property Registry'!$A$5:$A$33,0)),"")</f>
        <v/>
      </c>
      <c r="D30" s="5" t="inlineStr">
        <is>
          <t>5970 Marion Drive</t>
        </is>
      </c>
      <c r="E30" s="5" t="inlineStr">
        <is>
          <t>FY2023</t>
        </is>
      </c>
      <c r="F30" s="8" t="inlineStr">
        <is>
          <t>Expense</t>
        </is>
      </c>
      <c r="G30" s="5" t="inlineStr">
        <is>
          <t>TOTAL EXPENSE</t>
        </is>
      </c>
      <c r="H30" s="10" t="n">
        <v>188635.46</v>
      </c>
      <c r="I30" s="11" t="inlineStr">
        <is>
          <t>Printed total: $188,635.46. cash basis; Owner Draw $100,000 (financing) excluded</t>
        </is>
      </c>
    </row>
    <row r="31">
      <c r="A31" s="5" t="inlineStr">
        <is>
          <t>5970 Marion</t>
        </is>
      </c>
      <c r="B31" s="8">
        <f>IFERROR(INDEX('Property Registry'!$G$5:$G$33,MATCH(A31,'Property Registry'!$A$5:$A$33,0)),"")</f>
        <v/>
      </c>
      <c r="C31" s="9">
        <f>IFERROR(INDEX('Property Registry'!$I$5:$I$33,MATCH(A31,'Property Registry'!$A$5:$A$33,0)),"")</f>
        <v/>
      </c>
      <c r="D31" s="5" t="inlineStr">
        <is>
          <t>5970 Marion Drive</t>
        </is>
      </c>
      <c r="E31" s="5" t="inlineStr">
        <is>
          <t>FY2024</t>
        </is>
      </c>
      <c r="F31" s="8" t="inlineStr">
        <is>
          <t>Expense</t>
        </is>
      </c>
      <c r="G31" s="5" t="inlineStr">
        <is>
          <t>Utilities - Water</t>
        </is>
      </c>
      <c r="H31" s="10" t="n">
        <v>2175.55</v>
      </c>
      <c r="I31" s="11" t="n"/>
    </row>
    <row r="32">
      <c r="A32" s="5" t="inlineStr">
        <is>
          <t>5970 Marion</t>
        </is>
      </c>
      <c r="B32" s="8">
        <f>IFERROR(INDEX('Property Registry'!$G$5:$G$33,MATCH(A32,'Property Registry'!$A$5:$A$33,0)),"")</f>
        <v/>
      </c>
      <c r="C32" s="9">
        <f>IFERROR(INDEX('Property Registry'!$I$5:$I$33,MATCH(A32,'Property Registry'!$A$5:$A$33,0)),"")</f>
        <v/>
      </c>
      <c r="D32" s="5" t="inlineStr">
        <is>
          <t>5970 Marion Drive</t>
        </is>
      </c>
      <c r="E32" s="5" t="inlineStr">
        <is>
          <t>FY2024</t>
        </is>
      </c>
      <c r="F32" s="8" t="inlineStr">
        <is>
          <t>Expense</t>
        </is>
      </c>
      <c r="G32" s="5" t="inlineStr">
        <is>
          <t>Utilities - Sewer</t>
        </is>
      </c>
      <c r="H32" s="10" t="n">
        <v>394.3</v>
      </c>
      <c r="I32" s="11" t="n"/>
    </row>
    <row r="33">
      <c r="A33" s="5" t="inlineStr">
        <is>
          <t>5970 Marion</t>
        </is>
      </c>
      <c r="B33" s="8">
        <f>IFERROR(INDEX('Property Registry'!$G$5:$G$33,MATCH(A33,'Property Registry'!$A$5:$A$33,0)),"")</f>
        <v/>
      </c>
      <c r="C33" s="9">
        <f>IFERROR(INDEX('Property Registry'!$I$5:$I$33,MATCH(A33,'Property Registry'!$A$5:$A$33,0)),"")</f>
        <v/>
      </c>
      <c r="D33" s="5" t="inlineStr">
        <is>
          <t>5970 Marion Drive</t>
        </is>
      </c>
      <c r="E33" s="5" t="inlineStr">
        <is>
          <t>FY2024</t>
        </is>
      </c>
      <c r="F33" s="8" t="inlineStr">
        <is>
          <t>Expense</t>
        </is>
      </c>
      <c r="G33" s="5" t="inlineStr">
        <is>
          <t>Inspection &amp; Compliance</t>
        </is>
      </c>
      <c r="H33" s="10" t="n">
        <v>100</v>
      </c>
      <c r="I33" s="11" t="n"/>
    </row>
    <row r="34">
      <c r="A34" s="5" t="inlineStr">
        <is>
          <t>5970 Marion</t>
        </is>
      </c>
      <c r="B34" s="8">
        <f>IFERROR(INDEX('Property Registry'!$G$5:$G$33,MATCH(A34,'Property Registry'!$A$5:$A$33,0)),"")</f>
        <v/>
      </c>
      <c r="C34" s="9">
        <f>IFERROR(INDEX('Property Registry'!$I$5:$I$33,MATCH(A34,'Property Registry'!$A$5:$A$33,0)),"")</f>
        <v/>
      </c>
      <c r="D34" s="5" t="inlineStr">
        <is>
          <t>5970 Marion Drive</t>
        </is>
      </c>
      <c r="E34" s="5" t="inlineStr">
        <is>
          <t>FY2024</t>
        </is>
      </c>
      <c r="F34" s="8" t="inlineStr">
        <is>
          <t>Expense</t>
        </is>
      </c>
      <c r="G34" s="5" t="inlineStr">
        <is>
          <t>Snow Removal</t>
        </is>
      </c>
      <c r="H34" s="10" t="n">
        <v>927.47</v>
      </c>
      <c r="I34" s="11" t="n"/>
    </row>
    <row r="35">
      <c r="A35" s="5" t="inlineStr">
        <is>
          <t>5970 Marion</t>
        </is>
      </c>
      <c r="B35" s="8">
        <f>IFERROR(INDEX('Property Registry'!$G$5:$G$33,MATCH(A35,'Property Registry'!$A$5:$A$33,0)),"")</f>
        <v/>
      </c>
      <c r="C35" s="9">
        <f>IFERROR(INDEX('Property Registry'!$I$5:$I$33,MATCH(A35,'Property Registry'!$A$5:$A$33,0)),"")</f>
        <v/>
      </c>
      <c r="D35" s="5" t="inlineStr">
        <is>
          <t>5970 Marion Drive</t>
        </is>
      </c>
      <c r="E35" s="5" t="inlineStr">
        <is>
          <t>FY2024</t>
        </is>
      </c>
      <c r="F35" s="8" t="inlineStr">
        <is>
          <t>Expense</t>
        </is>
      </c>
      <c r="G35" s="5" t="inlineStr">
        <is>
          <t>Common Area Clean</t>
        </is>
      </c>
      <c r="H35" s="10" t="n">
        <v>200</v>
      </c>
      <c r="I35" s="11" t="n"/>
    </row>
    <row r="36">
      <c r="A36" s="5" t="inlineStr">
        <is>
          <t>5970 Marion</t>
        </is>
      </c>
      <c r="B36" s="8">
        <f>IFERROR(INDEX('Property Registry'!$G$5:$G$33,MATCH(A36,'Property Registry'!$A$5:$A$33,0)),"")</f>
        <v/>
      </c>
      <c r="C36" s="9">
        <f>IFERROR(INDEX('Property Registry'!$I$5:$I$33,MATCH(A36,'Property Registry'!$A$5:$A$33,0)),"")</f>
        <v/>
      </c>
      <c r="D36" s="5" t="inlineStr">
        <is>
          <t>5970 Marion Drive</t>
        </is>
      </c>
      <c r="E36" s="5" t="inlineStr">
        <is>
          <t>FY2024</t>
        </is>
      </c>
      <c r="F36" s="8" t="inlineStr">
        <is>
          <t>Expense</t>
        </is>
      </c>
      <c r="G36" s="5" t="inlineStr">
        <is>
          <t>Property Management</t>
        </is>
      </c>
      <c r="H36" s="10" t="n">
        <v>6000</v>
      </c>
      <c r="I36" s="11" t="inlineStr">
        <is>
          <t>Deerwoods</t>
        </is>
      </c>
    </row>
    <row r="37">
      <c r="A37" s="5" t="inlineStr">
        <is>
          <t>5970 Marion</t>
        </is>
      </c>
      <c r="B37" s="8">
        <f>IFERROR(INDEX('Property Registry'!$G$5:$G$33,MATCH(A37,'Property Registry'!$A$5:$A$33,0)),"")</f>
        <v/>
      </c>
      <c r="C37" s="9">
        <f>IFERROR(INDEX('Property Registry'!$I$5:$I$33,MATCH(A37,'Property Registry'!$A$5:$A$33,0)),"")</f>
        <v/>
      </c>
      <c r="D37" s="5" t="inlineStr">
        <is>
          <t>5970 Marion Drive</t>
        </is>
      </c>
      <c r="E37" s="5" t="inlineStr">
        <is>
          <t>FY2024</t>
        </is>
      </c>
      <c r="F37" s="8" t="inlineStr">
        <is>
          <t>Expense</t>
        </is>
      </c>
      <c r="G37" s="5" t="inlineStr">
        <is>
          <t>Eviction Fees</t>
        </is>
      </c>
      <c r="H37" s="10" t="n">
        <v>0</v>
      </c>
      <c r="I37" s="11" t="inlineStr">
        <is>
          <t>net $0</t>
        </is>
      </c>
    </row>
    <row r="38">
      <c r="A38" s="5" t="inlineStr">
        <is>
          <t>5970 Marion</t>
        </is>
      </c>
      <c r="B38" s="8">
        <f>IFERROR(INDEX('Property Registry'!$G$5:$G$33,MATCH(A38,'Property Registry'!$A$5:$A$33,0)),"")</f>
        <v/>
      </c>
      <c r="C38" s="9">
        <f>IFERROR(INDEX('Property Registry'!$I$5:$I$33,MATCH(A38,'Property Registry'!$A$5:$A$33,0)),"")</f>
        <v/>
      </c>
      <c r="D38" s="5" t="inlineStr">
        <is>
          <t>5970 Marion Drive</t>
        </is>
      </c>
      <c r="E38" s="5" t="inlineStr">
        <is>
          <t>FY2024</t>
        </is>
      </c>
      <c r="F38" s="8" t="inlineStr">
        <is>
          <t>Expense</t>
        </is>
      </c>
      <c r="G38" s="5" t="inlineStr">
        <is>
          <t>Insurance</t>
        </is>
      </c>
      <c r="H38" s="10" t="n">
        <v>10241.26</v>
      </c>
      <c r="I38" s="11" t="inlineStr">
        <is>
          <t>Farmers</t>
        </is>
      </c>
    </row>
    <row r="39">
      <c r="A39" s="5" t="inlineStr">
        <is>
          <t>5970 Marion</t>
        </is>
      </c>
      <c r="B39" s="8">
        <f>IFERROR(INDEX('Property Registry'!$G$5:$G$33,MATCH(A39,'Property Registry'!$A$5:$A$33,0)),"")</f>
        <v/>
      </c>
      <c r="C39" s="9">
        <f>IFERROR(INDEX('Property Registry'!$I$5:$I$33,MATCH(A39,'Property Registry'!$A$5:$A$33,0)),"")</f>
        <v/>
      </c>
      <c r="D39" s="5" t="inlineStr">
        <is>
          <t>5970 Marion Drive</t>
        </is>
      </c>
      <c r="E39" s="5" t="inlineStr">
        <is>
          <t>FY2024</t>
        </is>
      </c>
      <c r="F39" s="8" t="inlineStr">
        <is>
          <t>Expense</t>
        </is>
      </c>
      <c r="G39" s="5" t="inlineStr">
        <is>
          <t>Taxes - Real Property</t>
        </is>
      </c>
      <c r="H39" s="10" t="n">
        <v>62852.62</v>
      </c>
      <c r="I39" s="11" t="inlineStr">
        <is>
          <t>Adams Co.</t>
        </is>
      </c>
    </row>
    <row r="40">
      <c r="A40" s="5" t="inlineStr">
        <is>
          <t>5970 Marion</t>
        </is>
      </c>
      <c r="B40" s="8">
        <f>IFERROR(INDEX('Property Registry'!$G$5:$G$33,MATCH(A40,'Property Registry'!$A$5:$A$33,0)),"")</f>
        <v/>
      </c>
      <c r="C40" s="9">
        <f>IFERROR(INDEX('Property Registry'!$I$5:$I$33,MATCH(A40,'Property Registry'!$A$5:$A$33,0)),"")</f>
        <v/>
      </c>
      <c r="D40" s="5" t="inlineStr">
        <is>
          <t>5970 Marion Drive</t>
        </is>
      </c>
      <c r="E40" s="5" t="inlineStr">
        <is>
          <t>FY2024</t>
        </is>
      </c>
      <c r="F40" s="8" t="inlineStr">
        <is>
          <t>Expense</t>
        </is>
      </c>
      <c r="G40" s="5" t="inlineStr">
        <is>
          <t>Taxes Other</t>
        </is>
      </c>
      <c r="H40" s="10" t="n">
        <v>800</v>
      </c>
      <c r="I40" s="11" t="n"/>
    </row>
    <row r="41">
      <c r="A41" s="5" t="inlineStr">
        <is>
          <t>5970 Marion</t>
        </is>
      </c>
      <c r="B41" s="8">
        <f>IFERROR(INDEX('Property Registry'!$G$5:$G$33,MATCH(A41,'Property Registry'!$A$5:$A$33,0)),"")</f>
        <v/>
      </c>
      <c r="C41" s="9">
        <f>IFERROR(INDEX('Property Registry'!$I$5:$I$33,MATCH(A41,'Property Registry'!$A$5:$A$33,0)),"")</f>
        <v/>
      </c>
      <c r="D41" s="5" t="inlineStr">
        <is>
          <t>5970 Marion Drive</t>
        </is>
      </c>
      <c r="E41" s="5" t="inlineStr">
        <is>
          <t>FY2024</t>
        </is>
      </c>
      <c r="F41" s="8" t="inlineStr">
        <is>
          <t>Expense</t>
        </is>
      </c>
      <c r="G41" s="5" t="inlineStr">
        <is>
          <t>Mortgage Principal</t>
        </is>
      </c>
      <c r="H41" s="10" t="n">
        <v>27586.31</v>
      </c>
      <c r="I41" s="11" t="inlineStr">
        <is>
          <t>Alpine Bank</t>
        </is>
      </c>
    </row>
    <row r="42">
      <c r="A42" s="5" t="inlineStr">
        <is>
          <t>5970 Marion</t>
        </is>
      </c>
      <c r="B42" s="8">
        <f>IFERROR(INDEX('Property Registry'!$G$5:$G$33,MATCH(A42,'Property Registry'!$A$5:$A$33,0)),"")</f>
        <v/>
      </c>
      <c r="C42" s="9">
        <f>IFERROR(INDEX('Property Registry'!$I$5:$I$33,MATCH(A42,'Property Registry'!$A$5:$A$33,0)),"")</f>
        <v/>
      </c>
      <c r="D42" s="5" t="inlineStr">
        <is>
          <t>5970 Marion Drive</t>
        </is>
      </c>
      <c r="E42" s="5" t="inlineStr">
        <is>
          <t>FY2024</t>
        </is>
      </c>
      <c r="F42" s="8" t="inlineStr">
        <is>
          <t>Expense</t>
        </is>
      </c>
      <c r="G42" s="5" t="inlineStr">
        <is>
          <t>Mortgage Interest</t>
        </is>
      </c>
      <c r="H42" s="10" t="n">
        <v>50738.17</v>
      </c>
      <c r="I42" s="11" t="inlineStr">
        <is>
          <t>Alpine Bank</t>
        </is>
      </c>
    </row>
    <row r="43">
      <c r="A43" s="5" t="inlineStr">
        <is>
          <t>5970 Marion</t>
        </is>
      </c>
      <c r="B43" s="8">
        <f>IFERROR(INDEX('Property Registry'!$G$5:$G$33,MATCH(A43,'Property Registry'!$A$5:$A$33,0)),"")</f>
        <v/>
      </c>
      <c r="C43" s="9">
        <f>IFERROR(INDEX('Property Registry'!$I$5:$I$33,MATCH(A43,'Property Registry'!$A$5:$A$33,0)),"")</f>
        <v/>
      </c>
      <c r="D43" s="5" t="inlineStr">
        <is>
          <t>5970 Marion Drive</t>
        </is>
      </c>
      <c r="E43" s="5" t="inlineStr">
        <is>
          <t>FY2024</t>
        </is>
      </c>
      <c r="F43" s="8" t="inlineStr">
        <is>
          <t>Expense</t>
        </is>
      </c>
      <c r="G43" s="5" t="inlineStr">
        <is>
          <t>Legal &amp; Professional</t>
        </is>
      </c>
      <c r="H43" s="10" t="n">
        <v>465</v>
      </c>
      <c r="I43" s="11" t="n"/>
    </row>
    <row r="44">
      <c r="A44" s="5" t="inlineStr">
        <is>
          <t>5970 Marion</t>
        </is>
      </c>
      <c r="B44" s="8">
        <f>IFERROR(INDEX('Property Registry'!$G$5:$G$33,MATCH(A44,'Property Registry'!$A$5:$A$33,0)),"")</f>
        <v/>
      </c>
      <c r="C44" s="9">
        <f>IFERROR(INDEX('Property Registry'!$I$5:$I$33,MATCH(A44,'Property Registry'!$A$5:$A$33,0)),"")</f>
        <v/>
      </c>
      <c r="D44" s="5" t="inlineStr">
        <is>
          <t>5970 Marion Drive</t>
        </is>
      </c>
      <c r="E44" s="5" t="inlineStr">
        <is>
          <t>FY2024</t>
        </is>
      </c>
      <c r="F44" s="8" t="inlineStr">
        <is>
          <t>Expense</t>
        </is>
      </c>
      <c r="G44" s="5" t="inlineStr">
        <is>
          <t>Other</t>
        </is>
      </c>
      <c r="H44" s="10" t="n">
        <v>293.68</v>
      </c>
      <c r="I44" s="11" t="n"/>
    </row>
    <row r="45">
      <c r="A45" s="5" t="inlineStr">
        <is>
          <t>5970 Marion</t>
        </is>
      </c>
      <c r="B45" s="8">
        <f>IFERROR(INDEX('Property Registry'!$G$5:$G$33,MATCH(A45,'Property Registry'!$A$5:$A$33,0)),"")</f>
        <v/>
      </c>
      <c r="C45" s="9">
        <f>IFERROR(INDEX('Property Registry'!$I$5:$I$33,MATCH(A45,'Property Registry'!$A$5:$A$33,0)),"")</f>
        <v/>
      </c>
      <c r="D45" s="5" t="inlineStr">
        <is>
          <t>5970 Marion Drive</t>
        </is>
      </c>
      <c r="E45" s="5" t="inlineStr">
        <is>
          <t>FY2024</t>
        </is>
      </c>
      <c r="F45" s="8" t="inlineStr">
        <is>
          <t>Expense</t>
        </is>
      </c>
      <c r="G45" s="5" t="inlineStr">
        <is>
          <t>TOTAL EXPENSE</t>
        </is>
      </c>
      <c r="H45" s="10" t="n">
        <v>162774.36</v>
      </c>
      <c r="I45" s="11" t="inlineStr">
        <is>
          <t>Printed total: $162,774.36. cash basis; incl. debt service &amp; property taxes</t>
        </is>
      </c>
    </row>
    <row r="46">
      <c r="A46" s="5" t="inlineStr">
        <is>
          <t>R0212546</t>
        </is>
      </c>
      <c r="B46" s="8">
        <f>IFERROR(INDEX('Property Registry'!$G$5:$G$33,MATCH(A46,'Property Registry'!$A$5:$A$33,0)),"")</f>
        <v/>
      </c>
      <c r="C46" s="9">
        <f>IFERROR(INDEX('Property Registry'!$I$5:$I$33,MATCH(A46,'Property Registry'!$A$5:$A$33,0)),"")</f>
        <v/>
      </c>
      <c r="D46" s="5" t="inlineStr">
        <is>
          <t>2780 North Tower Road, LLC</t>
        </is>
      </c>
      <c r="E46" s="5" t="inlineStr">
        <is>
          <t>FY2023</t>
        </is>
      </c>
      <c r="F46" s="8" t="inlineStr">
        <is>
          <t>Expense</t>
        </is>
      </c>
      <c r="G46" s="5" t="inlineStr">
        <is>
          <t>60400 - Bank Service Charges</t>
        </is>
      </c>
      <c r="H46" s="10" t="n">
        <v>355</v>
      </c>
      <c r="I46" s="11" t="inlineStr">
        <is>
          <t>[Combined statement for both 2780 N. Tower Road parcels (R0212546 + R0212547); building size reflects R0212546 only.]</t>
        </is>
      </c>
    </row>
    <row r="47">
      <c r="A47" s="5" t="inlineStr">
        <is>
          <t>R0212546</t>
        </is>
      </c>
      <c r="B47" s="8">
        <f>IFERROR(INDEX('Property Registry'!$G$5:$G$33,MATCH(A47,'Property Registry'!$A$5:$A$33,0)),"")</f>
        <v/>
      </c>
      <c r="C47" s="9">
        <f>IFERROR(INDEX('Property Registry'!$I$5:$I$33,MATCH(A47,'Property Registry'!$A$5:$A$33,0)),"")</f>
        <v/>
      </c>
      <c r="D47" s="5" t="inlineStr">
        <is>
          <t>2780 North Tower Road, LLC</t>
        </is>
      </c>
      <c r="E47" s="5" t="inlineStr">
        <is>
          <t>FY2023</t>
        </is>
      </c>
      <c r="F47" s="8" t="inlineStr">
        <is>
          <t>Expense</t>
        </is>
      </c>
      <c r="G47" s="5" t="inlineStr">
        <is>
          <t>62500 - Dues and Subscriptions</t>
        </is>
      </c>
      <c r="H47" s="10" t="n">
        <v>800</v>
      </c>
      <c r="I47" s="11" t="inlineStr">
        <is>
          <t>[Combined statement for both 2780 N. Tower Road parcels (R0212546 + R0212547); building size reflects R0212546 only.]</t>
        </is>
      </c>
    </row>
    <row r="48">
      <c r="A48" s="5" t="inlineStr">
        <is>
          <t>R0212546</t>
        </is>
      </c>
      <c r="B48" s="8">
        <f>IFERROR(INDEX('Property Registry'!$G$5:$G$33,MATCH(A48,'Property Registry'!$A$5:$A$33,0)),"")</f>
        <v/>
      </c>
      <c r="C48" s="9">
        <f>IFERROR(INDEX('Property Registry'!$I$5:$I$33,MATCH(A48,'Property Registry'!$A$5:$A$33,0)),"")</f>
        <v/>
      </c>
      <c r="D48" s="5" t="inlineStr">
        <is>
          <t>2780 North Tower Road, LLC</t>
        </is>
      </c>
      <c r="E48" s="5" t="inlineStr">
        <is>
          <t>FY2023</t>
        </is>
      </c>
      <c r="F48" s="8" t="inlineStr">
        <is>
          <t>Expense</t>
        </is>
      </c>
      <c r="G48" s="5" t="inlineStr">
        <is>
          <t>64900 - Office Supplies</t>
        </is>
      </c>
      <c r="H48" s="10" t="n">
        <v>10</v>
      </c>
      <c r="I48" s="11" t="inlineStr">
        <is>
          <t>[Combined statement for both 2780 N. Tower Road parcels (R0212546 + R0212547); building size reflects R0212546 only.]</t>
        </is>
      </c>
    </row>
    <row r="49">
      <c r="A49" s="5" t="inlineStr">
        <is>
          <t>R0212546</t>
        </is>
      </c>
      <c r="B49" s="8">
        <f>IFERROR(INDEX('Property Registry'!$G$5:$G$33,MATCH(A49,'Property Registry'!$A$5:$A$33,0)),"")</f>
        <v/>
      </c>
      <c r="C49" s="9">
        <f>IFERROR(INDEX('Property Registry'!$I$5:$I$33,MATCH(A49,'Property Registry'!$A$5:$A$33,0)),"")</f>
        <v/>
      </c>
      <c r="D49" s="5" t="inlineStr">
        <is>
          <t>2780 North Tower Road, LLC</t>
        </is>
      </c>
      <c r="E49" s="5" t="inlineStr">
        <is>
          <t>FY2023</t>
        </is>
      </c>
      <c r="F49" s="8" t="inlineStr">
        <is>
          <t>Expense</t>
        </is>
      </c>
      <c r="G49" s="5" t="inlineStr">
        <is>
          <t>66700 - Professional Fees (Accounting+Svc Agmt)</t>
        </is>
      </c>
      <c r="H49" s="10" t="n">
        <v>20451</v>
      </c>
      <c r="I49" s="11" t="inlineStr">
        <is>
          <t>[Combined statement for both 2780 N. Tower Road parcels (R0212546 + R0212547); building size reflects R0212546 only.]</t>
        </is>
      </c>
    </row>
    <row r="50">
      <c r="A50" s="5" t="inlineStr">
        <is>
          <t>R0212546</t>
        </is>
      </c>
      <c r="B50" s="8">
        <f>IFERROR(INDEX('Property Registry'!$G$5:$G$33,MATCH(A50,'Property Registry'!$A$5:$A$33,0)),"")</f>
        <v/>
      </c>
      <c r="C50" s="9">
        <f>IFERROR(INDEX('Property Registry'!$I$5:$I$33,MATCH(A50,'Property Registry'!$A$5:$A$33,0)),"")</f>
        <v/>
      </c>
      <c r="D50" s="5" t="inlineStr">
        <is>
          <t>2780 North Tower Road, LLC</t>
        </is>
      </c>
      <c r="E50" s="5" t="inlineStr">
        <is>
          <t>FY2023</t>
        </is>
      </c>
      <c r="F50" s="8" t="inlineStr">
        <is>
          <t>Expense</t>
        </is>
      </c>
      <c r="G50" s="5" t="inlineStr">
        <is>
          <t>67200 - Repairs and Maintenance</t>
        </is>
      </c>
      <c r="H50" s="10" t="n">
        <v>0</v>
      </c>
      <c r="I50" s="11" t="inlineStr">
        <is>
          <t>[Combined statement for both 2780 N. Tower Road parcels (R0212546 + R0212547); building size reflects R0212546 only.]</t>
        </is>
      </c>
    </row>
    <row r="51">
      <c r="A51" s="5" t="inlineStr">
        <is>
          <t>R0212546</t>
        </is>
      </c>
      <c r="B51" s="8">
        <f>IFERROR(INDEX('Property Registry'!$G$5:$G$33,MATCH(A51,'Property Registry'!$A$5:$A$33,0)),"")</f>
        <v/>
      </c>
      <c r="C51" s="9">
        <f>IFERROR(INDEX('Property Registry'!$I$5:$I$33,MATCH(A51,'Property Registry'!$A$5:$A$33,0)),"")</f>
        <v/>
      </c>
      <c r="D51" s="5" t="inlineStr">
        <is>
          <t>2780 North Tower Road, LLC</t>
        </is>
      </c>
      <c r="E51" s="5" t="inlineStr">
        <is>
          <t>FY2023</t>
        </is>
      </c>
      <c r="F51" s="8" t="inlineStr">
        <is>
          <t>Expense</t>
        </is>
      </c>
      <c r="G51" s="5" t="inlineStr">
        <is>
          <t>68000 - Taxes - Property</t>
        </is>
      </c>
      <c r="H51" s="10" t="n">
        <v>0</v>
      </c>
      <c r="I51" s="11" t="inlineStr">
        <is>
          <t>[Combined statement for both 2780 N. Tower Road parcels (R0212546 + R0212547); building size reflects R0212546 only.]</t>
        </is>
      </c>
    </row>
    <row r="52">
      <c r="A52" s="5" t="inlineStr">
        <is>
          <t>R0212546</t>
        </is>
      </c>
      <c r="B52" s="8">
        <f>IFERROR(INDEX('Property Registry'!$G$5:$G$33,MATCH(A52,'Property Registry'!$A$5:$A$33,0)),"")</f>
        <v/>
      </c>
      <c r="C52" s="9">
        <f>IFERROR(INDEX('Property Registry'!$I$5:$I$33,MATCH(A52,'Property Registry'!$A$5:$A$33,0)),"")</f>
        <v/>
      </c>
      <c r="D52" s="5" t="inlineStr">
        <is>
          <t>2780 North Tower Road, LLC</t>
        </is>
      </c>
      <c r="E52" s="5" t="inlineStr">
        <is>
          <t>FY2023</t>
        </is>
      </c>
      <c r="F52" s="8" t="inlineStr">
        <is>
          <t>Expense</t>
        </is>
      </c>
      <c r="G52" s="5" t="inlineStr">
        <is>
          <t>68600 - Utilities</t>
        </is>
      </c>
      <c r="H52" s="10" t="n">
        <v>687</v>
      </c>
      <c r="I52" s="11" t="inlineStr">
        <is>
          <t>[Combined statement for both 2780 N. Tower Road parcels (R0212546 + R0212547); building size reflects R0212546 only.]</t>
        </is>
      </c>
    </row>
    <row r="53">
      <c r="A53" s="5" t="inlineStr">
        <is>
          <t>R0212546</t>
        </is>
      </c>
      <c r="B53" s="8">
        <f>IFERROR(INDEX('Property Registry'!$G$5:$G$33,MATCH(A53,'Property Registry'!$A$5:$A$33,0)),"")</f>
        <v/>
      </c>
      <c r="C53" s="9">
        <f>IFERROR(INDEX('Property Registry'!$I$5:$I$33,MATCH(A53,'Property Registry'!$A$5:$A$33,0)),"")</f>
        <v/>
      </c>
      <c r="D53" s="5" t="inlineStr">
        <is>
          <t>2780 North Tower Road, LLC</t>
        </is>
      </c>
      <c r="E53" s="5" t="inlineStr">
        <is>
          <t>FY2023</t>
        </is>
      </c>
      <c r="F53" s="8" t="inlineStr">
        <is>
          <t>Expense</t>
        </is>
      </c>
      <c r="G53" s="5" t="inlineStr">
        <is>
          <t>74410 - Outside Services</t>
        </is>
      </c>
      <c r="H53" s="10" t="n">
        <v>2206</v>
      </c>
      <c r="I53" s="11" t="inlineStr">
        <is>
          <t>[Combined statement for both 2780 N. Tower Road parcels (R0212546 + R0212547); building size reflects R0212546 only.]</t>
        </is>
      </c>
    </row>
    <row r="54">
      <c r="A54" s="5" t="inlineStr">
        <is>
          <t>R0212546</t>
        </is>
      </c>
      <c r="B54" s="8">
        <f>IFERROR(INDEX('Property Registry'!$G$5:$G$33,MATCH(A54,'Property Registry'!$A$5:$A$33,0)),"")</f>
        <v/>
      </c>
      <c r="C54" s="9">
        <f>IFERROR(INDEX('Property Registry'!$I$5:$I$33,MATCH(A54,'Property Registry'!$A$5:$A$33,0)),"")</f>
        <v/>
      </c>
      <c r="D54" s="5" t="inlineStr">
        <is>
          <t>2780 North Tower Road, LLC</t>
        </is>
      </c>
      <c r="E54" s="5" t="inlineStr">
        <is>
          <t>FY2023</t>
        </is>
      </c>
      <c r="F54" s="8" t="inlineStr">
        <is>
          <t>Expense</t>
        </is>
      </c>
      <c r="G54" s="5" t="inlineStr">
        <is>
          <t>75015 - Legal</t>
        </is>
      </c>
      <c r="H54" s="10" t="n">
        <v>4730</v>
      </c>
      <c r="I54" s="11" t="inlineStr">
        <is>
          <t>[Combined statement for both 2780 N. Tower Road parcels (R0212546 + R0212547); building size reflects R0212546 only.]</t>
        </is>
      </c>
    </row>
    <row r="55">
      <c r="A55" s="5" t="inlineStr">
        <is>
          <t>R0212546</t>
        </is>
      </c>
      <c r="B55" s="8">
        <f>IFERROR(INDEX('Property Registry'!$G$5:$G$33,MATCH(A55,'Property Registry'!$A$5:$A$33,0)),"")</f>
        <v/>
      </c>
      <c r="C55" s="9">
        <f>IFERROR(INDEX('Property Registry'!$I$5:$I$33,MATCH(A55,'Property Registry'!$A$5:$A$33,0)),"")</f>
        <v/>
      </c>
      <c r="D55" s="5" t="inlineStr">
        <is>
          <t>2780 North Tower Road, LLC</t>
        </is>
      </c>
      <c r="E55" s="5" t="inlineStr">
        <is>
          <t>FY2023</t>
        </is>
      </c>
      <c r="F55" s="8" t="inlineStr">
        <is>
          <t>Expense</t>
        </is>
      </c>
      <c r="G55" s="5" t="inlineStr">
        <is>
          <t>75020 - Consulting fees</t>
        </is>
      </c>
      <c r="H55" s="10" t="n">
        <v>0</v>
      </c>
      <c r="I55" s="11" t="inlineStr">
        <is>
          <t>[Combined statement for both 2780 N. Tower Road parcels (R0212546 + R0212547); building size reflects R0212546 only.]</t>
        </is>
      </c>
    </row>
    <row r="56">
      <c r="A56" s="5" t="inlineStr">
        <is>
          <t>R0212546</t>
        </is>
      </c>
      <c r="B56" s="8">
        <f>IFERROR(INDEX('Property Registry'!$G$5:$G$33,MATCH(A56,'Property Registry'!$A$5:$A$33,0)),"")</f>
        <v/>
      </c>
      <c r="C56" s="9">
        <f>IFERROR(INDEX('Property Registry'!$I$5:$I$33,MATCH(A56,'Property Registry'!$A$5:$A$33,0)),"")</f>
        <v/>
      </c>
      <c r="D56" s="5" t="inlineStr">
        <is>
          <t>2780 North Tower Road, LLC</t>
        </is>
      </c>
      <c r="E56" s="5" t="inlineStr">
        <is>
          <t>FY2023</t>
        </is>
      </c>
      <c r="F56" s="8" t="inlineStr">
        <is>
          <t>Expense</t>
        </is>
      </c>
      <c r="G56" s="5" t="inlineStr">
        <is>
          <t>77025 - Depreciation-Bldgs &amp; Improvement</t>
        </is>
      </c>
      <c r="H56" s="10" t="n">
        <v>456096</v>
      </c>
      <c r="I56" s="11" t="inlineStr">
        <is>
          <t>[Combined statement for both 2780 N. Tower Road parcels (R0212546 + R0212547); building size reflects R0212546 only.]</t>
        </is>
      </c>
    </row>
    <row r="57">
      <c r="A57" s="5" t="inlineStr">
        <is>
          <t>R0212546</t>
        </is>
      </c>
      <c r="B57" s="8">
        <f>IFERROR(INDEX('Property Registry'!$G$5:$G$33,MATCH(A57,'Property Registry'!$A$5:$A$33,0)),"")</f>
        <v/>
      </c>
      <c r="C57" s="9">
        <f>IFERROR(INDEX('Property Registry'!$I$5:$I$33,MATCH(A57,'Property Registry'!$A$5:$A$33,0)),"")</f>
        <v/>
      </c>
      <c r="D57" s="5" t="inlineStr">
        <is>
          <t>2780 North Tower Road, LLC</t>
        </is>
      </c>
      <c r="E57" s="5" t="inlineStr">
        <is>
          <t>FY2023</t>
        </is>
      </c>
      <c r="F57" s="8" t="inlineStr">
        <is>
          <t>Expense</t>
        </is>
      </c>
      <c r="G57" s="5" t="inlineStr">
        <is>
          <t>77026 - Amortization</t>
        </is>
      </c>
      <c r="H57" s="10" t="n">
        <v>12124</v>
      </c>
      <c r="I57" s="11" t="inlineStr">
        <is>
          <t>[Combined statement for both 2780 N. Tower Road parcels (R0212546 + R0212547); building size reflects R0212546 only.]</t>
        </is>
      </c>
    </row>
    <row r="58">
      <c r="A58" s="5" t="inlineStr">
        <is>
          <t>R0212546</t>
        </is>
      </c>
      <c r="B58" s="8">
        <f>IFERROR(INDEX('Property Registry'!$G$5:$G$33,MATCH(A58,'Property Registry'!$A$5:$A$33,0)),"")</f>
        <v/>
      </c>
      <c r="C58" s="9">
        <f>IFERROR(INDEX('Property Registry'!$I$5:$I$33,MATCH(A58,'Property Registry'!$A$5:$A$33,0)),"")</f>
        <v/>
      </c>
      <c r="D58" s="5" t="inlineStr">
        <is>
          <t>2780 North Tower Road, LLC</t>
        </is>
      </c>
      <c r="E58" s="5" t="inlineStr">
        <is>
          <t>FY2023</t>
        </is>
      </c>
      <c r="F58" s="8" t="inlineStr">
        <is>
          <t>Expense</t>
        </is>
      </c>
      <c r="G58" s="5" t="inlineStr">
        <is>
          <t>TOTAL EXPENSE</t>
        </is>
      </c>
      <c r="H58" s="10" t="n">
        <v>497459</v>
      </c>
      <c r="I58" s="11" t="inlineStr">
        <is>
          <t>Printed total: $497,459. [Combined statement for both 2780 N. Tower Road parcels (R0212546 + R0212547); building size reflects R0212546 only.]</t>
        </is>
      </c>
    </row>
    <row r="59">
      <c r="A59" s="5" t="inlineStr">
        <is>
          <t>R0212546</t>
        </is>
      </c>
      <c r="B59" s="8">
        <f>IFERROR(INDEX('Property Registry'!$G$5:$G$33,MATCH(A59,'Property Registry'!$A$5:$A$33,0)),"")</f>
        <v/>
      </c>
      <c r="C59" s="9">
        <f>IFERROR(INDEX('Property Registry'!$I$5:$I$33,MATCH(A59,'Property Registry'!$A$5:$A$33,0)),"")</f>
        <v/>
      </c>
      <c r="D59" s="5" t="inlineStr">
        <is>
          <t>2780 North Tower Road, LLC</t>
        </is>
      </c>
      <c r="E59" s="5" t="inlineStr">
        <is>
          <t>FY2023</t>
        </is>
      </c>
      <c r="F59" s="8" t="inlineStr">
        <is>
          <t>Interest</t>
        </is>
      </c>
      <c r="G59" s="5" t="inlineStr">
        <is>
          <t>92000 Interest Expense - Notes (net of $18 other income)</t>
        </is>
      </c>
      <c r="H59" s="10" t="n">
        <v>641014</v>
      </c>
      <c r="I59" s="11" t="inlineStr">
        <is>
          <t>[Combined statement for both 2780 N. Tower Road parcels (R0212546 + R0212547); building size reflects R0212546 only.]</t>
        </is>
      </c>
    </row>
    <row r="60">
      <c r="A60" s="5" t="inlineStr">
        <is>
          <t>R0212546</t>
        </is>
      </c>
      <c r="B60" s="8">
        <f>IFERROR(INDEX('Property Registry'!$G$5:$G$33,MATCH(A60,'Property Registry'!$A$5:$A$33,0)),"")</f>
        <v/>
      </c>
      <c r="C60" s="9">
        <f>IFERROR(INDEX('Property Registry'!$I$5:$I$33,MATCH(A60,'Property Registry'!$A$5:$A$33,0)),"")</f>
        <v/>
      </c>
      <c r="D60" s="5" t="inlineStr">
        <is>
          <t>2780 North Tower Road, LLC</t>
        </is>
      </c>
      <c r="E60" s="5" t="inlineStr">
        <is>
          <t>FY2023</t>
        </is>
      </c>
      <c r="F60" s="8" t="inlineStr">
        <is>
          <t>Other Income/Expense</t>
        </is>
      </c>
      <c r="G60" s="5" t="inlineStr">
        <is>
          <t>TOTAL Interest &amp; Other Expense (net)</t>
        </is>
      </c>
      <c r="H60" s="10" t="n">
        <v>640996</v>
      </c>
      <c r="I60" s="11" t="inlineStr">
        <is>
          <t>[Combined statement for both 2780 N. Tower Road parcels (R0212546 + R0212547); building size reflects R0212546 only.]</t>
        </is>
      </c>
    </row>
    <row r="61">
      <c r="A61" s="5" t="inlineStr">
        <is>
          <t>R0212546</t>
        </is>
      </c>
      <c r="B61" s="8">
        <f>IFERROR(INDEX('Property Registry'!$G$5:$G$33,MATCH(A61,'Property Registry'!$A$5:$A$33,0)),"")</f>
        <v/>
      </c>
      <c r="C61" s="9">
        <f>IFERROR(INDEX('Property Registry'!$I$5:$I$33,MATCH(A61,'Property Registry'!$A$5:$A$33,0)),"")</f>
        <v/>
      </c>
      <c r="D61" s="5" t="inlineStr">
        <is>
          <t>2780 North Tower Road, LLC</t>
        </is>
      </c>
      <c r="E61" s="5" t="inlineStr">
        <is>
          <t>FY2024</t>
        </is>
      </c>
      <c r="F61" s="8" t="inlineStr">
        <is>
          <t>Expense</t>
        </is>
      </c>
      <c r="G61" s="5" t="inlineStr">
        <is>
          <t>60400 - Bank Service Charges</t>
        </is>
      </c>
      <c r="H61" s="10" t="n">
        <v>207</v>
      </c>
      <c r="I61" s="11" t="inlineStr">
        <is>
          <t>[Combined statement for both 2780 N. Tower Road parcels (R0212546 + R0212547); building size reflects R0212546 only.]</t>
        </is>
      </c>
    </row>
    <row r="62">
      <c r="A62" s="5" t="inlineStr">
        <is>
          <t>R0212546</t>
        </is>
      </c>
      <c r="B62" s="8">
        <f>IFERROR(INDEX('Property Registry'!$G$5:$G$33,MATCH(A62,'Property Registry'!$A$5:$A$33,0)),"")</f>
        <v/>
      </c>
      <c r="C62" s="9">
        <f>IFERROR(INDEX('Property Registry'!$I$5:$I$33,MATCH(A62,'Property Registry'!$A$5:$A$33,0)),"")</f>
        <v/>
      </c>
      <c r="D62" s="5" t="inlineStr">
        <is>
          <t>2780 North Tower Road, LLC</t>
        </is>
      </c>
      <c r="E62" s="5" t="inlineStr">
        <is>
          <t>FY2024</t>
        </is>
      </c>
      <c r="F62" s="8" t="inlineStr">
        <is>
          <t>Expense</t>
        </is>
      </c>
      <c r="G62" s="5" t="inlineStr">
        <is>
          <t>62500 - Dues and Subscriptions</t>
        </is>
      </c>
      <c r="H62" s="10" t="n">
        <v>839</v>
      </c>
      <c r="I62" s="11" t="inlineStr">
        <is>
          <t>[Combined statement for both 2780 N. Tower Road parcels (R0212546 + R0212547); building size reflects R0212546 only.]</t>
        </is>
      </c>
    </row>
    <row r="63">
      <c r="A63" s="5" t="inlineStr">
        <is>
          <t>R0212546</t>
        </is>
      </c>
      <c r="B63" s="8">
        <f>IFERROR(INDEX('Property Registry'!$G$5:$G$33,MATCH(A63,'Property Registry'!$A$5:$A$33,0)),"")</f>
        <v/>
      </c>
      <c r="C63" s="9">
        <f>IFERROR(INDEX('Property Registry'!$I$5:$I$33,MATCH(A63,'Property Registry'!$A$5:$A$33,0)),"")</f>
        <v/>
      </c>
      <c r="D63" s="5" t="inlineStr">
        <is>
          <t>2780 North Tower Road, LLC</t>
        </is>
      </c>
      <c r="E63" s="5" t="inlineStr">
        <is>
          <t>FY2024</t>
        </is>
      </c>
      <c r="F63" s="8" t="inlineStr">
        <is>
          <t>Expense</t>
        </is>
      </c>
      <c r="G63" s="5" t="inlineStr">
        <is>
          <t>64900 - Office Supplies</t>
        </is>
      </c>
      <c r="H63" s="10" t="n">
        <v>0</v>
      </c>
      <c r="I63" s="11" t="inlineStr">
        <is>
          <t>[Combined statement for both 2780 N. Tower Road parcels (R0212546 + R0212547); building size reflects R0212546 only.]</t>
        </is>
      </c>
    </row>
    <row r="64">
      <c r="A64" s="5" t="inlineStr">
        <is>
          <t>R0212546</t>
        </is>
      </c>
      <c r="B64" s="8">
        <f>IFERROR(INDEX('Property Registry'!$G$5:$G$33,MATCH(A64,'Property Registry'!$A$5:$A$33,0)),"")</f>
        <v/>
      </c>
      <c r="C64" s="9">
        <f>IFERROR(INDEX('Property Registry'!$I$5:$I$33,MATCH(A64,'Property Registry'!$A$5:$A$33,0)),"")</f>
        <v/>
      </c>
      <c r="D64" s="5" t="inlineStr">
        <is>
          <t>2780 North Tower Road, LLC</t>
        </is>
      </c>
      <c r="E64" s="5" t="inlineStr">
        <is>
          <t>FY2024</t>
        </is>
      </c>
      <c r="F64" s="8" t="inlineStr">
        <is>
          <t>Expense</t>
        </is>
      </c>
      <c r="G64" s="5" t="inlineStr">
        <is>
          <t>66700 - Professional Fees (Accounting+Svc Agmt+Other)</t>
        </is>
      </c>
      <c r="H64" s="10" t="n">
        <v>20011</v>
      </c>
      <c r="I64" s="11" t="inlineStr">
        <is>
          <t>[Combined statement for both 2780 N. Tower Road parcels (R0212546 + R0212547); building size reflects R0212546 only.]</t>
        </is>
      </c>
    </row>
    <row r="65">
      <c r="A65" s="5" t="inlineStr">
        <is>
          <t>R0212546</t>
        </is>
      </c>
      <c r="B65" s="8">
        <f>IFERROR(INDEX('Property Registry'!$G$5:$G$33,MATCH(A65,'Property Registry'!$A$5:$A$33,0)),"")</f>
        <v/>
      </c>
      <c r="C65" s="9">
        <f>IFERROR(INDEX('Property Registry'!$I$5:$I$33,MATCH(A65,'Property Registry'!$A$5:$A$33,0)),"")</f>
        <v/>
      </c>
      <c r="D65" s="5" t="inlineStr">
        <is>
          <t>2780 North Tower Road, LLC</t>
        </is>
      </c>
      <c r="E65" s="5" t="inlineStr">
        <is>
          <t>FY2024</t>
        </is>
      </c>
      <c r="F65" s="8" t="inlineStr">
        <is>
          <t>Expense</t>
        </is>
      </c>
      <c r="G65" s="5" t="inlineStr">
        <is>
          <t>67200 - Repairs and Maintenance</t>
        </is>
      </c>
      <c r="H65" s="10" t="n">
        <v>0</v>
      </c>
      <c r="I65" s="11" t="inlineStr">
        <is>
          <t>[Combined statement for both 2780 N. Tower Road parcels (R0212546 + R0212547); building size reflects R0212546 only.]</t>
        </is>
      </c>
    </row>
    <row r="66">
      <c r="A66" s="5" t="inlineStr">
        <is>
          <t>R0212546</t>
        </is>
      </c>
      <c r="B66" s="8">
        <f>IFERROR(INDEX('Property Registry'!$G$5:$G$33,MATCH(A66,'Property Registry'!$A$5:$A$33,0)),"")</f>
        <v/>
      </c>
      <c r="C66" s="9">
        <f>IFERROR(INDEX('Property Registry'!$I$5:$I$33,MATCH(A66,'Property Registry'!$A$5:$A$33,0)),"")</f>
        <v/>
      </c>
      <c r="D66" s="5" t="inlineStr">
        <is>
          <t>2780 North Tower Road, LLC</t>
        </is>
      </c>
      <c r="E66" s="5" t="inlineStr">
        <is>
          <t>FY2024</t>
        </is>
      </c>
      <c r="F66" s="8" t="inlineStr">
        <is>
          <t>Expense</t>
        </is>
      </c>
      <c r="G66" s="5" t="inlineStr">
        <is>
          <t>68000 - Taxes - Property</t>
        </is>
      </c>
      <c r="H66" s="10" t="n">
        <v>0</v>
      </c>
      <c r="I66" s="11" t="inlineStr">
        <is>
          <t>[Combined statement for both 2780 N. Tower Road parcels (R0212546 + R0212547); building size reflects R0212546 only.]</t>
        </is>
      </c>
    </row>
    <row r="67">
      <c r="A67" s="5" t="inlineStr">
        <is>
          <t>R0212546</t>
        </is>
      </c>
      <c r="B67" s="8">
        <f>IFERROR(INDEX('Property Registry'!$G$5:$G$33,MATCH(A67,'Property Registry'!$A$5:$A$33,0)),"")</f>
        <v/>
      </c>
      <c r="C67" s="9">
        <f>IFERROR(INDEX('Property Registry'!$I$5:$I$33,MATCH(A67,'Property Registry'!$A$5:$A$33,0)),"")</f>
        <v/>
      </c>
      <c r="D67" s="5" t="inlineStr">
        <is>
          <t>2780 North Tower Road, LLC</t>
        </is>
      </c>
      <c r="E67" s="5" t="inlineStr">
        <is>
          <t>FY2024</t>
        </is>
      </c>
      <c r="F67" s="8" t="inlineStr">
        <is>
          <t>Expense</t>
        </is>
      </c>
      <c r="G67" s="5" t="inlineStr">
        <is>
          <t>68600 - Utilities</t>
        </is>
      </c>
      <c r="H67" s="10" t="n">
        <v>0</v>
      </c>
      <c r="I67" s="11" t="inlineStr">
        <is>
          <t>[Combined statement for both 2780 N. Tower Road parcels (R0212546 + R0212547); building size reflects R0212546 only.]</t>
        </is>
      </c>
    </row>
    <row r="68">
      <c r="A68" s="5" t="inlineStr">
        <is>
          <t>R0212546</t>
        </is>
      </c>
      <c r="B68" s="8">
        <f>IFERROR(INDEX('Property Registry'!$G$5:$G$33,MATCH(A68,'Property Registry'!$A$5:$A$33,0)),"")</f>
        <v/>
      </c>
      <c r="C68" s="9">
        <f>IFERROR(INDEX('Property Registry'!$I$5:$I$33,MATCH(A68,'Property Registry'!$A$5:$A$33,0)),"")</f>
        <v/>
      </c>
      <c r="D68" s="5" t="inlineStr">
        <is>
          <t>2780 North Tower Road, LLC</t>
        </is>
      </c>
      <c r="E68" s="5" t="inlineStr">
        <is>
          <t>FY2024</t>
        </is>
      </c>
      <c r="F68" s="8" t="inlineStr">
        <is>
          <t>Expense</t>
        </is>
      </c>
      <c r="G68" s="5" t="inlineStr">
        <is>
          <t>74410 - Outside Services</t>
        </is>
      </c>
      <c r="H68" s="10" t="n">
        <v>14830</v>
      </c>
      <c r="I68" s="11" t="inlineStr">
        <is>
          <t>[Combined statement for both 2780 N. Tower Road parcels (R0212546 + R0212547); building size reflects R0212546 only.]</t>
        </is>
      </c>
    </row>
    <row r="69">
      <c r="A69" s="5" t="inlineStr">
        <is>
          <t>R0212546</t>
        </is>
      </c>
      <c r="B69" s="8">
        <f>IFERROR(INDEX('Property Registry'!$G$5:$G$33,MATCH(A69,'Property Registry'!$A$5:$A$33,0)),"")</f>
        <v/>
      </c>
      <c r="C69" s="9">
        <f>IFERROR(INDEX('Property Registry'!$I$5:$I$33,MATCH(A69,'Property Registry'!$A$5:$A$33,0)),"")</f>
        <v/>
      </c>
      <c r="D69" s="5" t="inlineStr">
        <is>
          <t>2780 North Tower Road, LLC</t>
        </is>
      </c>
      <c r="E69" s="5" t="inlineStr">
        <is>
          <t>FY2024</t>
        </is>
      </c>
      <c r="F69" s="8" t="inlineStr">
        <is>
          <t>Expense</t>
        </is>
      </c>
      <c r="G69" s="5" t="inlineStr">
        <is>
          <t>75015 - Legal</t>
        </is>
      </c>
      <c r="H69" s="10" t="n">
        <v>11093</v>
      </c>
      <c r="I69" s="11" t="inlineStr">
        <is>
          <t>[Combined statement for both 2780 N. Tower Road parcels (R0212546 + R0212547); building size reflects R0212546 only.]</t>
        </is>
      </c>
    </row>
    <row r="70">
      <c r="A70" s="5" t="inlineStr">
        <is>
          <t>R0212546</t>
        </is>
      </c>
      <c r="B70" s="8">
        <f>IFERROR(INDEX('Property Registry'!$G$5:$G$33,MATCH(A70,'Property Registry'!$A$5:$A$33,0)),"")</f>
        <v/>
      </c>
      <c r="C70" s="9">
        <f>IFERROR(INDEX('Property Registry'!$I$5:$I$33,MATCH(A70,'Property Registry'!$A$5:$A$33,0)),"")</f>
        <v/>
      </c>
      <c r="D70" s="5" t="inlineStr">
        <is>
          <t>2780 North Tower Road, LLC</t>
        </is>
      </c>
      <c r="E70" s="5" t="inlineStr">
        <is>
          <t>FY2024</t>
        </is>
      </c>
      <c r="F70" s="8" t="inlineStr">
        <is>
          <t>Expense</t>
        </is>
      </c>
      <c r="G70" s="5" t="inlineStr">
        <is>
          <t>75020 - Consulting fees</t>
        </is>
      </c>
      <c r="H70" s="10" t="n">
        <v>0</v>
      </c>
      <c r="I70" s="11" t="inlineStr">
        <is>
          <t>[Combined statement for both 2780 N. Tower Road parcels (R0212546 + R0212547); building size reflects R0212546 only.]</t>
        </is>
      </c>
    </row>
    <row r="71">
      <c r="A71" s="5" t="inlineStr">
        <is>
          <t>R0212546</t>
        </is>
      </c>
      <c r="B71" s="8">
        <f>IFERROR(INDEX('Property Registry'!$G$5:$G$33,MATCH(A71,'Property Registry'!$A$5:$A$33,0)),"")</f>
        <v/>
      </c>
      <c r="C71" s="9">
        <f>IFERROR(INDEX('Property Registry'!$I$5:$I$33,MATCH(A71,'Property Registry'!$A$5:$A$33,0)),"")</f>
        <v/>
      </c>
      <c r="D71" s="5" t="inlineStr">
        <is>
          <t>2780 North Tower Road, LLC</t>
        </is>
      </c>
      <c r="E71" s="5" t="inlineStr">
        <is>
          <t>FY2024</t>
        </is>
      </c>
      <c r="F71" s="8" t="inlineStr">
        <is>
          <t>Expense</t>
        </is>
      </c>
      <c r="G71" s="5" t="inlineStr">
        <is>
          <t>77025 - Depreciation-Bldgs &amp; Improvement</t>
        </is>
      </c>
      <c r="H71" s="10" t="n">
        <v>456096</v>
      </c>
      <c r="I71" s="11" t="inlineStr">
        <is>
          <t>[Combined statement for both 2780 N. Tower Road parcels (R0212546 + R0212547); building size reflects R0212546 only.]</t>
        </is>
      </c>
    </row>
    <row r="72">
      <c r="A72" s="5" t="inlineStr">
        <is>
          <t>R0212546</t>
        </is>
      </c>
      <c r="B72" s="8">
        <f>IFERROR(INDEX('Property Registry'!$G$5:$G$33,MATCH(A72,'Property Registry'!$A$5:$A$33,0)),"")</f>
        <v/>
      </c>
      <c r="C72" s="9">
        <f>IFERROR(INDEX('Property Registry'!$I$5:$I$33,MATCH(A72,'Property Registry'!$A$5:$A$33,0)),"")</f>
        <v/>
      </c>
      <c r="D72" s="5" t="inlineStr">
        <is>
          <t>2780 North Tower Road, LLC</t>
        </is>
      </c>
      <c r="E72" s="5" t="inlineStr">
        <is>
          <t>FY2024</t>
        </is>
      </c>
      <c r="F72" s="8" t="inlineStr">
        <is>
          <t>Expense</t>
        </is>
      </c>
      <c r="G72" s="5" t="inlineStr">
        <is>
          <t>77026 - Amortization</t>
        </is>
      </c>
      <c r="H72" s="10" t="n">
        <v>12124</v>
      </c>
      <c r="I72" s="11" t="inlineStr">
        <is>
          <t>[Combined statement for both 2780 N. Tower Road parcels (R0212546 + R0212547); building size reflects R0212546 only.]</t>
        </is>
      </c>
    </row>
    <row r="73">
      <c r="A73" s="5" t="inlineStr">
        <is>
          <t>R0212546</t>
        </is>
      </c>
      <c r="B73" s="8">
        <f>IFERROR(INDEX('Property Registry'!$G$5:$G$33,MATCH(A73,'Property Registry'!$A$5:$A$33,0)),"")</f>
        <v/>
      </c>
      <c r="C73" s="9">
        <f>IFERROR(INDEX('Property Registry'!$I$5:$I$33,MATCH(A73,'Property Registry'!$A$5:$A$33,0)),"")</f>
        <v/>
      </c>
      <c r="D73" s="5" t="inlineStr">
        <is>
          <t>2780 North Tower Road, LLC</t>
        </is>
      </c>
      <c r="E73" s="5" t="inlineStr">
        <is>
          <t>FY2024</t>
        </is>
      </c>
      <c r="F73" s="8" t="inlineStr">
        <is>
          <t>Expense</t>
        </is>
      </c>
      <c r="G73" s="5" t="inlineStr">
        <is>
          <t>TOTAL EXPENSE</t>
        </is>
      </c>
      <c r="H73" s="10" t="n">
        <v>515200</v>
      </c>
      <c r="I73" s="11" t="inlineStr">
        <is>
          <t>Printed total: $515,200. [Combined statement for both 2780 N. Tower Road parcels (R0212546 + R0212547); building size reflects R0212546 only.]</t>
        </is>
      </c>
    </row>
    <row r="74">
      <c r="A74" s="5" t="inlineStr">
        <is>
          <t>R0212546</t>
        </is>
      </c>
      <c r="B74" s="8">
        <f>IFERROR(INDEX('Property Registry'!$G$5:$G$33,MATCH(A74,'Property Registry'!$A$5:$A$33,0)),"")</f>
        <v/>
      </c>
      <c r="C74" s="9">
        <f>IFERROR(INDEX('Property Registry'!$I$5:$I$33,MATCH(A74,'Property Registry'!$A$5:$A$33,0)),"")</f>
        <v/>
      </c>
      <c r="D74" s="5" t="inlineStr">
        <is>
          <t>2780 North Tower Road, LLC</t>
        </is>
      </c>
      <c r="E74" s="5" t="inlineStr">
        <is>
          <t>FY2024</t>
        </is>
      </c>
      <c r="F74" s="8" t="inlineStr">
        <is>
          <t>Interest</t>
        </is>
      </c>
      <c r="G74" s="5" t="inlineStr">
        <is>
          <t>92000 Interest Expense - Notes</t>
        </is>
      </c>
      <c r="H74" s="10" t="n">
        <v>613282</v>
      </c>
      <c r="I74" s="11" t="inlineStr">
        <is>
          <t>[Combined statement for both 2780 N. Tower Road parcels (R0212546 + R0212547); building size reflects R0212546 only.]</t>
        </is>
      </c>
    </row>
    <row r="75">
      <c r="A75" s="5" t="inlineStr">
        <is>
          <t>R0212546</t>
        </is>
      </c>
      <c r="B75" s="8">
        <f>IFERROR(INDEX('Property Registry'!$G$5:$G$33,MATCH(A75,'Property Registry'!$A$5:$A$33,0)),"")</f>
        <v/>
      </c>
      <c r="C75" s="9">
        <f>IFERROR(INDEX('Property Registry'!$I$5:$I$33,MATCH(A75,'Property Registry'!$A$5:$A$33,0)),"")</f>
        <v/>
      </c>
      <c r="D75" s="5" t="inlineStr">
        <is>
          <t>2780 North Tower Road, LLC</t>
        </is>
      </c>
      <c r="E75" s="5" t="inlineStr">
        <is>
          <t>FY2024</t>
        </is>
      </c>
      <c r="F75" s="8" t="inlineStr">
        <is>
          <t>Other Income/Expense</t>
        </is>
      </c>
      <c r="G75" s="5" t="inlineStr">
        <is>
          <t>TOTAL Interest &amp; Other Expense (net)</t>
        </is>
      </c>
      <c r="H75" s="10" t="n">
        <v>613282</v>
      </c>
      <c r="I75" s="11" t="inlineStr">
        <is>
          <t>[Combined statement for both 2780 N. Tower Road parcels (R0212546 + R0212547); building size reflects R0212546 only.]</t>
        </is>
      </c>
    </row>
    <row r="76">
      <c r="A76" s="5" t="inlineStr">
        <is>
          <t>R0198564</t>
        </is>
      </c>
      <c r="B76" s="8">
        <f>IFERROR(INDEX('Property Registry'!$G$5:$G$33,MATCH(A76,'Property Registry'!$A$5:$A$33,0)),"")</f>
        <v/>
      </c>
      <c r="C76" s="9">
        <f>IFERROR(INDEX('Property Registry'!$I$5:$I$33,MATCH(A76,'Property Registry'!$A$5:$A$33,0)),"")</f>
        <v/>
      </c>
      <c r="D76" s="5" t="inlineStr">
        <is>
          <t>TrusTile Doors (R0198564)</t>
        </is>
      </c>
      <c r="E76" s="5" t="inlineStr">
        <is>
          <t>Oct'23-Sep'24 survey</t>
        </is>
      </c>
      <c r="F76" s="8" t="inlineStr">
        <is>
          <t>Expense</t>
        </is>
      </c>
      <c r="G76" s="5" t="inlineStr">
        <is>
          <t>Building Insurance</t>
        </is>
      </c>
      <c r="H76" s="10" t="n">
        <v>361160</v>
      </c>
      <c r="I76" s="11" t="n"/>
    </row>
    <row r="77">
      <c r="A77" s="5" t="inlineStr">
        <is>
          <t>R0198564</t>
        </is>
      </c>
      <c r="B77" s="8">
        <f>IFERROR(INDEX('Property Registry'!$G$5:$G$33,MATCH(A77,'Property Registry'!$A$5:$A$33,0)),"")</f>
        <v/>
      </c>
      <c r="C77" s="9">
        <f>IFERROR(INDEX('Property Registry'!$I$5:$I$33,MATCH(A77,'Property Registry'!$A$5:$A$33,0)),"")</f>
        <v/>
      </c>
      <c r="D77" s="5" t="inlineStr">
        <is>
          <t>TrusTile Doors (R0198564)</t>
        </is>
      </c>
      <c r="E77" s="5" t="inlineStr">
        <is>
          <t>Oct'23-Sep'24 survey</t>
        </is>
      </c>
      <c r="F77" s="8" t="inlineStr">
        <is>
          <t>Expense</t>
        </is>
      </c>
      <c r="G77" s="5" t="inlineStr">
        <is>
          <t>Building Repair &amp; Maintenance (incl. Ground Maint.)</t>
        </is>
      </c>
      <c r="H77" s="10" t="n">
        <v>796122</v>
      </c>
      <c r="I77" s="11" t="n"/>
    </row>
    <row r="78">
      <c r="A78" s="5" t="inlineStr">
        <is>
          <t>R0198564</t>
        </is>
      </c>
      <c r="B78" s="8">
        <f>IFERROR(INDEX('Property Registry'!$G$5:$G$33,MATCH(A78,'Property Registry'!$A$5:$A$33,0)),"")</f>
        <v/>
      </c>
      <c r="C78" s="9">
        <f>IFERROR(INDEX('Property Registry'!$I$5:$I$33,MATCH(A78,'Property Registry'!$A$5:$A$33,0)),"")</f>
        <v/>
      </c>
      <c r="D78" s="5" t="inlineStr">
        <is>
          <t>TrusTile Doors (R0198564)</t>
        </is>
      </c>
      <c r="E78" s="5" t="inlineStr">
        <is>
          <t>Oct'23-Sep'24 survey</t>
        </is>
      </c>
      <c r="F78" s="8" t="inlineStr">
        <is>
          <t>Expense</t>
        </is>
      </c>
      <c r="G78" s="5" t="inlineStr">
        <is>
          <t>Janitorial Services</t>
        </is>
      </c>
      <c r="H78" s="10" t="n">
        <v>150032</v>
      </c>
      <c r="I78" s="11" t="n"/>
    </row>
    <row r="79">
      <c r="A79" s="5" t="inlineStr">
        <is>
          <t>R0198564</t>
        </is>
      </c>
      <c r="B79" s="8">
        <f>IFERROR(INDEX('Property Registry'!$G$5:$G$33,MATCH(A79,'Property Registry'!$A$5:$A$33,0)),"")</f>
        <v/>
      </c>
      <c r="C79" s="9">
        <f>IFERROR(INDEX('Property Registry'!$I$5:$I$33,MATCH(A79,'Property Registry'!$A$5:$A$33,0)),"")</f>
        <v/>
      </c>
      <c r="D79" s="5" t="inlineStr">
        <is>
          <t>TrusTile Doors (R0198564)</t>
        </is>
      </c>
      <c r="E79" s="5" t="inlineStr">
        <is>
          <t>Oct'23-Sep'24 survey</t>
        </is>
      </c>
      <c r="F79" s="8" t="inlineStr">
        <is>
          <t>Expense</t>
        </is>
      </c>
      <c r="G79" s="5" t="inlineStr">
        <is>
          <t>Snow/Trash Removal</t>
        </is>
      </c>
      <c r="H79" s="10" t="n">
        <v>749196</v>
      </c>
      <c r="I79" s="11" t="n"/>
    </row>
    <row r="80">
      <c r="A80" s="5" t="inlineStr">
        <is>
          <t>R0198564</t>
        </is>
      </c>
      <c r="B80" s="8">
        <f>IFERROR(INDEX('Property Registry'!$G$5:$G$33,MATCH(A80,'Property Registry'!$A$5:$A$33,0)),"")</f>
        <v/>
      </c>
      <c r="C80" s="9">
        <f>IFERROR(INDEX('Property Registry'!$I$5:$I$33,MATCH(A80,'Property Registry'!$A$5:$A$33,0)),"")</f>
        <v/>
      </c>
      <c r="D80" s="5" t="inlineStr">
        <is>
          <t>TrusTile Doors (R0198564)</t>
        </is>
      </c>
      <c r="E80" s="5" t="inlineStr">
        <is>
          <t>Oct'23-Sep'24 survey</t>
        </is>
      </c>
      <c r="F80" s="8" t="inlineStr">
        <is>
          <t>Expense</t>
        </is>
      </c>
      <c r="G80" s="5" t="inlineStr">
        <is>
          <t>Utilities</t>
        </is>
      </c>
      <c r="H80" s="10" t="n">
        <v>1031487</v>
      </c>
      <c r="I80" s="11" t="n"/>
    </row>
    <row r="81">
      <c r="A81" s="5" t="inlineStr">
        <is>
          <t>R0198564</t>
        </is>
      </c>
      <c r="B81" s="8">
        <f>IFERROR(INDEX('Property Registry'!$G$5:$G$33,MATCH(A81,'Property Registry'!$A$5:$A$33,0)),"")</f>
        <v/>
      </c>
      <c r="C81" s="9">
        <f>IFERROR(INDEX('Property Registry'!$I$5:$I$33,MATCH(A81,'Property Registry'!$A$5:$A$33,0)),"")</f>
        <v/>
      </c>
      <c r="D81" s="5" t="inlineStr">
        <is>
          <t>TrusTile Doors (R0198564)</t>
        </is>
      </c>
      <c r="E81" s="5" t="inlineStr">
        <is>
          <t>Oct'23-Sep'24 survey</t>
        </is>
      </c>
      <c r="F81" s="8" t="inlineStr">
        <is>
          <t>Expense</t>
        </is>
      </c>
      <c r="G81" s="5" t="inlineStr">
        <is>
          <t>TOTAL EXPENSE</t>
        </is>
      </c>
      <c r="H81" s="10" t="n">
        <v>3087997</v>
      </c>
      <c r="I81" s="11" t="inlineStr">
        <is>
          <t>Sum of reported items (owner did not report Advertising, Leasing Commissions, or Management fees — NA, no leasing).</t>
        </is>
      </c>
    </row>
    <row r="82">
      <c r="A82" s="5" t="inlineStr">
        <is>
          <t>R0103792</t>
        </is>
      </c>
      <c r="B82" s="8">
        <f>IFERROR(INDEX('Property Registry'!$G$5:$G$33,MATCH(A82,'Property Registry'!$A$5:$A$33,0)),"")</f>
        <v/>
      </c>
      <c r="C82" s="9">
        <f>IFERROR(INDEX('Property Registry'!$I$5:$I$33,MATCH(A82,'Property Registry'!$A$5:$A$33,0)),"")</f>
        <v/>
      </c>
      <c r="D82" s="5" t="inlineStr">
        <is>
          <t>2011 E 58th (TempTee)</t>
        </is>
      </c>
      <c r="E82" s="5" t="inlineStr">
        <is>
          <t>2024</t>
        </is>
      </c>
      <c r="F82" s="8" t="inlineStr">
        <is>
          <t>Expense</t>
        </is>
      </c>
      <c r="G82" s="5" t="inlineStr">
        <is>
          <t>Advertising (leasing)</t>
        </is>
      </c>
      <c r="H82" s="10" t="n">
        <v>0</v>
      </c>
      <c r="I82" s="11" t="n"/>
    </row>
    <row r="83">
      <c r="A83" s="5" t="inlineStr">
        <is>
          <t>R0103792</t>
        </is>
      </c>
      <c r="B83" s="8">
        <f>IFERROR(INDEX('Property Registry'!$G$5:$G$33,MATCH(A83,'Property Registry'!$A$5:$A$33,0)),"")</f>
        <v/>
      </c>
      <c r="C83" s="9">
        <f>IFERROR(INDEX('Property Registry'!$I$5:$I$33,MATCH(A83,'Property Registry'!$A$5:$A$33,0)),"")</f>
        <v/>
      </c>
      <c r="D83" s="5" t="inlineStr">
        <is>
          <t>2011 E 58th (TempTee)</t>
        </is>
      </c>
      <c r="E83" s="5" t="inlineStr">
        <is>
          <t>2024</t>
        </is>
      </c>
      <c r="F83" s="8" t="inlineStr">
        <is>
          <t>Expense</t>
        </is>
      </c>
      <c r="G83" s="5" t="inlineStr">
        <is>
          <t>Building Insurance</t>
        </is>
      </c>
      <c r="H83" s="10" t="n">
        <v>14050</v>
      </c>
      <c r="I83" s="11" t="n"/>
    </row>
    <row r="84">
      <c r="A84" s="5" t="inlineStr">
        <is>
          <t>R0103792</t>
        </is>
      </c>
      <c r="B84" s="8">
        <f>IFERROR(INDEX('Property Registry'!$G$5:$G$33,MATCH(A84,'Property Registry'!$A$5:$A$33,0)),"")</f>
        <v/>
      </c>
      <c r="C84" s="9">
        <f>IFERROR(INDEX('Property Registry'!$I$5:$I$33,MATCH(A84,'Property Registry'!$A$5:$A$33,0)),"")</f>
        <v/>
      </c>
      <c r="D84" s="5" t="inlineStr">
        <is>
          <t>2011 E 58th (TempTee)</t>
        </is>
      </c>
      <c r="E84" s="5" t="inlineStr">
        <is>
          <t>2024</t>
        </is>
      </c>
      <c r="F84" s="8" t="inlineStr">
        <is>
          <t>Expense</t>
        </is>
      </c>
      <c r="G84" s="5" t="inlineStr">
        <is>
          <t>Building Repair &amp; Maintenance</t>
        </is>
      </c>
      <c r="H84" s="10" t="n">
        <v>10000</v>
      </c>
      <c r="I84" s="11" t="n"/>
    </row>
    <row r="85">
      <c r="A85" s="5" t="inlineStr">
        <is>
          <t>R0103792</t>
        </is>
      </c>
      <c r="B85" s="8">
        <f>IFERROR(INDEX('Property Registry'!$G$5:$G$33,MATCH(A85,'Property Registry'!$A$5:$A$33,0)),"")</f>
        <v/>
      </c>
      <c r="C85" s="9">
        <f>IFERROR(INDEX('Property Registry'!$I$5:$I$33,MATCH(A85,'Property Registry'!$A$5:$A$33,0)),"")</f>
        <v/>
      </c>
      <c r="D85" s="5" t="inlineStr">
        <is>
          <t>2011 E 58th (TempTee)</t>
        </is>
      </c>
      <c r="E85" s="5" t="inlineStr">
        <is>
          <t>2024</t>
        </is>
      </c>
      <c r="F85" s="8" t="inlineStr">
        <is>
          <t>Expense</t>
        </is>
      </c>
      <c r="G85" s="5" t="inlineStr">
        <is>
          <t>Ground Maintenance</t>
        </is>
      </c>
      <c r="H85" s="10" t="n">
        <v>0</v>
      </c>
      <c r="I85" s="11" t="inlineStr">
        <is>
          <t>'in house'</t>
        </is>
      </c>
    </row>
    <row r="86">
      <c r="A86" s="5" t="inlineStr">
        <is>
          <t>R0103792</t>
        </is>
      </c>
      <c r="B86" s="8">
        <f>IFERROR(INDEX('Property Registry'!$G$5:$G$33,MATCH(A86,'Property Registry'!$A$5:$A$33,0)),"")</f>
        <v/>
      </c>
      <c r="C86" s="9">
        <f>IFERROR(INDEX('Property Registry'!$I$5:$I$33,MATCH(A86,'Property Registry'!$A$5:$A$33,0)),"")</f>
        <v/>
      </c>
      <c r="D86" s="5" t="inlineStr">
        <is>
          <t>2011 E 58th (TempTee)</t>
        </is>
      </c>
      <c r="E86" s="5" t="inlineStr">
        <is>
          <t>2024</t>
        </is>
      </c>
      <c r="F86" s="8" t="inlineStr">
        <is>
          <t>Expense</t>
        </is>
      </c>
      <c r="G86" s="5" t="inlineStr">
        <is>
          <t>Janitorial</t>
        </is>
      </c>
      <c r="H86" s="10" t="n">
        <v>0</v>
      </c>
      <c r="I86" s="11" t="inlineStr">
        <is>
          <t>'in house'</t>
        </is>
      </c>
    </row>
    <row r="87">
      <c r="A87" s="5" t="inlineStr">
        <is>
          <t>R0103792</t>
        </is>
      </c>
      <c r="B87" s="8">
        <f>IFERROR(INDEX('Property Registry'!$G$5:$G$33,MATCH(A87,'Property Registry'!$A$5:$A$33,0)),"")</f>
        <v/>
      </c>
      <c r="C87" s="9">
        <f>IFERROR(INDEX('Property Registry'!$I$5:$I$33,MATCH(A87,'Property Registry'!$A$5:$A$33,0)),"")</f>
        <v/>
      </c>
      <c r="D87" s="5" t="inlineStr">
        <is>
          <t>2011 E 58th (TempTee)</t>
        </is>
      </c>
      <c r="E87" s="5" t="inlineStr">
        <is>
          <t>2024</t>
        </is>
      </c>
      <c r="F87" s="8" t="inlineStr">
        <is>
          <t>Expense</t>
        </is>
      </c>
      <c r="G87" s="5" t="inlineStr">
        <is>
          <t>Leasing Commissions</t>
        </is>
      </c>
      <c r="H87" s="10" t="n">
        <v>0</v>
      </c>
      <c r="I87" s="11" t="n"/>
    </row>
    <row r="88">
      <c r="A88" s="5" t="inlineStr">
        <is>
          <t>R0103792</t>
        </is>
      </c>
      <c r="B88" s="8">
        <f>IFERROR(INDEX('Property Registry'!$G$5:$G$33,MATCH(A88,'Property Registry'!$A$5:$A$33,0)),"")</f>
        <v/>
      </c>
      <c r="C88" s="9">
        <f>IFERROR(INDEX('Property Registry'!$I$5:$I$33,MATCH(A88,'Property Registry'!$A$5:$A$33,0)),"")</f>
        <v/>
      </c>
      <c r="D88" s="5" t="inlineStr">
        <is>
          <t>2011 E 58th (TempTee)</t>
        </is>
      </c>
      <c r="E88" s="5" t="inlineStr">
        <is>
          <t>2024</t>
        </is>
      </c>
      <c r="F88" s="8" t="inlineStr">
        <is>
          <t>Expense</t>
        </is>
      </c>
      <c r="G88" s="5" t="inlineStr">
        <is>
          <t>Management</t>
        </is>
      </c>
      <c r="H88" s="10" t="n">
        <v>0</v>
      </c>
      <c r="I88" s="11" t="n"/>
    </row>
    <row r="89">
      <c r="A89" s="5" t="inlineStr">
        <is>
          <t>R0103792</t>
        </is>
      </c>
      <c r="B89" s="8">
        <f>IFERROR(INDEX('Property Registry'!$G$5:$G$33,MATCH(A89,'Property Registry'!$A$5:$A$33,0)),"")</f>
        <v/>
      </c>
      <c r="C89" s="9">
        <f>IFERROR(INDEX('Property Registry'!$I$5:$I$33,MATCH(A89,'Property Registry'!$A$5:$A$33,0)),"")</f>
        <v/>
      </c>
      <c r="D89" s="5" t="inlineStr">
        <is>
          <t>2011 E 58th (TempTee)</t>
        </is>
      </c>
      <c r="E89" s="5" t="inlineStr">
        <is>
          <t>2024</t>
        </is>
      </c>
      <c r="F89" s="8" t="inlineStr">
        <is>
          <t>Expense</t>
        </is>
      </c>
      <c r="G89" s="5" t="inlineStr">
        <is>
          <t>Snow/Trash Removal</t>
        </is>
      </c>
      <c r="H89" s="10" t="n">
        <v>12000</v>
      </c>
      <c r="I89" s="11" t="n"/>
    </row>
    <row r="90">
      <c r="A90" s="5" t="inlineStr">
        <is>
          <t>R0103792</t>
        </is>
      </c>
      <c r="B90" s="8">
        <f>IFERROR(INDEX('Property Registry'!$G$5:$G$33,MATCH(A90,'Property Registry'!$A$5:$A$33,0)),"")</f>
        <v/>
      </c>
      <c r="C90" s="9">
        <f>IFERROR(INDEX('Property Registry'!$I$5:$I$33,MATCH(A90,'Property Registry'!$A$5:$A$33,0)),"")</f>
        <v/>
      </c>
      <c r="D90" s="5" t="inlineStr">
        <is>
          <t>2011 E 58th (TempTee)</t>
        </is>
      </c>
      <c r="E90" s="5" t="inlineStr">
        <is>
          <t>2024</t>
        </is>
      </c>
      <c r="F90" s="8" t="inlineStr">
        <is>
          <t>Expense</t>
        </is>
      </c>
      <c r="G90" s="5" t="inlineStr">
        <is>
          <t>Utilities</t>
        </is>
      </c>
      <c r="H90" s="10" t="n">
        <v>102000</v>
      </c>
      <c r="I90" s="11" t="n"/>
    </row>
    <row r="91">
      <c r="A91" s="5" t="inlineStr">
        <is>
          <t>R0103792</t>
        </is>
      </c>
      <c r="B91" s="8">
        <f>IFERROR(INDEX('Property Registry'!$G$5:$G$33,MATCH(A91,'Property Registry'!$A$5:$A$33,0)),"")</f>
        <v/>
      </c>
      <c r="C91" s="9">
        <f>IFERROR(INDEX('Property Registry'!$I$5:$I$33,MATCH(A91,'Property Registry'!$A$5:$A$33,0)),"")</f>
        <v/>
      </c>
      <c r="D91" s="5" t="inlineStr">
        <is>
          <t>2011 E 58th (TempTee)</t>
        </is>
      </c>
      <c r="E91" s="5" t="inlineStr">
        <is>
          <t>2024</t>
        </is>
      </c>
      <c r="F91" s="8" t="inlineStr">
        <is>
          <t>Expense</t>
        </is>
      </c>
      <c r="G91" s="5" t="inlineStr">
        <is>
          <t>TOTAL EXPENSE</t>
        </is>
      </c>
      <c r="H91" s="10" t="n">
        <v>138050</v>
      </c>
      <c r="I91" s="11" t="inlineStr">
        <is>
          <t>Printed total: $138,050.00. Adams Co. survey; 100% owner-occupied (~17,000 SF); 'in house' items = $0</t>
        </is>
      </c>
    </row>
    <row r="92">
      <c r="A92" s="5" t="inlineStr">
        <is>
          <t>R0193588</t>
        </is>
      </c>
      <c r="B92" s="8">
        <f>IFERROR(INDEX('Property Registry'!$G$5:$G$33,MATCH(A92,'Property Registry'!$A$5:$A$33,0)),"")</f>
        <v/>
      </c>
      <c r="C92" s="9">
        <f>IFERROR(INDEX('Property Registry'!$I$5:$I$33,MATCH(A92,'Property Registry'!$A$5:$A$33,0)),"")</f>
        <v/>
      </c>
      <c r="D92" s="5" t="inlineStr">
        <is>
          <t>Majestic Commercenter Bldg 15</t>
        </is>
      </c>
      <c r="E92" s="5" t="inlineStr">
        <is>
          <t>FY2023</t>
        </is>
      </c>
      <c r="F92" s="8" t="inlineStr">
        <is>
          <t>Expense</t>
        </is>
      </c>
      <c r="G92" s="5" t="inlineStr">
        <is>
          <t>TOTAL OPERATING EXPENSE</t>
        </is>
      </c>
      <c r="H92" s="10" t="n">
        <v>2770056.15</v>
      </c>
      <c r="I92" s="11" t="inlineStr">
        <is>
          <t>Summary totals only; per-account detail not transcribed for this year. Includes mortgage interest &amp; depreciation/amortization.</t>
        </is>
      </c>
    </row>
    <row r="93">
      <c r="A93" s="5" t="inlineStr">
        <is>
          <t>R0193588</t>
        </is>
      </c>
      <c r="B93" s="8">
        <f>IFERROR(INDEX('Property Registry'!$G$5:$G$33,MATCH(A93,'Property Registry'!$A$5:$A$33,0)),"")</f>
        <v/>
      </c>
      <c r="C93" s="9">
        <f>IFERROR(INDEX('Property Registry'!$I$5:$I$33,MATCH(A93,'Property Registry'!$A$5:$A$33,0)),"")</f>
        <v/>
      </c>
      <c r="D93" s="5" t="inlineStr">
        <is>
          <t>Majestic Commercenter Bldg 15</t>
        </is>
      </c>
      <c r="E93" s="5" t="inlineStr">
        <is>
          <t>FY2023</t>
        </is>
      </c>
      <c r="F93" s="8" t="inlineStr">
        <is>
          <t>Interest</t>
        </is>
      </c>
      <c r="G93" s="5" t="inlineStr">
        <is>
          <t>Total Interest Expense</t>
        </is>
      </c>
      <c r="H93" s="10" t="n">
        <v>1194478.02</v>
      </c>
      <c r="I93" s="11" t="n"/>
    </row>
    <row r="94">
      <c r="A94" s="5" t="inlineStr">
        <is>
          <t>R0193588</t>
        </is>
      </c>
      <c r="B94" s="8">
        <f>IFERROR(INDEX('Property Registry'!$G$5:$G$33,MATCH(A94,'Property Registry'!$A$5:$A$33,0)),"")</f>
        <v/>
      </c>
      <c r="C94" s="9">
        <f>IFERROR(INDEX('Property Registry'!$I$5:$I$33,MATCH(A94,'Property Registry'!$A$5:$A$33,0)),"")</f>
        <v/>
      </c>
      <c r="D94" s="5" t="inlineStr">
        <is>
          <t>Majestic Commercenter Bldg 15</t>
        </is>
      </c>
      <c r="E94" s="5" t="inlineStr">
        <is>
          <t>FY2023</t>
        </is>
      </c>
      <c r="F94" s="8" t="inlineStr">
        <is>
          <t>Other Income/Expense</t>
        </is>
      </c>
      <c r="G94" s="5" t="inlineStr">
        <is>
          <t>Total Other (Income)/Expense (incl. Depr/Amort)</t>
        </is>
      </c>
      <c r="H94" s="10" t="n">
        <v>1231423.96</v>
      </c>
      <c r="I94" s="11" t="n"/>
    </row>
    <row r="95">
      <c r="A95" s="5" t="inlineStr">
        <is>
          <t>R0193588</t>
        </is>
      </c>
      <c r="B95" s="8">
        <f>IFERROR(INDEX('Property Registry'!$G$5:$G$33,MATCH(A95,'Property Registry'!$A$5:$A$33,0)),"")</f>
        <v/>
      </c>
      <c r="C95" s="9">
        <f>IFERROR(INDEX('Property Registry'!$I$5:$I$33,MATCH(A95,'Property Registry'!$A$5:$A$33,0)),"")</f>
        <v/>
      </c>
      <c r="D95" s="5" t="inlineStr">
        <is>
          <t>Majestic Commercenter Bldg 15</t>
        </is>
      </c>
      <c r="E95" s="5" t="inlineStr">
        <is>
          <t>FY2024</t>
        </is>
      </c>
      <c r="F95" s="8" t="inlineStr">
        <is>
          <t>Expense</t>
        </is>
      </c>
      <c r="G95" s="5" t="inlineStr">
        <is>
          <t>TOTAL OPERATING EXPENSE</t>
        </is>
      </c>
      <c r="H95" s="10" t="n">
        <v>2252980.35</v>
      </c>
      <c r="I95" s="11" t="inlineStr">
        <is>
          <t>Revenue itemized (7 accounts, incl. $1.94M RE tax reimbursement matching RE tax expense - full NNN passthrough); operating-expense per-account detail not transcribed here (23 GL accounts) — see source PDF. Includes mortgage interest &amp; depreciation/amortization.</t>
        </is>
      </c>
    </row>
    <row r="96">
      <c r="A96" s="5" t="inlineStr">
        <is>
          <t>R0193588</t>
        </is>
      </c>
      <c r="B96" s="8">
        <f>IFERROR(INDEX('Property Registry'!$G$5:$G$33,MATCH(A96,'Property Registry'!$A$5:$A$33,0)),"")</f>
        <v/>
      </c>
      <c r="C96" s="9">
        <f>IFERROR(INDEX('Property Registry'!$I$5:$I$33,MATCH(A96,'Property Registry'!$A$5:$A$33,0)),"")</f>
        <v/>
      </c>
      <c r="D96" s="5" t="inlineStr">
        <is>
          <t>Majestic Commercenter Bldg 15</t>
        </is>
      </c>
      <c r="E96" s="5" t="inlineStr">
        <is>
          <t>FY2024</t>
        </is>
      </c>
      <c r="F96" s="8" t="inlineStr">
        <is>
          <t>Interest</t>
        </is>
      </c>
      <c r="G96" s="5" t="inlineStr">
        <is>
          <t>Total Interest Expense</t>
        </is>
      </c>
      <c r="H96" s="10" t="n">
        <v>1155312.33</v>
      </c>
      <c r="I96" s="11" t="n"/>
    </row>
    <row r="97">
      <c r="A97" s="5" t="inlineStr">
        <is>
          <t>R0193588</t>
        </is>
      </c>
      <c r="B97" s="8">
        <f>IFERROR(INDEX('Property Registry'!$G$5:$G$33,MATCH(A97,'Property Registry'!$A$5:$A$33,0)),"")</f>
        <v/>
      </c>
      <c r="C97" s="9">
        <f>IFERROR(INDEX('Property Registry'!$I$5:$I$33,MATCH(A97,'Property Registry'!$A$5:$A$33,0)),"")</f>
        <v/>
      </c>
      <c r="D97" s="5" t="inlineStr">
        <is>
          <t>Majestic Commercenter Bldg 15</t>
        </is>
      </c>
      <c r="E97" s="5" t="inlineStr">
        <is>
          <t>FY2024</t>
        </is>
      </c>
      <c r="F97" s="8" t="inlineStr">
        <is>
          <t>Other Income/Expense</t>
        </is>
      </c>
      <c r="G97" s="5" t="inlineStr">
        <is>
          <t>Total Other (Income)/Expense (incl. Depr/Amort)</t>
        </is>
      </c>
      <c r="H97" s="10" t="n">
        <v>1047279.52</v>
      </c>
      <c r="I97" s="11" t="n"/>
    </row>
    <row r="98">
      <c r="A98" s="5" t="inlineStr">
        <is>
          <t>R0218284</t>
        </is>
      </c>
      <c r="B98" s="8">
        <f>IFERROR(INDEX('Property Registry'!$G$5:$G$33,MATCH(A98,'Property Registry'!$A$5:$A$33,0)),"")</f>
        <v/>
      </c>
      <c r="C98" s="9">
        <f>IFERROR(INDEX('Property Registry'!$I$5:$I$33,MATCH(A98,'Property Registry'!$A$5:$A$33,0)),"")</f>
        <v/>
      </c>
      <c r="D98" s="5" t="inlineStr">
        <is>
          <t>Majestic Commercenter Bldg 12</t>
        </is>
      </c>
      <c r="E98" s="5" t="inlineStr">
        <is>
          <t>FY2024</t>
        </is>
      </c>
      <c r="F98" s="8" t="inlineStr">
        <is>
          <t>Expense</t>
        </is>
      </c>
      <c r="G98" s="5" t="inlineStr">
        <is>
          <t>5250 - Fire Life Safety</t>
        </is>
      </c>
      <c r="H98" s="10" t="n">
        <v>167.39</v>
      </c>
      <c r="I98" s="11" t="n"/>
    </row>
    <row r="99">
      <c r="A99" s="5" t="inlineStr">
        <is>
          <t>R0218284</t>
        </is>
      </c>
      <c r="B99" s="8">
        <f>IFERROR(INDEX('Property Registry'!$G$5:$G$33,MATCH(A99,'Property Registry'!$A$5:$A$33,0)),"")</f>
        <v/>
      </c>
      <c r="C99" s="9">
        <f>IFERROR(INDEX('Property Registry'!$I$5:$I$33,MATCH(A99,'Property Registry'!$A$5:$A$33,0)),"")</f>
        <v/>
      </c>
      <c r="D99" s="5" t="inlineStr">
        <is>
          <t>Majestic Commercenter Bldg 12</t>
        </is>
      </c>
      <c r="E99" s="5" t="inlineStr">
        <is>
          <t>FY2024</t>
        </is>
      </c>
      <c r="F99" s="8" t="inlineStr">
        <is>
          <t>Expense</t>
        </is>
      </c>
      <c r="G99" s="5" t="inlineStr">
        <is>
          <t>5350 - Roof</t>
        </is>
      </c>
      <c r="H99" s="10" t="n">
        <v>1089.79</v>
      </c>
      <c r="I99" s="11" t="n"/>
    </row>
    <row r="100">
      <c r="A100" s="5" t="inlineStr">
        <is>
          <t>R0218284</t>
        </is>
      </c>
      <c r="B100" s="8">
        <f>IFERROR(INDEX('Property Registry'!$G$5:$G$33,MATCH(A100,'Property Registry'!$A$5:$A$33,0)),"")</f>
        <v/>
      </c>
      <c r="C100" s="9">
        <f>IFERROR(INDEX('Property Registry'!$I$5:$I$33,MATCH(A100,'Property Registry'!$A$5:$A$33,0)),"")</f>
        <v/>
      </c>
      <c r="D100" s="5" t="inlineStr">
        <is>
          <t>Majestic Commercenter Bldg 12</t>
        </is>
      </c>
      <c r="E100" s="5" t="inlineStr">
        <is>
          <t>FY2024</t>
        </is>
      </c>
      <c r="F100" s="8" t="inlineStr">
        <is>
          <t>Expense</t>
        </is>
      </c>
      <c r="G100" s="5" t="inlineStr">
        <is>
          <t>5500 - Real Estate Taxes</t>
        </is>
      </c>
      <c r="H100" s="10" t="n">
        <v>388880.98</v>
      </c>
      <c r="I100" s="11" t="n"/>
    </row>
    <row r="101">
      <c r="A101" s="5" t="inlineStr">
        <is>
          <t>R0218284</t>
        </is>
      </c>
      <c r="B101" s="8">
        <f>IFERROR(INDEX('Property Registry'!$G$5:$G$33,MATCH(A101,'Property Registry'!$A$5:$A$33,0)),"")</f>
        <v/>
      </c>
      <c r="C101" s="9">
        <f>IFERROR(INDEX('Property Registry'!$I$5:$I$33,MATCH(A101,'Property Registry'!$A$5:$A$33,0)),"")</f>
        <v/>
      </c>
      <c r="D101" s="5" t="inlineStr">
        <is>
          <t>Majestic Commercenter Bldg 12</t>
        </is>
      </c>
      <c r="E101" s="5" t="inlineStr">
        <is>
          <t>FY2024</t>
        </is>
      </c>
      <c r="F101" s="8" t="inlineStr">
        <is>
          <t>Expense</t>
        </is>
      </c>
      <c r="G101" s="5" t="inlineStr">
        <is>
          <t>6115 - Insurance-Fire &amp; Extended</t>
        </is>
      </c>
      <c r="H101" s="10" t="n">
        <v>9244.92</v>
      </c>
      <c r="I101" s="11" t="n"/>
    </row>
    <row r="102">
      <c r="A102" s="5" t="inlineStr">
        <is>
          <t>R0218284</t>
        </is>
      </c>
      <c r="B102" s="8">
        <f>IFERROR(INDEX('Property Registry'!$G$5:$G$33,MATCH(A102,'Property Registry'!$A$5:$A$33,0)),"")</f>
        <v/>
      </c>
      <c r="C102" s="9">
        <f>IFERROR(INDEX('Property Registry'!$I$5:$I$33,MATCH(A102,'Property Registry'!$A$5:$A$33,0)),"")</f>
        <v/>
      </c>
      <c r="D102" s="5" t="inlineStr">
        <is>
          <t>Majestic Commercenter Bldg 12</t>
        </is>
      </c>
      <c r="E102" s="5" t="inlineStr">
        <is>
          <t>FY2024</t>
        </is>
      </c>
      <c r="F102" s="8" t="inlineStr">
        <is>
          <t>Expense</t>
        </is>
      </c>
      <c r="G102" s="5" t="inlineStr">
        <is>
          <t>6120 - Insurance-Liability</t>
        </is>
      </c>
      <c r="H102" s="10" t="n">
        <v>7283.01</v>
      </c>
      <c r="I102" s="11" t="n"/>
    </row>
    <row r="103">
      <c r="A103" s="5" t="inlineStr">
        <is>
          <t>R0218284</t>
        </is>
      </c>
      <c r="B103" s="8">
        <f>IFERROR(INDEX('Property Registry'!$G$5:$G$33,MATCH(A103,'Property Registry'!$A$5:$A$33,0)),"")</f>
        <v/>
      </c>
      <c r="C103" s="9">
        <f>IFERROR(INDEX('Property Registry'!$I$5:$I$33,MATCH(A103,'Property Registry'!$A$5:$A$33,0)),"")</f>
        <v/>
      </c>
      <c r="D103" s="5" t="inlineStr">
        <is>
          <t>Majestic Commercenter Bldg 12</t>
        </is>
      </c>
      <c r="E103" s="5" t="inlineStr">
        <is>
          <t>FY2024</t>
        </is>
      </c>
      <c r="F103" s="8" t="inlineStr">
        <is>
          <t>Expense</t>
        </is>
      </c>
      <c r="G103" s="5" t="inlineStr">
        <is>
          <t>6250 - Fire Life Safety</t>
        </is>
      </c>
      <c r="H103" s="10" t="n">
        <v>3964.55</v>
      </c>
      <c r="I103" s="11" t="n"/>
    </row>
    <row r="104">
      <c r="A104" s="5" t="inlineStr">
        <is>
          <t>R0218284</t>
        </is>
      </c>
      <c r="B104" s="8">
        <f>IFERROR(INDEX('Property Registry'!$G$5:$G$33,MATCH(A104,'Property Registry'!$A$5:$A$33,0)),"")</f>
        <v/>
      </c>
      <c r="C104" s="9">
        <f>IFERROR(INDEX('Property Registry'!$I$5:$I$33,MATCH(A104,'Property Registry'!$A$5:$A$33,0)),"")</f>
        <v/>
      </c>
      <c r="D104" s="5" t="inlineStr">
        <is>
          <t>Majestic Commercenter Bldg 12</t>
        </is>
      </c>
      <c r="E104" s="5" t="inlineStr">
        <is>
          <t>FY2024</t>
        </is>
      </c>
      <c r="F104" s="8" t="inlineStr">
        <is>
          <t>Expense</t>
        </is>
      </c>
      <c r="G104" s="5" t="inlineStr">
        <is>
          <t>6275 - HVAC</t>
        </is>
      </c>
      <c r="H104" s="10" t="n">
        <v>3343.67</v>
      </c>
      <c r="I104" s="11" t="n"/>
    </row>
    <row r="105">
      <c r="A105" s="5" t="inlineStr">
        <is>
          <t>R0218284</t>
        </is>
      </c>
      <c r="B105" s="8">
        <f>IFERROR(INDEX('Property Registry'!$G$5:$G$33,MATCH(A105,'Property Registry'!$A$5:$A$33,0)),"")</f>
        <v/>
      </c>
      <c r="C105" s="9">
        <f>IFERROR(INDEX('Property Registry'!$I$5:$I$33,MATCH(A105,'Property Registry'!$A$5:$A$33,0)),"")</f>
        <v/>
      </c>
      <c r="D105" s="5" t="inlineStr">
        <is>
          <t>Majestic Commercenter Bldg 12</t>
        </is>
      </c>
      <c r="E105" s="5" t="inlineStr">
        <is>
          <t>FY2024</t>
        </is>
      </c>
      <c r="F105" s="8" t="inlineStr">
        <is>
          <t>Expense</t>
        </is>
      </c>
      <c r="G105" s="5" t="inlineStr">
        <is>
          <t>6280 - Janitorial Services</t>
        </is>
      </c>
      <c r="H105" s="10" t="n">
        <v>1359.52</v>
      </c>
      <c r="I105" s="11" t="n"/>
    </row>
    <row r="106">
      <c r="A106" s="5" t="inlineStr">
        <is>
          <t>R0218284</t>
        </is>
      </c>
      <c r="B106" s="8">
        <f>IFERROR(INDEX('Property Registry'!$G$5:$G$33,MATCH(A106,'Property Registry'!$A$5:$A$33,0)),"")</f>
        <v/>
      </c>
      <c r="C106" s="9">
        <f>IFERROR(INDEX('Property Registry'!$I$5:$I$33,MATCH(A106,'Property Registry'!$A$5:$A$33,0)),"")</f>
        <v/>
      </c>
      <c r="D106" s="5" t="inlineStr">
        <is>
          <t>Majestic Commercenter Bldg 12</t>
        </is>
      </c>
      <c r="E106" s="5" t="inlineStr">
        <is>
          <t>FY2024</t>
        </is>
      </c>
      <c r="F106" s="8" t="inlineStr">
        <is>
          <t>Expense</t>
        </is>
      </c>
      <c r="G106" s="5" t="inlineStr">
        <is>
          <t>6285 - Keys/Card Access</t>
        </is>
      </c>
      <c r="H106" s="10" t="n">
        <v>306.33</v>
      </c>
      <c r="I106" s="11" t="n"/>
    </row>
    <row r="107">
      <c r="A107" s="5" t="inlineStr">
        <is>
          <t>R0218284</t>
        </is>
      </c>
      <c r="B107" s="8">
        <f>IFERROR(INDEX('Property Registry'!$G$5:$G$33,MATCH(A107,'Property Registry'!$A$5:$A$33,0)),"")</f>
        <v/>
      </c>
      <c r="C107" s="9">
        <f>IFERROR(INDEX('Property Registry'!$I$5:$I$33,MATCH(A107,'Property Registry'!$A$5:$A$33,0)),"")</f>
        <v/>
      </c>
      <c r="D107" s="5" t="inlineStr">
        <is>
          <t>Majestic Commercenter Bldg 12</t>
        </is>
      </c>
      <c r="E107" s="5" t="inlineStr">
        <is>
          <t>FY2024</t>
        </is>
      </c>
      <c r="F107" s="8" t="inlineStr">
        <is>
          <t>Expense</t>
        </is>
      </c>
      <c r="G107" s="5" t="inlineStr">
        <is>
          <t>6290 - Landscaping</t>
        </is>
      </c>
      <c r="H107" s="10" t="n">
        <v>12928.82</v>
      </c>
      <c r="I107" s="11" t="n"/>
    </row>
    <row r="108">
      <c r="A108" s="5" t="inlineStr">
        <is>
          <t>R0218284</t>
        </is>
      </c>
      <c r="B108" s="8">
        <f>IFERROR(INDEX('Property Registry'!$G$5:$G$33,MATCH(A108,'Property Registry'!$A$5:$A$33,0)),"")</f>
        <v/>
      </c>
      <c r="C108" s="9">
        <f>IFERROR(INDEX('Property Registry'!$I$5:$I$33,MATCH(A108,'Property Registry'!$A$5:$A$33,0)),"")</f>
        <v/>
      </c>
      <c r="D108" s="5" t="inlineStr">
        <is>
          <t>Majestic Commercenter Bldg 12</t>
        </is>
      </c>
      <c r="E108" s="5" t="inlineStr">
        <is>
          <t>FY2024</t>
        </is>
      </c>
      <c r="F108" s="8" t="inlineStr">
        <is>
          <t>Expense</t>
        </is>
      </c>
      <c r="G108" s="5" t="inlineStr">
        <is>
          <t>6305 - Lighting</t>
        </is>
      </c>
      <c r="H108" s="10" t="n">
        <v>46.11</v>
      </c>
      <c r="I108" s="11" t="n"/>
    </row>
    <row r="109">
      <c r="A109" s="5" t="inlineStr">
        <is>
          <t>R0218284</t>
        </is>
      </c>
      <c r="B109" s="8">
        <f>IFERROR(INDEX('Property Registry'!$G$5:$G$33,MATCH(A109,'Property Registry'!$A$5:$A$33,0)),"")</f>
        <v/>
      </c>
      <c r="C109" s="9">
        <f>IFERROR(INDEX('Property Registry'!$I$5:$I$33,MATCH(A109,'Property Registry'!$A$5:$A$33,0)),"")</f>
        <v/>
      </c>
      <c r="D109" s="5" t="inlineStr">
        <is>
          <t>Majestic Commercenter Bldg 12</t>
        </is>
      </c>
      <c r="E109" s="5" t="inlineStr">
        <is>
          <t>FY2024</t>
        </is>
      </c>
      <c r="F109" s="8" t="inlineStr">
        <is>
          <t>Expense</t>
        </is>
      </c>
      <c r="G109" s="5" t="inlineStr">
        <is>
          <t>6320 - Parking Lot</t>
        </is>
      </c>
      <c r="H109" s="10" t="n">
        <v>1188.05</v>
      </c>
      <c r="I109" s="11" t="n"/>
    </row>
    <row r="110">
      <c r="A110" s="5" t="inlineStr">
        <is>
          <t>R0218284</t>
        </is>
      </c>
      <c r="B110" s="8">
        <f>IFERROR(INDEX('Property Registry'!$G$5:$G$33,MATCH(A110,'Property Registry'!$A$5:$A$33,0)),"")</f>
        <v/>
      </c>
      <c r="C110" s="9">
        <f>IFERROR(INDEX('Property Registry'!$I$5:$I$33,MATCH(A110,'Property Registry'!$A$5:$A$33,0)),"")</f>
        <v/>
      </c>
      <c r="D110" s="5" t="inlineStr">
        <is>
          <t>Majestic Commercenter Bldg 12</t>
        </is>
      </c>
      <c r="E110" s="5" t="inlineStr">
        <is>
          <t>FY2024</t>
        </is>
      </c>
      <c r="F110" s="8" t="inlineStr">
        <is>
          <t>Expense</t>
        </is>
      </c>
      <c r="G110" s="5" t="inlineStr">
        <is>
          <t>6345 - Repairs</t>
        </is>
      </c>
      <c r="H110" s="10" t="n">
        <v>1314.13</v>
      </c>
      <c r="I110" s="11" t="n"/>
    </row>
    <row r="111">
      <c r="A111" s="5" t="inlineStr">
        <is>
          <t>R0218284</t>
        </is>
      </c>
      <c r="B111" s="8">
        <f>IFERROR(INDEX('Property Registry'!$G$5:$G$33,MATCH(A111,'Property Registry'!$A$5:$A$33,0)),"")</f>
        <v/>
      </c>
      <c r="C111" s="9">
        <f>IFERROR(INDEX('Property Registry'!$I$5:$I$33,MATCH(A111,'Property Registry'!$A$5:$A$33,0)),"")</f>
        <v/>
      </c>
      <c r="D111" s="5" t="inlineStr">
        <is>
          <t>Majestic Commercenter Bldg 12</t>
        </is>
      </c>
      <c r="E111" s="5" t="inlineStr">
        <is>
          <t>FY2024</t>
        </is>
      </c>
      <c r="F111" s="8" t="inlineStr">
        <is>
          <t>Expense</t>
        </is>
      </c>
      <c r="G111" s="5" t="inlineStr">
        <is>
          <t>6365 - Signs</t>
        </is>
      </c>
      <c r="H111" s="10" t="n">
        <v>391.09</v>
      </c>
      <c r="I111" s="11" t="n"/>
    </row>
    <row r="112">
      <c r="A112" s="5" t="inlineStr">
        <is>
          <t>R0218284</t>
        </is>
      </c>
      <c r="B112" s="8">
        <f>IFERROR(INDEX('Property Registry'!$G$5:$G$33,MATCH(A112,'Property Registry'!$A$5:$A$33,0)),"")</f>
        <v/>
      </c>
      <c r="C112" s="9">
        <f>IFERROR(INDEX('Property Registry'!$I$5:$I$33,MATCH(A112,'Property Registry'!$A$5:$A$33,0)),"")</f>
        <v/>
      </c>
      <c r="D112" s="5" t="inlineStr">
        <is>
          <t>Majestic Commercenter Bldg 12</t>
        </is>
      </c>
      <c r="E112" s="5" t="inlineStr">
        <is>
          <t>FY2024</t>
        </is>
      </c>
      <c r="F112" s="8" t="inlineStr">
        <is>
          <t>Expense</t>
        </is>
      </c>
      <c r="G112" s="5" t="inlineStr">
        <is>
          <t>6370 - Snow Removal</t>
        </is>
      </c>
      <c r="H112" s="10" t="n">
        <v>14585.62</v>
      </c>
      <c r="I112" s="11" t="n"/>
    </row>
    <row r="113">
      <c r="A113" s="5" t="inlineStr">
        <is>
          <t>R0218284</t>
        </is>
      </c>
      <c r="B113" s="8">
        <f>IFERROR(INDEX('Property Registry'!$G$5:$G$33,MATCH(A113,'Property Registry'!$A$5:$A$33,0)),"")</f>
        <v/>
      </c>
      <c r="C113" s="9">
        <f>IFERROR(INDEX('Property Registry'!$I$5:$I$33,MATCH(A113,'Property Registry'!$A$5:$A$33,0)),"")</f>
        <v/>
      </c>
      <c r="D113" s="5" t="inlineStr">
        <is>
          <t>Majestic Commercenter Bldg 12</t>
        </is>
      </c>
      <c r="E113" s="5" t="inlineStr">
        <is>
          <t>FY2024</t>
        </is>
      </c>
      <c r="F113" s="8" t="inlineStr">
        <is>
          <t>Expense</t>
        </is>
      </c>
      <c r="G113" s="5" t="inlineStr">
        <is>
          <t>6380 - Sweeping</t>
        </is>
      </c>
      <c r="H113" s="10" t="n">
        <v>1287.64</v>
      </c>
      <c r="I113" s="11" t="n"/>
    </row>
    <row r="114">
      <c r="A114" s="5" t="inlineStr">
        <is>
          <t>R0218284</t>
        </is>
      </c>
      <c r="B114" s="8">
        <f>IFERROR(INDEX('Property Registry'!$G$5:$G$33,MATCH(A114,'Property Registry'!$A$5:$A$33,0)),"")</f>
        <v/>
      </c>
      <c r="C114" s="9">
        <f>IFERROR(INDEX('Property Registry'!$I$5:$I$33,MATCH(A114,'Property Registry'!$A$5:$A$33,0)),"")</f>
        <v/>
      </c>
      <c r="D114" s="5" t="inlineStr">
        <is>
          <t>Majestic Commercenter Bldg 12</t>
        </is>
      </c>
      <c r="E114" s="5" t="inlineStr">
        <is>
          <t>FY2024</t>
        </is>
      </c>
      <c r="F114" s="8" t="inlineStr">
        <is>
          <t>Expense</t>
        </is>
      </c>
      <c r="G114" s="5" t="inlineStr">
        <is>
          <t>6385 - Window Washing</t>
        </is>
      </c>
      <c r="H114" s="10" t="n">
        <v>780</v>
      </c>
      <c r="I114" s="11" t="n"/>
    </row>
    <row r="115">
      <c r="A115" s="5" t="inlineStr">
        <is>
          <t>R0218284</t>
        </is>
      </c>
      <c r="B115" s="8">
        <f>IFERROR(INDEX('Property Registry'!$G$5:$G$33,MATCH(A115,'Property Registry'!$A$5:$A$33,0)),"")</f>
        <v/>
      </c>
      <c r="C115" s="9">
        <f>IFERROR(INDEX('Property Registry'!$I$5:$I$33,MATCH(A115,'Property Registry'!$A$5:$A$33,0)),"")</f>
        <v/>
      </c>
      <c r="D115" s="5" t="inlineStr">
        <is>
          <t>Majestic Commercenter Bldg 12</t>
        </is>
      </c>
      <c r="E115" s="5" t="inlineStr">
        <is>
          <t>FY2024</t>
        </is>
      </c>
      <c r="F115" s="8" t="inlineStr">
        <is>
          <t>Expense</t>
        </is>
      </c>
      <c r="G115" s="5" t="inlineStr">
        <is>
          <t>6500 - Property Taxes (other)</t>
        </is>
      </c>
      <c r="H115" s="10" t="n">
        <v>200.01</v>
      </c>
      <c r="I115" s="11" t="n"/>
    </row>
    <row r="116">
      <c r="A116" s="5" t="inlineStr">
        <is>
          <t>R0218284</t>
        </is>
      </c>
      <c r="B116" s="8">
        <f>IFERROR(INDEX('Property Registry'!$G$5:$G$33,MATCH(A116,'Property Registry'!$A$5:$A$33,0)),"")</f>
        <v/>
      </c>
      <c r="C116" s="9">
        <f>IFERROR(INDEX('Property Registry'!$I$5:$I$33,MATCH(A116,'Property Registry'!$A$5:$A$33,0)),"")</f>
        <v/>
      </c>
      <c r="D116" s="5" t="inlineStr">
        <is>
          <t>Majestic Commercenter Bldg 12</t>
        </is>
      </c>
      <c r="E116" s="5" t="inlineStr">
        <is>
          <t>FY2024</t>
        </is>
      </c>
      <c r="F116" s="8" t="inlineStr">
        <is>
          <t>Expense</t>
        </is>
      </c>
      <c r="G116" s="5" t="inlineStr">
        <is>
          <t>6610 - Utilities-Electricity</t>
        </is>
      </c>
      <c r="H116" s="10" t="n">
        <v>2960.51</v>
      </c>
      <c r="I116" s="11" t="n"/>
    </row>
    <row r="117">
      <c r="A117" s="5" t="inlineStr">
        <is>
          <t>R0218284</t>
        </is>
      </c>
      <c r="B117" s="8">
        <f>IFERROR(INDEX('Property Registry'!$G$5:$G$33,MATCH(A117,'Property Registry'!$A$5:$A$33,0)),"")</f>
        <v/>
      </c>
      <c r="C117" s="9">
        <f>IFERROR(INDEX('Property Registry'!$I$5:$I$33,MATCH(A117,'Property Registry'!$A$5:$A$33,0)),"")</f>
        <v/>
      </c>
      <c r="D117" s="5" t="inlineStr">
        <is>
          <t>Majestic Commercenter Bldg 12</t>
        </is>
      </c>
      <c r="E117" s="5" t="inlineStr">
        <is>
          <t>FY2024</t>
        </is>
      </c>
      <c r="F117" s="8" t="inlineStr">
        <is>
          <t>Expense</t>
        </is>
      </c>
      <c r="G117" s="5" t="inlineStr">
        <is>
          <t>6615 - Utilities-Fire Service</t>
        </is>
      </c>
      <c r="H117" s="10" t="n">
        <v>362.39</v>
      </c>
      <c r="I117" s="11" t="n"/>
    </row>
    <row r="118">
      <c r="A118" s="5" t="inlineStr">
        <is>
          <t>R0218284</t>
        </is>
      </c>
      <c r="B118" s="8">
        <f>IFERROR(INDEX('Property Registry'!$G$5:$G$33,MATCH(A118,'Property Registry'!$A$5:$A$33,0)),"")</f>
        <v/>
      </c>
      <c r="C118" s="9">
        <f>IFERROR(INDEX('Property Registry'!$I$5:$I$33,MATCH(A118,'Property Registry'!$A$5:$A$33,0)),"")</f>
        <v/>
      </c>
      <c r="D118" s="5" t="inlineStr">
        <is>
          <t>Majestic Commercenter Bldg 12</t>
        </is>
      </c>
      <c r="E118" s="5" t="inlineStr">
        <is>
          <t>FY2024</t>
        </is>
      </c>
      <c r="F118" s="8" t="inlineStr">
        <is>
          <t>Expense</t>
        </is>
      </c>
      <c r="G118" s="5" t="inlineStr">
        <is>
          <t>6620 - Utilities-Gas/Heating</t>
        </is>
      </c>
      <c r="H118" s="10" t="n">
        <v>7874.4</v>
      </c>
      <c r="I118" s="11" t="n"/>
    </row>
    <row r="119">
      <c r="A119" s="5" t="inlineStr">
        <is>
          <t>R0218284</t>
        </is>
      </c>
      <c r="B119" s="8">
        <f>IFERROR(INDEX('Property Registry'!$G$5:$G$33,MATCH(A119,'Property Registry'!$A$5:$A$33,0)),"")</f>
        <v/>
      </c>
      <c r="C119" s="9">
        <f>IFERROR(INDEX('Property Registry'!$I$5:$I$33,MATCH(A119,'Property Registry'!$A$5:$A$33,0)),"")</f>
        <v/>
      </c>
      <c r="D119" s="5" t="inlineStr">
        <is>
          <t>Majestic Commercenter Bldg 12</t>
        </is>
      </c>
      <c r="E119" s="5" t="inlineStr">
        <is>
          <t>FY2024</t>
        </is>
      </c>
      <c r="F119" s="8" t="inlineStr">
        <is>
          <t>Expense</t>
        </is>
      </c>
      <c r="G119" s="5" t="inlineStr">
        <is>
          <t>6630 - Utilities-Telephone</t>
        </is>
      </c>
      <c r="H119" s="10" t="n">
        <v>248.14</v>
      </c>
      <c r="I119" s="11" t="n"/>
    </row>
    <row r="120">
      <c r="A120" s="5" t="inlineStr">
        <is>
          <t>R0218284</t>
        </is>
      </c>
      <c r="B120" s="8">
        <f>IFERROR(INDEX('Property Registry'!$G$5:$G$33,MATCH(A120,'Property Registry'!$A$5:$A$33,0)),"")</f>
        <v/>
      </c>
      <c r="C120" s="9">
        <f>IFERROR(INDEX('Property Registry'!$I$5:$I$33,MATCH(A120,'Property Registry'!$A$5:$A$33,0)),"")</f>
        <v/>
      </c>
      <c r="D120" s="5" t="inlineStr">
        <is>
          <t>Majestic Commercenter Bldg 12</t>
        </is>
      </c>
      <c r="E120" s="5" t="inlineStr">
        <is>
          <t>FY2024</t>
        </is>
      </c>
      <c r="F120" s="8" t="inlineStr">
        <is>
          <t>Expense</t>
        </is>
      </c>
      <c r="G120" s="5" t="inlineStr">
        <is>
          <t>6635 - Utilities-Water</t>
        </is>
      </c>
      <c r="H120" s="10" t="n">
        <v>9246.27</v>
      </c>
      <c r="I120" s="11" t="n"/>
    </row>
    <row r="121">
      <c r="A121" s="5" t="inlineStr">
        <is>
          <t>R0218284</t>
        </is>
      </c>
      <c r="B121" s="8">
        <f>IFERROR(INDEX('Property Registry'!$G$5:$G$33,MATCH(A121,'Property Registry'!$A$5:$A$33,0)),"")</f>
        <v/>
      </c>
      <c r="C121" s="9">
        <f>IFERROR(INDEX('Property Registry'!$I$5:$I$33,MATCH(A121,'Property Registry'!$A$5:$A$33,0)),"")</f>
        <v/>
      </c>
      <c r="D121" s="5" t="inlineStr">
        <is>
          <t>Majestic Commercenter Bldg 12</t>
        </is>
      </c>
      <c r="E121" s="5" t="inlineStr">
        <is>
          <t>FY2024</t>
        </is>
      </c>
      <c r="F121" s="8" t="inlineStr">
        <is>
          <t>Expense</t>
        </is>
      </c>
      <c r="G121" s="5" t="inlineStr">
        <is>
          <t>6640 - Utilities-Other</t>
        </is>
      </c>
      <c r="H121" s="10" t="n">
        <v>128.69</v>
      </c>
      <c r="I121" s="11" t="n"/>
    </row>
    <row r="122">
      <c r="A122" s="5" t="inlineStr">
        <is>
          <t>R0218284</t>
        </is>
      </c>
      <c r="B122" s="8">
        <f>IFERROR(INDEX('Property Registry'!$G$5:$G$33,MATCH(A122,'Property Registry'!$A$5:$A$33,0)),"")</f>
        <v/>
      </c>
      <c r="C122" s="9">
        <f>IFERROR(INDEX('Property Registry'!$I$5:$I$33,MATCH(A122,'Property Registry'!$A$5:$A$33,0)),"")</f>
        <v/>
      </c>
      <c r="D122" s="5" t="inlineStr">
        <is>
          <t>Majestic Commercenter Bldg 12</t>
        </is>
      </c>
      <c r="E122" s="5" t="inlineStr">
        <is>
          <t>FY2024</t>
        </is>
      </c>
      <c r="F122" s="8" t="inlineStr">
        <is>
          <t>Expense</t>
        </is>
      </c>
      <c r="G122" s="5" t="inlineStr">
        <is>
          <t>8435 - Prof Service-Other</t>
        </is>
      </c>
      <c r="H122" s="10" t="n">
        <v>225</v>
      </c>
      <c r="I122" s="11" t="n"/>
    </row>
    <row r="123">
      <c r="A123" s="5" t="inlineStr">
        <is>
          <t>R0218284</t>
        </is>
      </c>
      <c r="B123" s="8">
        <f>IFERROR(INDEX('Property Registry'!$G$5:$G$33,MATCH(A123,'Property Registry'!$A$5:$A$33,0)),"")</f>
        <v/>
      </c>
      <c r="C123" s="9">
        <f>IFERROR(INDEX('Property Registry'!$I$5:$I$33,MATCH(A123,'Property Registry'!$A$5:$A$33,0)),"")</f>
        <v/>
      </c>
      <c r="D123" s="5" t="inlineStr">
        <is>
          <t>Majestic Commercenter Bldg 12</t>
        </is>
      </c>
      <c r="E123" s="5" t="inlineStr">
        <is>
          <t>FY2024</t>
        </is>
      </c>
      <c r="F123" s="8" t="inlineStr">
        <is>
          <t>Expense</t>
        </is>
      </c>
      <c r="G123" s="5" t="inlineStr">
        <is>
          <t>TOTAL EXPENSE</t>
        </is>
      </c>
      <c r="H123" s="10" t="n">
        <v>469407.0300000001</v>
      </c>
      <c r="I123" s="11" t="inlineStr">
        <is>
          <t>Printed total: $469,407.03.</t>
        </is>
      </c>
    </row>
    <row r="124">
      <c r="A124" s="5" t="inlineStr">
        <is>
          <t>R0218284</t>
        </is>
      </c>
      <c r="B124" s="8">
        <f>IFERROR(INDEX('Property Registry'!$G$5:$G$33,MATCH(A124,'Property Registry'!$A$5:$A$33,0)),"")</f>
        <v/>
      </c>
      <c r="C124" s="9">
        <f>IFERROR(INDEX('Property Registry'!$I$5:$I$33,MATCH(A124,'Property Registry'!$A$5:$A$33,0)),"")</f>
        <v/>
      </c>
      <c r="D124" s="5" t="inlineStr">
        <is>
          <t>Majestic Commercenter Bldg 12</t>
        </is>
      </c>
      <c r="E124" s="5" t="inlineStr">
        <is>
          <t>FY2024</t>
        </is>
      </c>
      <c r="F124" s="8" t="inlineStr">
        <is>
          <t>Other Income/Expense</t>
        </is>
      </c>
      <c r="G124" s="5" t="inlineStr">
        <is>
          <t>TOTAL Other (Income)/Expense</t>
        </is>
      </c>
      <c r="H124" s="10" t="n">
        <v>281155.63</v>
      </c>
      <c r="I124" s="11" t="n"/>
    </row>
    <row r="125">
      <c r="A125" s="5" t="inlineStr">
        <is>
          <t>R0187866</t>
        </is>
      </c>
      <c r="B125" s="8">
        <f>IFERROR(INDEX('Property Registry'!$G$5:$G$33,MATCH(A125,'Property Registry'!$A$5:$A$33,0)),"")</f>
        <v/>
      </c>
      <c r="C125" s="9">
        <f>IFERROR(INDEX('Property Registry'!$I$5:$I$33,MATCH(A125,'Property Registry'!$A$5:$A$33,0)),"")</f>
        <v/>
      </c>
      <c r="D125" s="5" t="inlineStr">
        <is>
          <t>Majestic Commercenter Bldg 29</t>
        </is>
      </c>
      <c r="E125" s="5" t="inlineStr">
        <is>
          <t>FY2023</t>
        </is>
      </c>
      <c r="F125" s="8" t="inlineStr">
        <is>
          <t>Expense</t>
        </is>
      </c>
      <c r="G125" s="5" t="inlineStr">
        <is>
          <t>TOTAL OPERATING EXPENSE</t>
        </is>
      </c>
      <c r="H125" s="10" t="n">
        <v>2007665.41</v>
      </c>
      <c r="I125" s="11" t="inlineStr">
        <is>
          <t>Summary totals only; per-account detail not transcribed for this year. Includes mortgage interest &amp; depreciation/amortization.</t>
        </is>
      </c>
    </row>
    <row r="126">
      <c r="A126" s="5" t="inlineStr">
        <is>
          <t>R0187866</t>
        </is>
      </c>
      <c r="B126" s="8">
        <f>IFERROR(INDEX('Property Registry'!$G$5:$G$33,MATCH(A126,'Property Registry'!$A$5:$A$33,0)),"")</f>
        <v/>
      </c>
      <c r="C126" s="9">
        <f>IFERROR(INDEX('Property Registry'!$I$5:$I$33,MATCH(A126,'Property Registry'!$A$5:$A$33,0)),"")</f>
        <v/>
      </c>
      <c r="D126" s="5" t="inlineStr">
        <is>
          <t>Majestic Commercenter Bldg 29</t>
        </is>
      </c>
      <c r="E126" s="5" t="inlineStr">
        <is>
          <t>FY2023</t>
        </is>
      </c>
      <c r="F126" s="8" t="inlineStr">
        <is>
          <t>Interest</t>
        </is>
      </c>
      <c r="G126" s="5" t="inlineStr">
        <is>
          <t>Total Interest Expense</t>
        </is>
      </c>
      <c r="H126" s="10" t="n">
        <v>776042.9</v>
      </c>
      <c r="I126" s="11" t="n"/>
    </row>
    <row r="127">
      <c r="A127" s="5" t="inlineStr">
        <is>
          <t>R0187866</t>
        </is>
      </c>
      <c r="B127" s="8">
        <f>IFERROR(INDEX('Property Registry'!$G$5:$G$33,MATCH(A127,'Property Registry'!$A$5:$A$33,0)),"")</f>
        <v/>
      </c>
      <c r="C127" s="9">
        <f>IFERROR(INDEX('Property Registry'!$I$5:$I$33,MATCH(A127,'Property Registry'!$A$5:$A$33,0)),"")</f>
        <v/>
      </c>
      <c r="D127" s="5" t="inlineStr">
        <is>
          <t>Majestic Commercenter Bldg 29</t>
        </is>
      </c>
      <c r="E127" s="5" t="inlineStr">
        <is>
          <t>FY2023</t>
        </is>
      </c>
      <c r="F127" s="8" t="inlineStr">
        <is>
          <t>Other Income/Expense</t>
        </is>
      </c>
      <c r="G127" s="5" t="inlineStr">
        <is>
          <t>Total Other (Income)/Expense (incl. Depr/Amort)</t>
        </is>
      </c>
      <c r="H127" s="10" t="n">
        <v>1939714.87</v>
      </c>
      <c r="I127" s="11" t="n"/>
    </row>
    <row r="128">
      <c r="A128" s="5" t="inlineStr">
        <is>
          <t>R0187866</t>
        </is>
      </c>
      <c r="B128" s="8">
        <f>IFERROR(INDEX('Property Registry'!$G$5:$G$33,MATCH(A128,'Property Registry'!$A$5:$A$33,0)),"")</f>
        <v/>
      </c>
      <c r="C128" s="9">
        <f>IFERROR(INDEX('Property Registry'!$I$5:$I$33,MATCH(A128,'Property Registry'!$A$5:$A$33,0)),"")</f>
        <v/>
      </c>
      <c r="D128" s="5" t="inlineStr">
        <is>
          <t>Majestic Commercenter Bldg 29</t>
        </is>
      </c>
      <c r="E128" s="5" t="inlineStr">
        <is>
          <t>FY2024</t>
        </is>
      </c>
      <c r="F128" s="8" t="inlineStr">
        <is>
          <t>Expense</t>
        </is>
      </c>
      <c r="G128" s="5" t="inlineStr">
        <is>
          <t>TOTAL OPERATING EXPENSE</t>
        </is>
      </c>
      <c r="H128" s="10" t="n">
        <v>1735622.01</v>
      </c>
      <c r="I128" s="11" t="inlineStr">
        <is>
          <t>Revenue itemized (10 accounts, incl. $1.24M RE tax reimb. + $1.1M Tenant TI Reimb Income); operating-expense per-account detail not transcribed — see source PDF. Includes mortgage interest &amp; depreciation/amortization.</t>
        </is>
      </c>
    </row>
    <row r="129">
      <c r="A129" s="5" t="inlineStr">
        <is>
          <t>R0187866</t>
        </is>
      </c>
      <c r="B129" s="8">
        <f>IFERROR(INDEX('Property Registry'!$G$5:$G$33,MATCH(A129,'Property Registry'!$A$5:$A$33,0)),"")</f>
        <v/>
      </c>
      <c r="C129" s="9">
        <f>IFERROR(INDEX('Property Registry'!$I$5:$I$33,MATCH(A129,'Property Registry'!$A$5:$A$33,0)),"")</f>
        <v/>
      </c>
      <c r="D129" s="5" t="inlineStr">
        <is>
          <t>Majestic Commercenter Bldg 29</t>
        </is>
      </c>
      <c r="E129" s="5" t="inlineStr">
        <is>
          <t>FY2024</t>
        </is>
      </c>
      <c r="F129" s="8" t="inlineStr">
        <is>
          <t>Interest</t>
        </is>
      </c>
      <c r="G129" s="5" t="inlineStr">
        <is>
          <t>Total Interest Expense</t>
        </is>
      </c>
      <c r="H129" s="10" t="n">
        <v>745482.47</v>
      </c>
      <c r="I129" s="11" t="n"/>
    </row>
    <row r="130">
      <c r="A130" s="5" t="inlineStr">
        <is>
          <t>R0187866</t>
        </is>
      </c>
      <c r="B130" s="8">
        <f>IFERROR(INDEX('Property Registry'!$G$5:$G$33,MATCH(A130,'Property Registry'!$A$5:$A$33,0)),"")</f>
        <v/>
      </c>
      <c r="C130" s="9">
        <f>IFERROR(INDEX('Property Registry'!$I$5:$I$33,MATCH(A130,'Property Registry'!$A$5:$A$33,0)),"")</f>
        <v/>
      </c>
      <c r="D130" s="5" t="inlineStr">
        <is>
          <t>Majestic Commercenter Bldg 29</t>
        </is>
      </c>
      <c r="E130" s="5" t="inlineStr">
        <is>
          <t>FY2024</t>
        </is>
      </c>
      <c r="F130" s="8" t="inlineStr">
        <is>
          <t>Other Income/Expense</t>
        </is>
      </c>
      <c r="G130" s="5" t="inlineStr">
        <is>
          <t>Total Other (Income)/Expense (incl. Depr/Amort)</t>
        </is>
      </c>
      <c r="H130" s="10" t="n">
        <v>1919699.32</v>
      </c>
      <c r="I130" s="11" t="n"/>
    </row>
    <row r="131">
      <c r="A131" s="5" t="inlineStr">
        <is>
          <t>R0172848</t>
        </is>
      </c>
      <c r="B131" s="8">
        <f>IFERROR(INDEX('Property Registry'!$G$5:$G$33,MATCH(A131,'Property Registry'!$A$5:$A$33,0)),"")</f>
        <v/>
      </c>
      <c r="C131" s="9">
        <f>IFERROR(INDEX('Property Registry'!$I$5:$I$33,MATCH(A131,'Property Registry'!$A$5:$A$33,0)),"")</f>
        <v/>
      </c>
      <c r="D131" s="5" t="inlineStr">
        <is>
          <t>22100 E 26th Ave (ASB)</t>
        </is>
      </c>
      <c r="E131" s="5" t="inlineStr">
        <is>
          <t>FY2023</t>
        </is>
      </c>
      <c r="F131" s="8" t="inlineStr">
        <is>
          <t>Expense</t>
        </is>
      </c>
      <c r="G131" s="5" t="inlineStr">
        <is>
          <t>TOTAL OPERATING EXPENSE</t>
        </is>
      </c>
      <c r="H131" s="10" t="n">
        <v>2131090.35</v>
      </c>
      <c r="I131" s="11" t="inlineStr">
        <is>
          <t>Category subtotals used (Recoverable Exp $2,130,623.68 + Non-Recoverable $466.67). Net Income includes ~$2.65M of leasing capex/TI/commissions (building largely vacant, pre-Vederra lease).</t>
        </is>
      </c>
    </row>
    <row r="132">
      <c r="A132" s="5" t="inlineStr">
        <is>
          <t>R0172848</t>
        </is>
      </c>
      <c r="B132" s="8">
        <f>IFERROR(INDEX('Property Registry'!$G$5:$G$33,MATCH(A132,'Property Registry'!$A$5:$A$33,0)),"")</f>
        <v/>
      </c>
      <c r="C132" s="9">
        <f>IFERROR(INDEX('Property Registry'!$I$5:$I$33,MATCH(A132,'Property Registry'!$A$5:$A$33,0)),"")</f>
        <v/>
      </c>
      <c r="D132" s="5" t="inlineStr">
        <is>
          <t>22100 E 26th Ave (ASB)</t>
        </is>
      </c>
      <c r="E132" s="5" t="inlineStr">
        <is>
          <t>FY2024</t>
        </is>
      </c>
      <c r="F132" s="8" t="inlineStr">
        <is>
          <t>Expense</t>
        </is>
      </c>
      <c r="G132" s="5" t="inlineStr">
        <is>
          <t>TOTAL OPERATING EXPENSE</t>
        </is>
      </c>
      <c r="H132" s="10" t="n">
        <v>1725293.03</v>
      </c>
      <c r="I132" s="11" t="inlineStr">
        <is>
          <t>Monthly-detail OCR was unreliable (symbol-font/garbled cells); category subtotals used (Recoverable Exp $1,705,067.11 + Non-Recoverable $215,887.56). Net Income includes ~$490,735 of net leasing capex/TI/commissions on top of operations (building only 28% occupied at DOV).</t>
        </is>
      </c>
    </row>
    <row r="133">
      <c r="A133" s="5" t="inlineStr">
        <is>
          <t>R0218283</t>
        </is>
      </c>
      <c r="B133" s="8">
        <f>IFERROR(INDEX('Property Registry'!$G$5:$G$33,MATCH(A133,'Property Registry'!$A$5:$A$33,0)),"")</f>
        <v/>
      </c>
      <c r="C133" s="9">
        <f>IFERROR(INDEX('Property Registry'!$I$5:$I$33,MATCH(A133,'Property Registry'!$A$5:$A$33,0)),"")</f>
        <v/>
      </c>
      <c r="D133" s="5" t="inlineStr">
        <is>
          <t>Majestic Commercenter Bldg 11</t>
        </is>
      </c>
      <c r="E133" s="5" t="inlineStr">
        <is>
          <t>FY2024</t>
        </is>
      </c>
      <c r="F133" s="8" t="inlineStr">
        <is>
          <t>Expense</t>
        </is>
      </c>
      <c r="G133" s="5" t="inlineStr">
        <is>
          <t>TOTAL EXPENSE</t>
        </is>
      </c>
      <c r="H133" s="10" t="n">
        <v>349663.61</v>
      </c>
      <c r="I133" s="11" t="inlineStr">
        <is>
          <t>Printed total: $349,663.61 (full per-account detail not captured; many small monthly line items).</t>
        </is>
      </c>
    </row>
    <row r="134">
      <c r="A134" s="5" t="inlineStr">
        <is>
          <t>R0218283</t>
        </is>
      </c>
      <c r="B134" s="8">
        <f>IFERROR(INDEX('Property Registry'!$G$5:$G$33,MATCH(A134,'Property Registry'!$A$5:$A$33,0)),"")</f>
        <v/>
      </c>
      <c r="C134" s="9">
        <f>IFERROR(INDEX('Property Registry'!$I$5:$I$33,MATCH(A134,'Property Registry'!$A$5:$A$33,0)),"")</f>
        <v/>
      </c>
      <c r="D134" s="5" t="inlineStr">
        <is>
          <t>Majestic Commercenter Bldg 11</t>
        </is>
      </c>
      <c r="E134" s="5" t="inlineStr">
        <is>
          <t>FY2024</t>
        </is>
      </c>
      <c r="F134" s="8" t="inlineStr">
        <is>
          <t>Other Income/Expense</t>
        </is>
      </c>
      <c r="G134" s="5" t="inlineStr">
        <is>
          <t>TOTAL Other (Income)/Expense</t>
        </is>
      </c>
      <c r="H134" s="10" t="n">
        <v>162250.28</v>
      </c>
      <c r="I134" s="11" t="n"/>
    </row>
    <row r="135">
      <c r="A135" s="5" t="inlineStr">
        <is>
          <t>R0172865</t>
        </is>
      </c>
      <c r="B135" s="8">
        <f>IFERROR(INDEX('Property Registry'!$G$5:$G$33,MATCH(A135,'Property Registry'!$A$5:$A$33,0)),"")</f>
        <v/>
      </c>
      <c r="C135" s="9">
        <f>IFERROR(INDEX('Property Registry'!$I$5:$I$33,MATCH(A135,'Property Registry'!$A$5:$A$33,0)),"")</f>
        <v/>
      </c>
      <c r="D135" s="5" t="inlineStr">
        <is>
          <t>Majestic Commercenter Bldg 24</t>
        </is>
      </c>
      <c r="E135" s="5" t="inlineStr">
        <is>
          <t>FY2023</t>
        </is>
      </c>
      <c r="F135" s="8" t="inlineStr">
        <is>
          <t>Expense</t>
        </is>
      </c>
      <c r="G135" s="5" t="inlineStr">
        <is>
          <t>TOTAL OPERATING EXPENSE</t>
        </is>
      </c>
      <c r="H135" s="10" t="n">
        <v>1165864.56</v>
      </c>
      <c r="I135" s="11" t="inlineStr">
        <is>
          <t>Summary totals only. Includes mortgage interest &amp; depreciation/amortization.</t>
        </is>
      </c>
    </row>
    <row r="136">
      <c r="A136" s="5" t="inlineStr">
        <is>
          <t>R0172865</t>
        </is>
      </c>
      <c r="B136" s="8">
        <f>IFERROR(INDEX('Property Registry'!$G$5:$G$33,MATCH(A136,'Property Registry'!$A$5:$A$33,0)),"")</f>
        <v/>
      </c>
      <c r="C136" s="9">
        <f>IFERROR(INDEX('Property Registry'!$I$5:$I$33,MATCH(A136,'Property Registry'!$A$5:$A$33,0)),"")</f>
        <v/>
      </c>
      <c r="D136" s="5" t="inlineStr">
        <is>
          <t>Majestic Commercenter Bldg 24</t>
        </is>
      </c>
      <c r="E136" s="5" t="inlineStr">
        <is>
          <t>FY2023</t>
        </is>
      </c>
      <c r="F136" s="8" t="inlineStr">
        <is>
          <t>Interest</t>
        </is>
      </c>
      <c r="G136" s="5" t="inlineStr">
        <is>
          <t>Total Interest Expense</t>
        </is>
      </c>
      <c r="H136" s="10" t="n">
        <v>409481.66</v>
      </c>
      <c r="I136" s="11" t="n"/>
    </row>
    <row r="137">
      <c r="A137" s="5" t="inlineStr">
        <is>
          <t>R0172865</t>
        </is>
      </c>
      <c r="B137" s="8">
        <f>IFERROR(INDEX('Property Registry'!$G$5:$G$33,MATCH(A137,'Property Registry'!$A$5:$A$33,0)),"")</f>
        <v/>
      </c>
      <c r="C137" s="9">
        <f>IFERROR(INDEX('Property Registry'!$I$5:$I$33,MATCH(A137,'Property Registry'!$A$5:$A$33,0)),"")</f>
        <v/>
      </c>
      <c r="D137" s="5" t="inlineStr">
        <is>
          <t>Majestic Commercenter Bldg 24</t>
        </is>
      </c>
      <c r="E137" s="5" t="inlineStr">
        <is>
          <t>FY2023</t>
        </is>
      </c>
      <c r="F137" s="8" t="inlineStr">
        <is>
          <t>Other Income/Expense</t>
        </is>
      </c>
      <c r="G137" s="5" t="inlineStr">
        <is>
          <t>Total Other (Income)/Expense (incl. Depr/Amort)</t>
        </is>
      </c>
      <c r="H137" s="10" t="n">
        <v>967951.04</v>
      </c>
      <c r="I137" s="11" t="n"/>
    </row>
    <row r="138">
      <c r="A138" s="5" t="inlineStr">
        <is>
          <t>R0172865</t>
        </is>
      </c>
      <c r="B138" s="8">
        <f>IFERROR(INDEX('Property Registry'!$G$5:$G$33,MATCH(A138,'Property Registry'!$A$5:$A$33,0)),"")</f>
        <v/>
      </c>
      <c r="C138" s="9">
        <f>IFERROR(INDEX('Property Registry'!$I$5:$I$33,MATCH(A138,'Property Registry'!$A$5:$A$33,0)),"")</f>
        <v/>
      </c>
      <c r="D138" s="5" t="inlineStr">
        <is>
          <t>Majestic Commercenter Bldg 24</t>
        </is>
      </c>
      <c r="E138" s="5" t="inlineStr">
        <is>
          <t>FY2024</t>
        </is>
      </c>
      <c r="F138" s="8" t="inlineStr">
        <is>
          <t>Expense</t>
        </is>
      </c>
      <c r="G138" s="5" t="inlineStr">
        <is>
          <t>TOTAL OPERATING EXPENSE</t>
        </is>
      </c>
      <c r="H138" s="10" t="n">
        <v>908870.85</v>
      </c>
      <c r="I138" s="11" t="inlineStr">
        <is>
          <t>Summary totals only; multi-tenant, GL not itemized by tenant. Includes mortgage interest &amp; depreciation/amortization.</t>
        </is>
      </c>
    </row>
    <row r="139">
      <c r="A139" s="5" t="inlineStr">
        <is>
          <t>R0172865</t>
        </is>
      </c>
      <c r="B139" s="8">
        <f>IFERROR(INDEX('Property Registry'!$G$5:$G$33,MATCH(A139,'Property Registry'!$A$5:$A$33,0)),"")</f>
        <v/>
      </c>
      <c r="C139" s="9">
        <f>IFERROR(INDEX('Property Registry'!$I$5:$I$33,MATCH(A139,'Property Registry'!$A$5:$A$33,0)),"")</f>
        <v/>
      </c>
      <c r="D139" s="5" t="inlineStr">
        <is>
          <t>Majestic Commercenter Bldg 24</t>
        </is>
      </c>
      <c r="E139" s="5" t="inlineStr">
        <is>
          <t>FY2024</t>
        </is>
      </c>
      <c r="F139" s="8" t="inlineStr">
        <is>
          <t>Interest</t>
        </is>
      </c>
      <c r="G139" s="5" t="inlineStr">
        <is>
          <t>Total Interest Expense</t>
        </is>
      </c>
      <c r="H139" s="10" t="n">
        <v>394862.68</v>
      </c>
      <c r="I139" s="11" t="n"/>
    </row>
    <row r="140">
      <c r="A140" s="5" t="inlineStr">
        <is>
          <t>R0172865</t>
        </is>
      </c>
      <c r="B140" s="8">
        <f>IFERROR(INDEX('Property Registry'!$G$5:$G$33,MATCH(A140,'Property Registry'!$A$5:$A$33,0)),"")</f>
        <v/>
      </c>
      <c r="C140" s="9">
        <f>IFERROR(INDEX('Property Registry'!$I$5:$I$33,MATCH(A140,'Property Registry'!$A$5:$A$33,0)),"")</f>
        <v/>
      </c>
      <c r="D140" s="5" t="inlineStr">
        <is>
          <t>Majestic Commercenter Bldg 24</t>
        </is>
      </c>
      <c r="E140" s="5" t="inlineStr">
        <is>
          <t>FY2024</t>
        </is>
      </c>
      <c r="F140" s="8" t="inlineStr">
        <is>
          <t>Other Income/Expense</t>
        </is>
      </c>
      <c r="G140" s="5" t="inlineStr">
        <is>
          <t>Total Other (Income)/Expense (incl. Depr/Amort)</t>
        </is>
      </c>
      <c r="H140" s="10" t="n">
        <v>748154.67</v>
      </c>
      <c r="I140" s="11" t="n"/>
    </row>
    <row r="141">
      <c r="A141" s="5" t="inlineStr">
        <is>
          <t>R0217136</t>
        </is>
      </c>
      <c r="B141" s="8">
        <f>IFERROR(INDEX('Property Registry'!$G$5:$G$33,MATCH(A141,'Property Registry'!$A$5:$A$33,0)),"")</f>
        <v/>
      </c>
      <c r="C141" s="9">
        <f>IFERROR(INDEX('Property Registry'!$I$5:$I$33,MATCH(A141,'Property Registry'!$A$5:$A$33,0)),"")</f>
        <v/>
      </c>
      <c r="D141" s="5" t="inlineStr">
        <is>
          <t>Broadway Logistics Center</t>
        </is>
      </c>
      <c r="E141" s="5" t="inlineStr">
        <is>
          <t>FY2024</t>
        </is>
      </c>
      <c r="F141" s="8" t="inlineStr">
        <is>
          <t>Expense</t>
        </is>
      </c>
      <c r="G141" s="5" t="inlineStr">
        <is>
          <t>Repair &amp; Maint: General Bldg/Weather Prep/Ext Window Clean</t>
        </is>
      </c>
      <c r="H141" s="10" t="n">
        <v>3639.29</v>
      </c>
      <c r="I141" s="11" t="n"/>
    </row>
    <row r="142">
      <c r="A142" s="5" t="inlineStr">
        <is>
          <t>R0217136</t>
        </is>
      </c>
      <c r="B142" s="8">
        <f>IFERROR(INDEX('Property Registry'!$G$5:$G$33,MATCH(A142,'Property Registry'!$A$5:$A$33,0)),"")</f>
        <v/>
      </c>
      <c r="C142" s="9">
        <f>IFERROR(INDEX('Property Registry'!$I$5:$I$33,MATCH(A142,'Property Registry'!$A$5:$A$33,0)),"")</f>
        <v/>
      </c>
      <c r="D142" s="5" t="inlineStr">
        <is>
          <t>Broadway Logistics Center</t>
        </is>
      </c>
      <c r="E142" s="5" t="inlineStr">
        <is>
          <t>FY2024</t>
        </is>
      </c>
      <c r="F142" s="8" t="inlineStr">
        <is>
          <t>Expense</t>
        </is>
      </c>
      <c r="G142" s="5" t="inlineStr">
        <is>
          <t>Contract Svcs: Fire Alarm/Sweeping/Janitorial</t>
        </is>
      </c>
      <c r="H142" s="10" t="n">
        <v>5744.23</v>
      </c>
      <c r="I142" s="11" t="n"/>
    </row>
    <row r="143">
      <c r="A143" s="5" t="inlineStr">
        <is>
          <t>R0217136</t>
        </is>
      </c>
      <c r="B143" s="8">
        <f>IFERROR(INDEX('Property Registry'!$G$5:$G$33,MATCH(A143,'Property Registry'!$A$5:$A$33,0)),"")</f>
        <v/>
      </c>
      <c r="C143" s="9">
        <f>IFERROR(INDEX('Property Registry'!$I$5:$I$33,MATCH(A143,'Property Registry'!$A$5:$A$33,0)),"")</f>
        <v/>
      </c>
      <c r="D143" s="5" t="inlineStr">
        <is>
          <t>Broadway Logistics Center</t>
        </is>
      </c>
      <c r="E143" s="5" t="inlineStr">
        <is>
          <t>FY2024</t>
        </is>
      </c>
      <c r="F143" s="8" t="inlineStr">
        <is>
          <t>Expense</t>
        </is>
      </c>
      <c r="G143" s="5" t="inlineStr">
        <is>
          <t>Utilities: Electricity/Gas/Water-Sewer</t>
        </is>
      </c>
      <c r="H143" s="10" t="n">
        <v>11084.46</v>
      </c>
      <c r="I143" s="11" t="n"/>
    </row>
    <row r="144">
      <c r="A144" s="5" t="inlineStr">
        <is>
          <t>R0217136</t>
        </is>
      </c>
      <c r="B144" s="8">
        <f>IFERROR(INDEX('Property Registry'!$G$5:$G$33,MATCH(A144,'Property Registry'!$A$5:$A$33,0)),"")</f>
        <v/>
      </c>
      <c r="C144" s="9">
        <f>IFERROR(INDEX('Property Registry'!$I$5:$I$33,MATCH(A144,'Property Registry'!$A$5:$A$33,0)),"")</f>
        <v/>
      </c>
      <c r="D144" s="5" t="inlineStr">
        <is>
          <t>Broadway Logistics Center</t>
        </is>
      </c>
      <c r="E144" s="5" t="inlineStr">
        <is>
          <t>FY2024</t>
        </is>
      </c>
      <c r="F144" s="8" t="inlineStr">
        <is>
          <t>Expense</t>
        </is>
      </c>
      <c r="G144" s="5" t="inlineStr">
        <is>
          <t>Management Fee - 3rd Party</t>
        </is>
      </c>
      <c r="H144" s="10" t="n">
        <v>12500</v>
      </c>
      <c r="I144" s="11" t="n"/>
    </row>
    <row r="145">
      <c r="A145" s="5" t="inlineStr">
        <is>
          <t>R0217136</t>
        </is>
      </c>
      <c r="B145" s="8">
        <f>IFERROR(INDEX('Property Registry'!$G$5:$G$33,MATCH(A145,'Property Registry'!$A$5:$A$33,0)),"")</f>
        <v/>
      </c>
      <c r="C145" s="9">
        <f>IFERROR(INDEX('Property Registry'!$I$5:$I$33,MATCH(A145,'Property Registry'!$A$5:$A$33,0)),"")</f>
        <v/>
      </c>
      <c r="D145" s="5" t="inlineStr">
        <is>
          <t>Broadway Logistics Center</t>
        </is>
      </c>
      <c r="E145" s="5" t="inlineStr">
        <is>
          <t>FY2024</t>
        </is>
      </c>
      <c r="F145" s="8" t="inlineStr">
        <is>
          <t>Expense</t>
        </is>
      </c>
      <c r="G145" s="5" t="inlineStr">
        <is>
          <t>General &amp; Admin: Payroll/Travel/Bank/Software</t>
        </is>
      </c>
      <c r="H145" s="10" t="n">
        <v>13013.26</v>
      </c>
      <c r="I145" s="11" t="n"/>
    </row>
    <row r="146">
      <c r="A146" s="5" t="inlineStr">
        <is>
          <t>R0217136</t>
        </is>
      </c>
      <c r="B146" s="8">
        <f>IFERROR(INDEX('Property Registry'!$G$5:$G$33,MATCH(A146,'Property Registry'!$A$5:$A$33,0)),"")</f>
        <v/>
      </c>
      <c r="C146" s="9">
        <f>IFERROR(INDEX('Property Registry'!$I$5:$I$33,MATCH(A146,'Property Registry'!$A$5:$A$33,0)),"")</f>
        <v/>
      </c>
      <c r="D146" s="5" t="inlineStr">
        <is>
          <t>Broadway Logistics Center</t>
        </is>
      </c>
      <c r="E146" s="5" t="inlineStr">
        <is>
          <t>FY2024</t>
        </is>
      </c>
      <c r="F146" s="8" t="inlineStr">
        <is>
          <t>Expense</t>
        </is>
      </c>
      <c r="G146" s="5" t="inlineStr">
        <is>
          <t>Taxes: Real Estate + Consulting</t>
        </is>
      </c>
      <c r="H146" s="10" t="n">
        <v>318641.99</v>
      </c>
      <c r="I146" s="11" t="n"/>
    </row>
    <row r="147">
      <c r="A147" s="5" t="inlineStr">
        <is>
          <t>R0217136</t>
        </is>
      </c>
      <c r="B147" s="8">
        <f>IFERROR(INDEX('Property Registry'!$G$5:$G$33,MATCH(A147,'Property Registry'!$A$5:$A$33,0)),"")</f>
        <v/>
      </c>
      <c r="C147" s="9">
        <f>IFERROR(INDEX('Property Registry'!$I$5:$I$33,MATCH(A147,'Property Registry'!$A$5:$A$33,0)),"")</f>
        <v/>
      </c>
      <c r="D147" s="5" t="inlineStr">
        <is>
          <t>Broadway Logistics Center</t>
        </is>
      </c>
      <c r="E147" s="5" t="inlineStr">
        <is>
          <t>FY2024</t>
        </is>
      </c>
      <c r="F147" s="8" t="inlineStr">
        <is>
          <t>Expense</t>
        </is>
      </c>
      <c r="G147" s="5" t="inlineStr">
        <is>
          <t>Insurance - Property</t>
        </is>
      </c>
      <c r="H147" s="10" t="n">
        <v>32411.18</v>
      </c>
      <c r="I147" s="11" t="n"/>
    </row>
    <row r="148">
      <c r="A148" s="5" t="inlineStr">
        <is>
          <t>R0217136</t>
        </is>
      </c>
      <c r="B148" s="8">
        <f>IFERROR(INDEX('Property Registry'!$G$5:$G$33,MATCH(A148,'Property Registry'!$A$5:$A$33,0)),"")</f>
        <v/>
      </c>
      <c r="C148" s="9">
        <f>IFERROR(INDEX('Property Registry'!$I$5:$I$33,MATCH(A148,'Property Registry'!$A$5:$A$33,0)),"")</f>
        <v/>
      </c>
      <c r="D148" s="5" t="inlineStr">
        <is>
          <t>Broadway Logistics Center</t>
        </is>
      </c>
      <c r="E148" s="5" t="inlineStr">
        <is>
          <t>FY2024</t>
        </is>
      </c>
      <c r="F148" s="8" t="inlineStr">
        <is>
          <t>Expense</t>
        </is>
      </c>
      <c r="G148" s="5" t="inlineStr">
        <is>
          <t>Non-Recoverable: Electricity Vacant</t>
        </is>
      </c>
      <c r="H148" s="10" t="n">
        <v>424.02</v>
      </c>
      <c r="I148" s="11" t="n"/>
    </row>
    <row r="149">
      <c r="A149" s="5" t="inlineStr">
        <is>
          <t>R0217136</t>
        </is>
      </c>
      <c r="B149" s="8">
        <f>IFERROR(INDEX('Property Registry'!$G$5:$G$33,MATCH(A149,'Property Registry'!$A$5:$A$33,0)),"")</f>
        <v/>
      </c>
      <c r="C149" s="9">
        <f>IFERROR(INDEX('Property Registry'!$I$5:$I$33,MATCH(A149,'Property Registry'!$A$5:$A$33,0)),"")</f>
        <v/>
      </c>
      <c r="D149" s="5" t="inlineStr">
        <is>
          <t>Broadway Logistics Center</t>
        </is>
      </c>
      <c r="E149" s="5" t="inlineStr">
        <is>
          <t>FY2024</t>
        </is>
      </c>
      <c r="F149" s="8" t="inlineStr">
        <is>
          <t>Expense</t>
        </is>
      </c>
      <c r="G149" s="5" t="inlineStr">
        <is>
          <t>Non-Recoverable: Advertising/Marketing</t>
        </is>
      </c>
      <c r="H149" s="10" t="n">
        <v>11278.58</v>
      </c>
      <c r="I149" s="11" t="n"/>
    </row>
    <row r="150">
      <c r="A150" s="5" t="inlineStr">
        <is>
          <t>R0217136</t>
        </is>
      </c>
      <c r="B150" s="8">
        <f>IFERROR(INDEX('Property Registry'!$G$5:$G$33,MATCH(A150,'Property Registry'!$A$5:$A$33,0)),"")</f>
        <v/>
      </c>
      <c r="C150" s="9">
        <f>IFERROR(INDEX('Property Registry'!$I$5:$I$33,MATCH(A150,'Property Registry'!$A$5:$A$33,0)),"")</f>
        <v/>
      </c>
      <c r="D150" s="5" t="inlineStr">
        <is>
          <t>Broadway Logistics Center</t>
        </is>
      </c>
      <c r="E150" s="5" t="inlineStr">
        <is>
          <t>FY2024</t>
        </is>
      </c>
      <c r="F150" s="8" t="inlineStr">
        <is>
          <t>Expense</t>
        </is>
      </c>
      <c r="G150" s="5" t="inlineStr">
        <is>
          <t>Non-Recoverable: Office/Admin (Bank Fees+Travel)</t>
        </is>
      </c>
      <c r="H150" s="10" t="n">
        <v>2522.08</v>
      </c>
      <c r="I150" s="11" t="n"/>
    </row>
    <row r="151">
      <c r="A151" s="5" t="inlineStr">
        <is>
          <t>R0217136</t>
        </is>
      </c>
      <c r="B151" s="8">
        <f>IFERROR(INDEX('Property Registry'!$G$5:$G$33,MATCH(A151,'Property Registry'!$A$5:$A$33,0)),"")</f>
        <v/>
      </c>
      <c r="C151" s="9">
        <f>IFERROR(INDEX('Property Registry'!$I$5:$I$33,MATCH(A151,'Property Registry'!$A$5:$A$33,0)),"")</f>
        <v/>
      </c>
      <c r="D151" s="5" t="inlineStr">
        <is>
          <t>Broadway Logistics Center</t>
        </is>
      </c>
      <c r="E151" s="5" t="inlineStr">
        <is>
          <t>FY2024</t>
        </is>
      </c>
      <c r="F151" s="8" t="inlineStr">
        <is>
          <t>Expense</t>
        </is>
      </c>
      <c r="G151" s="5" t="inlineStr">
        <is>
          <t>TOTAL EXPENSE</t>
        </is>
      </c>
      <c r="H151" s="10" t="n">
        <v>411259.09</v>
      </c>
      <c r="I151" s="11" t="inlineStr">
        <is>
          <t>Printed total: $411,259.09 (Recoverable $397,034.41 + Non-Recoverable $14,224.68).</t>
        </is>
      </c>
    </row>
    <row r="152">
      <c r="A152" s="5" t="inlineStr">
        <is>
          <t>R0132030</t>
        </is>
      </c>
      <c r="B152" s="8">
        <f>IFERROR(INDEX('Property Registry'!$G$5:$G$33,MATCH(A152,'Property Registry'!$A$5:$A$33,0)),"")</f>
        <v/>
      </c>
      <c r="C152" s="9">
        <f>IFERROR(INDEX('Property Registry'!$I$5:$I$33,MATCH(A152,'Property Registry'!$A$5:$A$33,0)),"")</f>
        <v/>
      </c>
      <c r="D152" s="5" t="inlineStr">
        <is>
          <t>Majestic Commercenter Bldg 22</t>
        </is>
      </c>
      <c r="E152" s="5" t="inlineStr">
        <is>
          <t>FY2023</t>
        </is>
      </c>
      <c r="F152" s="8" t="inlineStr">
        <is>
          <t>Expense</t>
        </is>
      </c>
      <c r="G152" s="5" t="inlineStr">
        <is>
          <t>TOTAL OPERATING EXPENSE</t>
        </is>
      </c>
      <c r="H152" s="10" t="n">
        <v>982119.23</v>
      </c>
      <c r="I152" s="11" t="inlineStr">
        <is>
          <t>Summary totals only. Includes mortgage interest &amp; depreciation/amortization; net LOSS despite positive operating income.</t>
        </is>
      </c>
    </row>
    <row r="153">
      <c r="A153" s="5" t="inlineStr">
        <is>
          <t>R0132030</t>
        </is>
      </c>
      <c r="B153" s="8">
        <f>IFERROR(INDEX('Property Registry'!$G$5:$G$33,MATCH(A153,'Property Registry'!$A$5:$A$33,0)),"")</f>
        <v/>
      </c>
      <c r="C153" s="9">
        <f>IFERROR(INDEX('Property Registry'!$I$5:$I$33,MATCH(A153,'Property Registry'!$A$5:$A$33,0)),"")</f>
        <v/>
      </c>
      <c r="D153" s="5" t="inlineStr">
        <is>
          <t>Majestic Commercenter Bldg 22</t>
        </is>
      </c>
      <c r="E153" s="5" t="inlineStr">
        <is>
          <t>FY2023</t>
        </is>
      </c>
      <c r="F153" s="8" t="inlineStr">
        <is>
          <t>Interest</t>
        </is>
      </c>
      <c r="G153" s="5" t="inlineStr">
        <is>
          <t>Total Interest Expense</t>
        </is>
      </c>
      <c r="H153" s="10" t="n">
        <v>471750.67</v>
      </c>
      <c r="I153" s="11" t="n"/>
    </row>
    <row r="154">
      <c r="A154" s="5" t="inlineStr">
        <is>
          <t>R0132030</t>
        </is>
      </c>
      <c r="B154" s="8">
        <f>IFERROR(INDEX('Property Registry'!$G$5:$G$33,MATCH(A154,'Property Registry'!$A$5:$A$33,0)),"")</f>
        <v/>
      </c>
      <c r="C154" s="9">
        <f>IFERROR(INDEX('Property Registry'!$I$5:$I$33,MATCH(A154,'Property Registry'!$A$5:$A$33,0)),"")</f>
        <v/>
      </c>
      <c r="D154" s="5" t="inlineStr">
        <is>
          <t>Majestic Commercenter Bldg 22</t>
        </is>
      </c>
      <c r="E154" s="5" t="inlineStr">
        <is>
          <t>FY2023</t>
        </is>
      </c>
      <c r="F154" s="8" t="inlineStr">
        <is>
          <t>Other Income/Expense</t>
        </is>
      </c>
      <c r="G154" s="5" t="inlineStr">
        <is>
          <t>Total Other (Income)/Expense (incl. Depr/Amort)</t>
        </is>
      </c>
      <c r="H154" s="10" t="n">
        <v>864589.1</v>
      </c>
      <c r="I154" s="11" t="n"/>
    </row>
    <row r="155">
      <c r="A155" s="5" t="inlineStr">
        <is>
          <t>R0132030</t>
        </is>
      </c>
      <c r="B155" s="8">
        <f>IFERROR(INDEX('Property Registry'!$G$5:$G$33,MATCH(A155,'Property Registry'!$A$5:$A$33,0)),"")</f>
        <v/>
      </c>
      <c r="C155" s="9">
        <f>IFERROR(INDEX('Property Registry'!$I$5:$I$33,MATCH(A155,'Property Registry'!$A$5:$A$33,0)),"")</f>
        <v/>
      </c>
      <c r="D155" s="5" t="inlineStr">
        <is>
          <t>Majestic Commercenter Bldg 22</t>
        </is>
      </c>
      <c r="E155" s="5" t="inlineStr">
        <is>
          <t>FY2024</t>
        </is>
      </c>
      <c r="F155" s="8" t="inlineStr">
        <is>
          <t>Expense</t>
        </is>
      </c>
      <c r="G155" s="5" t="inlineStr">
        <is>
          <t>TOTAL OPERATING EXPENSE</t>
        </is>
      </c>
      <c r="H155" s="10" t="n">
        <v>872475.4300000001</v>
      </c>
      <c r="I155" s="11" t="inlineStr">
        <is>
          <t>Summary totals only; multi-tenant, 75% occupied at DOV. Includes mortgage interest &amp; depreciation/amortization; net LOSS despite positive operating income.</t>
        </is>
      </c>
    </row>
    <row r="156">
      <c r="A156" s="5" t="inlineStr">
        <is>
          <t>R0132030</t>
        </is>
      </c>
      <c r="B156" s="8">
        <f>IFERROR(INDEX('Property Registry'!$G$5:$G$33,MATCH(A156,'Property Registry'!$A$5:$A$33,0)),"")</f>
        <v/>
      </c>
      <c r="C156" s="9">
        <f>IFERROR(INDEX('Property Registry'!$I$5:$I$33,MATCH(A156,'Property Registry'!$A$5:$A$33,0)),"")</f>
        <v/>
      </c>
      <c r="D156" s="5" t="inlineStr">
        <is>
          <t>Majestic Commercenter Bldg 22</t>
        </is>
      </c>
      <c r="E156" s="5" t="inlineStr">
        <is>
          <t>FY2024</t>
        </is>
      </c>
      <c r="F156" s="8" t="inlineStr">
        <is>
          <t>Interest</t>
        </is>
      </c>
      <c r="G156" s="5" t="inlineStr">
        <is>
          <t>Total Interest Expense</t>
        </is>
      </c>
      <c r="H156" s="10" t="n">
        <v>457397.92</v>
      </c>
      <c r="I156" s="11" t="n"/>
    </row>
    <row r="157">
      <c r="A157" s="5" t="inlineStr">
        <is>
          <t>R0132030</t>
        </is>
      </c>
      <c r="B157" s="8">
        <f>IFERROR(INDEX('Property Registry'!$G$5:$G$33,MATCH(A157,'Property Registry'!$A$5:$A$33,0)),"")</f>
        <v/>
      </c>
      <c r="C157" s="9">
        <f>IFERROR(INDEX('Property Registry'!$I$5:$I$33,MATCH(A157,'Property Registry'!$A$5:$A$33,0)),"")</f>
        <v/>
      </c>
      <c r="D157" s="5" t="inlineStr">
        <is>
          <t>Majestic Commercenter Bldg 22</t>
        </is>
      </c>
      <c r="E157" s="5" t="inlineStr">
        <is>
          <t>FY2024</t>
        </is>
      </c>
      <c r="F157" s="8" t="inlineStr">
        <is>
          <t>Other Income/Expense</t>
        </is>
      </c>
      <c r="G157" s="5" t="inlineStr">
        <is>
          <t>Total Other (Income)/Expense (incl. Depr/Amort)</t>
        </is>
      </c>
      <c r="H157" s="10" t="n">
        <v>743031.13</v>
      </c>
      <c r="I157" s="11" t="n"/>
    </row>
    <row r="158">
      <c r="A158" s="5" t="inlineStr">
        <is>
          <t>R0172868</t>
        </is>
      </c>
      <c r="B158" s="8">
        <f>IFERROR(INDEX('Property Registry'!$G$5:$G$33,MATCH(A158,'Property Registry'!$A$5:$A$33,0)),"")</f>
        <v/>
      </c>
      <c r="C158" s="9">
        <f>IFERROR(INDEX('Property Registry'!$I$5:$I$33,MATCH(A158,'Property Registry'!$A$5:$A$33,0)),"")</f>
        <v/>
      </c>
      <c r="D158" s="5" t="inlineStr">
        <is>
          <t>Majestic Commercenter Bldg 26</t>
        </is>
      </c>
      <c r="E158" s="5" t="inlineStr">
        <is>
          <t>FY2023</t>
        </is>
      </c>
      <c r="F158" s="8" t="inlineStr">
        <is>
          <t>Expense</t>
        </is>
      </c>
      <c r="G158" s="5" t="inlineStr">
        <is>
          <t>TOTAL OPERATING EXPENSE</t>
        </is>
      </c>
      <c r="H158" s="10" t="n">
        <v>874497.0600000001</v>
      </c>
      <c r="I158" s="11" t="inlineStr">
        <is>
          <t>Summary totals only. Includes mortgage interest &amp; depreciation/amortization.</t>
        </is>
      </c>
    </row>
    <row r="159">
      <c r="A159" s="5" t="inlineStr">
        <is>
          <t>R0172868</t>
        </is>
      </c>
      <c r="B159" s="8">
        <f>IFERROR(INDEX('Property Registry'!$G$5:$G$33,MATCH(A159,'Property Registry'!$A$5:$A$33,0)),"")</f>
        <v/>
      </c>
      <c r="C159" s="9">
        <f>IFERROR(INDEX('Property Registry'!$I$5:$I$33,MATCH(A159,'Property Registry'!$A$5:$A$33,0)),"")</f>
        <v/>
      </c>
      <c r="D159" s="5" t="inlineStr">
        <is>
          <t>Majestic Commercenter Bldg 26</t>
        </is>
      </c>
      <c r="E159" s="5" t="inlineStr">
        <is>
          <t>FY2023</t>
        </is>
      </c>
      <c r="F159" s="8" t="inlineStr">
        <is>
          <t>Interest</t>
        </is>
      </c>
      <c r="G159" s="5" t="inlineStr">
        <is>
          <t>Total Interest Expense</t>
        </is>
      </c>
      <c r="H159" s="10" t="n">
        <v>419334.01</v>
      </c>
      <c r="I159" s="11" t="n"/>
    </row>
    <row r="160">
      <c r="A160" s="5" t="inlineStr">
        <is>
          <t>R0172868</t>
        </is>
      </c>
      <c r="B160" s="8">
        <f>IFERROR(INDEX('Property Registry'!$G$5:$G$33,MATCH(A160,'Property Registry'!$A$5:$A$33,0)),"")</f>
        <v/>
      </c>
      <c r="C160" s="9">
        <f>IFERROR(INDEX('Property Registry'!$I$5:$I$33,MATCH(A160,'Property Registry'!$A$5:$A$33,0)),"")</f>
        <v/>
      </c>
      <c r="D160" s="5" t="inlineStr">
        <is>
          <t>Majestic Commercenter Bldg 26</t>
        </is>
      </c>
      <c r="E160" s="5" t="inlineStr">
        <is>
          <t>FY2023</t>
        </is>
      </c>
      <c r="F160" s="8" t="inlineStr">
        <is>
          <t>Other Income/Expense</t>
        </is>
      </c>
      <c r="G160" s="5" t="inlineStr">
        <is>
          <t>Total Other (Income)/Expense (incl. Depr/Amort)</t>
        </is>
      </c>
      <c r="H160" s="10" t="n">
        <v>496946.56</v>
      </c>
      <c r="I160" s="11" t="n"/>
    </row>
    <row r="161">
      <c r="A161" s="5" t="inlineStr">
        <is>
          <t>R0172868</t>
        </is>
      </c>
      <c r="B161" s="8">
        <f>IFERROR(INDEX('Property Registry'!$G$5:$G$33,MATCH(A161,'Property Registry'!$A$5:$A$33,0)),"")</f>
        <v/>
      </c>
      <c r="C161" s="9">
        <f>IFERROR(INDEX('Property Registry'!$I$5:$I$33,MATCH(A161,'Property Registry'!$A$5:$A$33,0)),"")</f>
        <v/>
      </c>
      <c r="D161" s="5" t="inlineStr">
        <is>
          <t>Majestic Commercenter Bldg 26</t>
        </is>
      </c>
      <c r="E161" s="5" t="inlineStr">
        <is>
          <t>FY2024</t>
        </is>
      </c>
      <c r="F161" s="8" t="inlineStr">
        <is>
          <t>Expense</t>
        </is>
      </c>
      <c r="G161" s="5" t="inlineStr">
        <is>
          <t>TOTAL OPERATING EXPENSE</t>
        </is>
      </c>
      <c r="H161" s="10" t="n">
        <v>722934.98</v>
      </c>
      <c r="I161" s="11" t="inlineStr">
        <is>
          <t>Summary totals (single-tenant building); GL revenue not itemized by tenant name. Includes mortgage interest &amp; depreciation/amortization.</t>
        </is>
      </c>
    </row>
    <row r="162">
      <c r="A162" s="5" t="inlineStr">
        <is>
          <t>R0172868</t>
        </is>
      </c>
      <c r="B162" s="8">
        <f>IFERROR(INDEX('Property Registry'!$G$5:$G$33,MATCH(A162,'Property Registry'!$A$5:$A$33,0)),"")</f>
        <v/>
      </c>
      <c r="C162" s="9">
        <f>IFERROR(INDEX('Property Registry'!$I$5:$I$33,MATCH(A162,'Property Registry'!$A$5:$A$33,0)),"")</f>
        <v/>
      </c>
      <c r="D162" s="5" t="inlineStr">
        <is>
          <t>Majestic Commercenter Bldg 26</t>
        </is>
      </c>
      <c r="E162" s="5" t="inlineStr">
        <is>
          <t>FY2024</t>
        </is>
      </c>
      <c r="F162" s="8" t="inlineStr">
        <is>
          <t>Interest</t>
        </is>
      </c>
      <c r="G162" s="5" t="inlineStr">
        <is>
          <t>Total Interest Expense</t>
        </is>
      </c>
      <c r="H162" s="10" t="n">
        <v>406575.93</v>
      </c>
      <c r="I162" s="11" t="n"/>
    </row>
    <row r="163">
      <c r="A163" s="5" t="inlineStr">
        <is>
          <t>R0172868</t>
        </is>
      </c>
      <c r="B163" s="8">
        <f>IFERROR(INDEX('Property Registry'!$G$5:$G$33,MATCH(A163,'Property Registry'!$A$5:$A$33,0)),"")</f>
        <v/>
      </c>
      <c r="C163" s="9">
        <f>IFERROR(INDEX('Property Registry'!$I$5:$I$33,MATCH(A163,'Property Registry'!$A$5:$A$33,0)),"")</f>
        <v/>
      </c>
      <c r="D163" s="5" t="inlineStr">
        <is>
          <t>Majestic Commercenter Bldg 26</t>
        </is>
      </c>
      <c r="E163" s="5" t="inlineStr">
        <is>
          <t>FY2024</t>
        </is>
      </c>
      <c r="F163" s="8" t="inlineStr">
        <is>
          <t>Other Income/Expense</t>
        </is>
      </c>
      <c r="G163" s="5" t="inlineStr">
        <is>
          <t>Total Other (Income)/Expense (incl. Depr/Amort)</t>
        </is>
      </c>
      <c r="H163" s="10" t="n">
        <v>424973.74</v>
      </c>
      <c r="I163" s="11" t="n"/>
    </row>
  </sheetData>
  <autoFilter ref="A4:I163"/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6" customWidth="1" min="3" max="3"/>
    <col width="30" customWidth="1" min="4" max="4"/>
    <col width="30" customWidth="1" min="5" max="5"/>
    <col width="15" customWidth="1" min="6" max="6"/>
    <col width="32" customWidth="1" min="7" max="7"/>
    <col width="18" customWidth="1" min="8" max="8"/>
    <col width="55" customWidth="1" min="9" max="9"/>
  </cols>
  <sheetData>
    <row r="1">
      <c r="A1" s="1" t="inlineStr">
        <is>
          <t>EXPENSES — PER SQUARE FOOT ($/SF)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Same line items as the Expenses - Annual tab, normalized to $/SF of Building Size so properties of different sizes can be compared directly. "n/a" = building size not available in the source documents (see Property Registry).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4" t="inlineStr">
        <is>
          <t>Property ID</t>
        </is>
      </c>
      <c r="B4" s="4" t="inlineStr">
        <is>
          <t>OCCC Code</t>
        </is>
      </c>
      <c r="C4" s="4" t="inlineStr">
        <is>
          <t>Building Size (SF)</t>
        </is>
      </c>
      <c r="D4" s="4" t="inlineStr">
        <is>
          <t>Property</t>
        </is>
      </c>
      <c r="E4" s="4" t="inlineStr">
        <is>
          <t>Period</t>
        </is>
      </c>
      <c r="F4" s="4" t="inlineStr">
        <is>
          <t>Category</t>
        </is>
      </c>
      <c r="G4" s="4" t="inlineStr">
        <is>
          <t>Line Item / Account</t>
        </is>
      </c>
      <c r="H4" s="4" t="inlineStr">
        <is>
          <t>Amount per SF ($/SF)</t>
        </is>
      </c>
      <c r="I4" s="4" t="inlineStr">
        <is>
          <t>Notes</t>
        </is>
      </c>
    </row>
    <row r="5">
      <c r="A5" s="5">
        <f>'Expenses - Annual'!A5</f>
        <v/>
      </c>
      <c r="B5" s="8">
        <f>'Expenses - Annual'!B5</f>
        <v/>
      </c>
      <c r="C5" s="9">
        <f>'Expenses - Annual'!C5</f>
        <v/>
      </c>
      <c r="D5" s="5">
        <f>'Expenses - Annual'!D5</f>
        <v/>
      </c>
      <c r="E5" s="5">
        <f>'Expenses - Annual'!E5</f>
        <v/>
      </c>
      <c r="F5" s="8">
        <f>'Expenses - Annual'!F5</f>
        <v/>
      </c>
      <c r="G5" s="5">
        <f>'Expenses - Annual'!G5</f>
        <v/>
      </c>
      <c r="H5" s="12">
        <f>IF(OR('Expenses - Annual'!C5="",'Expenses - Annual'!C5=0),"n/a",'Expenses - Annual'!H5/'Expenses - Annual'!C5)</f>
        <v/>
      </c>
      <c r="I5" s="11">
        <f>'Expenses - Annual'!I5</f>
        <v/>
      </c>
    </row>
    <row r="6">
      <c r="A6" s="5">
        <f>'Expenses - Annual'!A6</f>
        <v/>
      </c>
      <c r="B6" s="8">
        <f>'Expenses - Annual'!B6</f>
        <v/>
      </c>
      <c r="C6" s="9">
        <f>'Expenses - Annual'!C6</f>
        <v/>
      </c>
      <c r="D6" s="5">
        <f>'Expenses - Annual'!D6</f>
        <v/>
      </c>
      <c r="E6" s="5">
        <f>'Expenses - Annual'!E6</f>
        <v/>
      </c>
      <c r="F6" s="8">
        <f>'Expenses - Annual'!F6</f>
        <v/>
      </c>
      <c r="G6" s="5">
        <f>'Expenses - Annual'!G6</f>
        <v/>
      </c>
      <c r="H6" s="12">
        <f>IF(OR('Expenses - Annual'!C6="",'Expenses - Annual'!C6=0),"n/a",'Expenses - Annual'!H6/'Expenses - Annual'!C6)</f>
        <v/>
      </c>
      <c r="I6" s="11">
        <f>'Expenses - Annual'!I6</f>
        <v/>
      </c>
    </row>
    <row r="7">
      <c r="A7" s="5">
        <f>'Expenses - Annual'!A7</f>
        <v/>
      </c>
      <c r="B7" s="8">
        <f>'Expenses - Annual'!B7</f>
        <v/>
      </c>
      <c r="C7" s="9">
        <f>'Expenses - Annual'!C7</f>
        <v/>
      </c>
      <c r="D7" s="5">
        <f>'Expenses - Annual'!D7</f>
        <v/>
      </c>
      <c r="E7" s="5">
        <f>'Expenses - Annual'!E7</f>
        <v/>
      </c>
      <c r="F7" s="8">
        <f>'Expenses - Annual'!F7</f>
        <v/>
      </c>
      <c r="G7" s="5">
        <f>'Expenses - Annual'!G7</f>
        <v/>
      </c>
      <c r="H7" s="12">
        <f>IF(OR('Expenses - Annual'!C7="",'Expenses - Annual'!C7=0),"n/a",'Expenses - Annual'!H7/'Expenses - Annual'!C7)</f>
        <v/>
      </c>
      <c r="I7" s="11">
        <f>'Expenses - Annual'!I7</f>
        <v/>
      </c>
    </row>
    <row r="8">
      <c r="A8" s="5">
        <f>'Expenses - Annual'!A8</f>
        <v/>
      </c>
      <c r="B8" s="8">
        <f>'Expenses - Annual'!B8</f>
        <v/>
      </c>
      <c r="C8" s="9">
        <f>'Expenses - Annual'!C8</f>
        <v/>
      </c>
      <c r="D8" s="5">
        <f>'Expenses - Annual'!D8</f>
        <v/>
      </c>
      <c r="E8" s="5">
        <f>'Expenses - Annual'!E8</f>
        <v/>
      </c>
      <c r="F8" s="8">
        <f>'Expenses - Annual'!F8</f>
        <v/>
      </c>
      <c r="G8" s="5">
        <f>'Expenses - Annual'!G8</f>
        <v/>
      </c>
      <c r="H8" s="12">
        <f>IF(OR('Expenses - Annual'!C8="",'Expenses - Annual'!C8=0),"n/a",'Expenses - Annual'!H8/'Expenses - Annual'!C8)</f>
        <v/>
      </c>
      <c r="I8" s="11">
        <f>'Expenses - Annual'!I8</f>
        <v/>
      </c>
    </row>
    <row r="9">
      <c r="A9" s="5">
        <f>'Expenses - Annual'!A9</f>
        <v/>
      </c>
      <c r="B9" s="8">
        <f>'Expenses - Annual'!B9</f>
        <v/>
      </c>
      <c r="C9" s="9">
        <f>'Expenses - Annual'!C9</f>
        <v/>
      </c>
      <c r="D9" s="5">
        <f>'Expenses - Annual'!D9</f>
        <v/>
      </c>
      <c r="E9" s="5">
        <f>'Expenses - Annual'!E9</f>
        <v/>
      </c>
      <c r="F9" s="8">
        <f>'Expenses - Annual'!F9</f>
        <v/>
      </c>
      <c r="G9" s="5">
        <f>'Expenses - Annual'!G9</f>
        <v/>
      </c>
      <c r="H9" s="12">
        <f>IF(OR('Expenses - Annual'!C9="",'Expenses - Annual'!C9=0),"n/a",'Expenses - Annual'!H9/'Expenses - Annual'!C9)</f>
        <v/>
      </c>
      <c r="I9" s="11">
        <f>'Expenses - Annual'!I9</f>
        <v/>
      </c>
    </row>
    <row r="10">
      <c r="A10" s="5">
        <f>'Expenses - Annual'!A10</f>
        <v/>
      </c>
      <c r="B10" s="8">
        <f>'Expenses - Annual'!B10</f>
        <v/>
      </c>
      <c r="C10" s="9">
        <f>'Expenses - Annual'!C10</f>
        <v/>
      </c>
      <c r="D10" s="5">
        <f>'Expenses - Annual'!D10</f>
        <v/>
      </c>
      <c r="E10" s="5">
        <f>'Expenses - Annual'!E10</f>
        <v/>
      </c>
      <c r="F10" s="8">
        <f>'Expenses - Annual'!F10</f>
        <v/>
      </c>
      <c r="G10" s="5">
        <f>'Expenses - Annual'!G10</f>
        <v/>
      </c>
      <c r="H10" s="12">
        <f>IF(OR('Expenses - Annual'!C10="",'Expenses - Annual'!C10=0),"n/a",'Expenses - Annual'!H10/'Expenses - Annual'!C10)</f>
        <v/>
      </c>
      <c r="I10" s="11">
        <f>'Expenses - Annual'!I10</f>
        <v/>
      </c>
    </row>
    <row r="11">
      <c r="A11" s="5">
        <f>'Expenses - Annual'!A11</f>
        <v/>
      </c>
      <c r="B11" s="8">
        <f>'Expenses - Annual'!B11</f>
        <v/>
      </c>
      <c r="C11" s="9">
        <f>'Expenses - Annual'!C11</f>
        <v/>
      </c>
      <c r="D11" s="5">
        <f>'Expenses - Annual'!D11</f>
        <v/>
      </c>
      <c r="E11" s="5">
        <f>'Expenses - Annual'!E11</f>
        <v/>
      </c>
      <c r="F11" s="8">
        <f>'Expenses - Annual'!F11</f>
        <v/>
      </c>
      <c r="G11" s="5">
        <f>'Expenses - Annual'!G11</f>
        <v/>
      </c>
      <c r="H11" s="12">
        <f>IF(OR('Expenses - Annual'!C11="",'Expenses - Annual'!C11=0),"n/a",'Expenses - Annual'!H11/'Expenses - Annual'!C11)</f>
        <v/>
      </c>
      <c r="I11" s="11">
        <f>'Expenses - Annual'!I11</f>
        <v/>
      </c>
    </row>
    <row r="12">
      <c r="A12" s="5">
        <f>'Expenses - Annual'!A12</f>
        <v/>
      </c>
      <c r="B12" s="8">
        <f>'Expenses - Annual'!B12</f>
        <v/>
      </c>
      <c r="C12" s="9">
        <f>'Expenses - Annual'!C12</f>
        <v/>
      </c>
      <c r="D12" s="5">
        <f>'Expenses - Annual'!D12</f>
        <v/>
      </c>
      <c r="E12" s="5">
        <f>'Expenses - Annual'!E12</f>
        <v/>
      </c>
      <c r="F12" s="8">
        <f>'Expenses - Annual'!F12</f>
        <v/>
      </c>
      <c r="G12" s="5">
        <f>'Expenses - Annual'!G12</f>
        <v/>
      </c>
      <c r="H12" s="12">
        <f>IF(OR('Expenses - Annual'!C12="",'Expenses - Annual'!C12=0),"n/a",'Expenses - Annual'!H12/'Expenses - Annual'!C12)</f>
        <v/>
      </c>
      <c r="I12" s="11">
        <f>'Expenses - Annual'!I12</f>
        <v/>
      </c>
    </row>
    <row r="13">
      <c r="A13" s="5">
        <f>'Expenses - Annual'!A13</f>
        <v/>
      </c>
      <c r="B13" s="8">
        <f>'Expenses - Annual'!B13</f>
        <v/>
      </c>
      <c r="C13" s="9">
        <f>'Expenses - Annual'!C13</f>
        <v/>
      </c>
      <c r="D13" s="5">
        <f>'Expenses - Annual'!D13</f>
        <v/>
      </c>
      <c r="E13" s="5">
        <f>'Expenses - Annual'!E13</f>
        <v/>
      </c>
      <c r="F13" s="8">
        <f>'Expenses - Annual'!F13</f>
        <v/>
      </c>
      <c r="G13" s="5">
        <f>'Expenses - Annual'!G13</f>
        <v/>
      </c>
      <c r="H13" s="12">
        <f>IF(OR('Expenses - Annual'!C13="",'Expenses - Annual'!C13=0),"n/a",'Expenses - Annual'!H13/'Expenses - Annual'!C13)</f>
        <v/>
      </c>
      <c r="I13" s="11">
        <f>'Expenses - Annual'!I13</f>
        <v/>
      </c>
    </row>
    <row r="14">
      <c r="A14" s="5">
        <f>'Expenses - Annual'!A14</f>
        <v/>
      </c>
      <c r="B14" s="8">
        <f>'Expenses - Annual'!B14</f>
        <v/>
      </c>
      <c r="C14" s="9">
        <f>'Expenses - Annual'!C14</f>
        <v/>
      </c>
      <c r="D14" s="5">
        <f>'Expenses - Annual'!D14</f>
        <v/>
      </c>
      <c r="E14" s="5">
        <f>'Expenses - Annual'!E14</f>
        <v/>
      </c>
      <c r="F14" s="8">
        <f>'Expenses - Annual'!F14</f>
        <v/>
      </c>
      <c r="G14" s="5">
        <f>'Expenses - Annual'!G14</f>
        <v/>
      </c>
      <c r="H14" s="12">
        <f>IF(OR('Expenses - Annual'!C14="",'Expenses - Annual'!C14=0),"n/a",'Expenses - Annual'!H14/'Expenses - Annual'!C14)</f>
        <v/>
      </c>
      <c r="I14" s="11">
        <f>'Expenses - Annual'!I14</f>
        <v/>
      </c>
    </row>
    <row r="15">
      <c r="A15" s="5">
        <f>'Expenses - Annual'!A15</f>
        <v/>
      </c>
      <c r="B15" s="8">
        <f>'Expenses - Annual'!B15</f>
        <v/>
      </c>
      <c r="C15" s="9">
        <f>'Expenses - Annual'!C15</f>
        <v/>
      </c>
      <c r="D15" s="5">
        <f>'Expenses - Annual'!D15</f>
        <v/>
      </c>
      <c r="E15" s="5">
        <f>'Expenses - Annual'!E15</f>
        <v/>
      </c>
      <c r="F15" s="8">
        <f>'Expenses - Annual'!F15</f>
        <v/>
      </c>
      <c r="G15" s="5">
        <f>'Expenses - Annual'!G15</f>
        <v/>
      </c>
      <c r="H15" s="12">
        <f>IF(OR('Expenses - Annual'!C15="",'Expenses - Annual'!C15=0),"n/a",'Expenses - Annual'!H15/'Expenses - Annual'!C15)</f>
        <v/>
      </c>
      <c r="I15" s="11">
        <f>'Expenses - Annual'!I15</f>
        <v/>
      </c>
    </row>
    <row r="16">
      <c r="A16" s="5">
        <f>'Expenses - Annual'!A16</f>
        <v/>
      </c>
      <c r="B16" s="8">
        <f>'Expenses - Annual'!B16</f>
        <v/>
      </c>
      <c r="C16" s="9">
        <f>'Expenses - Annual'!C16</f>
        <v/>
      </c>
      <c r="D16" s="5">
        <f>'Expenses - Annual'!D16</f>
        <v/>
      </c>
      <c r="E16" s="5">
        <f>'Expenses - Annual'!E16</f>
        <v/>
      </c>
      <c r="F16" s="8">
        <f>'Expenses - Annual'!F16</f>
        <v/>
      </c>
      <c r="G16" s="5">
        <f>'Expenses - Annual'!G16</f>
        <v/>
      </c>
      <c r="H16" s="12">
        <f>IF(OR('Expenses - Annual'!C16="",'Expenses - Annual'!C16=0),"n/a",'Expenses - Annual'!H16/'Expenses - Annual'!C16)</f>
        <v/>
      </c>
      <c r="I16" s="11">
        <f>'Expenses - Annual'!I16</f>
        <v/>
      </c>
    </row>
    <row r="17">
      <c r="A17" s="5">
        <f>'Expenses - Annual'!A17</f>
        <v/>
      </c>
      <c r="B17" s="8">
        <f>'Expenses - Annual'!B17</f>
        <v/>
      </c>
      <c r="C17" s="9">
        <f>'Expenses - Annual'!C17</f>
        <v/>
      </c>
      <c r="D17" s="5">
        <f>'Expenses - Annual'!D17</f>
        <v/>
      </c>
      <c r="E17" s="5">
        <f>'Expenses - Annual'!E17</f>
        <v/>
      </c>
      <c r="F17" s="8">
        <f>'Expenses - Annual'!F17</f>
        <v/>
      </c>
      <c r="G17" s="5">
        <f>'Expenses - Annual'!G17</f>
        <v/>
      </c>
      <c r="H17" s="12">
        <f>IF(OR('Expenses - Annual'!C17="",'Expenses - Annual'!C17=0),"n/a",'Expenses - Annual'!H17/'Expenses - Annual'!C17)</f>
        <v/>
      </c>
      <c r="I17" s="11">
        <f>'Expenses - Annual'!I17</f>
        <v/>
      </c>
    </row>
    <row r="18">
      <c r="A18" s="5">
        <f>'Expenses - Annual'!A18</f>
        <v/>
      </c>
      <c r="B18" s="8">
        <f>'Expenses - Annual'!B18</f>
        <v/>
      </c>
      <c r="C18" s="9">
        <f>'Expenses - Annual'!C18</f>
        <v/>
      </c>
      <c r="D18" s="5">
        <f>'Expenses - Annual'!D18</f>
        <v/>
      </c>
      <c r="E18" s="5">
        <f>'Expenses - Annual'!E18</f>
        <v/>
      </c>
      <c r="F18" s="8">
        <f>'Expenses - Annual'!F18</f>
        <v/>
      </c>
      <c r="G18" s="5">
        <f>'Expenses - Annual'!G18</f>
        <v/>
      </c>
      <c r="H18" s="12">
        <f>IF(OR('Expenses - Annual'!C18="",'Expenses - Annual'!C18=0),"n/a",'Expenses - Annual'!H18/'Expenses - Annual'!C18)</f>
        <v/>
      </c>
      <c r="I18" s="11">
        <f>'Expenses - Annual'!I18</f>
        <v/>
      </c>
    </row>
    <row r="19">
      <c r="A19" s="5">
        <f>'Expenses - Annual'!A19</f>
        <v/>
      </c>
      <c r="B19" s="8">
        <f>'Expenses - Annual'!B19</f>
        <v/>
      </c>
      <c r="C19" s="9">
        <f>'Expenses - Annual'!C19</f>
        <v/>
      </c>
      <c r="D19" s="5">
        <f>'Expenses - Annual'!D19</f>
        <v/>
      </c>
      <c r="E19" s="5">
        <f>'Expenses - Annual'!E19</f>
        <v/>
      </c>
      <c r="F19" s="8">
        <f>'Expenses - Annual'!F19</f>
        <v/>
      </c>
      <c r="G19" s="5">
        <f>'Expenses - Annual'!G19</f>
        <v/>
      </c>
      <c r="H19" s="12">
        <f>IF(OR('Expenses - Annual'!C19="",'Expenses - Annual'!C19=0),"n/a",'Expenses - Annual'!H19/'Expenses - Annual'!C19)</f>
        <v/>
      </c>
      <c r="I19" s="11">
        <f>'Expenses - Annual'!I19</f>
        <v/>
      </c>
    </row>
    <row r="20">
      <c r="A20" s="5">
        <f>'Expenses - Annual'!A20</f>
        <v/>
      </c>
      <c r="B20" s="8">
        <f>'Expenses - Annual'!B20</f>
        <v/>
      </c>
      <c r="C20" s="9">
        <f>'Expenses - Annual'!C20</f>
        <v/>
      </c>
      <c r="D20" s="5">
        <f>'Expenses - Annual'!D20</f>
        <v/>
      </c>
      <c r="E20" s="5">
        <f>'Expenses - Annual'!E20</f>
        <v/>
      </c>
      <c r="F20" s="8">
        <f>'Expenses - Annual'!F20</f>
        <v/>
      </c>
      <c r="G20" s="5">
        <f>'Expenses - Annual'!G20</f>
        <v/>
      </c>
      <c r="H20" s="12">
        <f>IF(OR('Expenses - Annual'!C20="",'Expenses - Annual'!C20=0),"n/a",'Expenses - Annual'!H20/'Expenses - Annual'!C20)</f>
        <v/>
      </c>
      <c r="I20" s="11">
        <f>'Expenses - Annual'!I20</f>
        <v/>
      </c>
    </row>
    <row r="21">
      <c r="A21" s="5">
        <f>'Expenses - Annual'!A21</f>
        <v/>
      </c>
      <c r="B21" s="8">
        <f>'Expenses - Annual'!B21</f>
        <v/>
      </c>
      <c r="C21" s="9">
        <f>'Expenses - Annual'!C21</f>
        <v/>
      </c>
      <c r="D21" s="5">
        <f>'Expenses - Annual'!D21</f>
        <v/>
      </c>
      <c r="E21" s="5">
        <f>'Expenses - Annual'!E21</f>
        <v/>
      </c>
      <c r="F21" s="8">
        <f>'Expenses - Annual'!F21</f>
        <v/>
      </c>
      <c r="G21" s="5">
        <f>'Expenses - Annual'!G21</f>
        <v/>
      </c>
      <c r="H21" s="12">
        <f>IF(OR('Expenses - Annual'!C21="",'Expenses - Annual'!C21=0),"n/a",'Expenses - Annual'!H21/'Expenses - Annual'!C21)</f>
        <v/>
      </c>
      <c r="I21" s="11">
        <f>'Expenses - Annual'!I21</f>
        <v/>
      </c>
    </row>
    <row r="22">
      <c r="A22" s="5">
        <f>'Expenses - Annual'!A22</f>
        <v/>
      </c>
      <c r="B22" s="8">
        <f>'Expenses - Annual'!B22</f>
        <v/>
      </c>
      <c r="C22" s="9">
        <f>'Expenses - Annual'!C22</f>
        <v/>
      </c>
      <c r="D22" s="5">
        <f>'Expenses - Annual'!D22</f>
        <v/>
      </c>
      <c r="E22" s="5">
        <f>'Expenses - Annual'!E22</f>
        <v/>
      </c>
      <c r="F22" s="8">
        <f>'Expenses - Annual'!F22</f>
        <v/>
      </c>
      <c r="G22" s="5">
        <f>'Expenses - Annual'!G22</f>
        <v/>
      </c>
      <c r="H22" s="12">
        <f>IF(OR('Expenses - Annual'!C22="",'Expenses - Annual'!C22=0),"n/a",'Expenses - Annual'!H22/'Expenses - Annual'!C22)</f>
        <v/>
      </c>
      <c r="I22" s="11">
        <f>'Expenses - Annual'!I22</f>
        <v/>
      </c>
    </row>
    <row r="23">
      <c r="A23" s="5">
        <f>'Expenses - Annual'!A23</f>
        <v/>
      </c>
      <c r="B23" s="8">
        <f>'Expenses - Annual'!B23</f>
        <v/>
      </c>
      <c r="C23" s="9">
        <f>'Expenses - Annual'!C23</f>
        <v/>
      </c>
      <c r="D23" s="5">
        <f>'Expenses - Annual'!D23</f>
        <v/>
      </c>
      <c r="E23" s="5">
        <f>'Expenses - Annual'!E23</f>
        <v/>
      </c>
      <c r="F23" s="8">
        <f>'Expenses - Annual'!F23</f>
        <v/>
      </c>
      <c r="G23" s="5">
        <f>'Expenses - Annual'!G23</f>
        <v/>
      </c>
      <c r="H23" s="12">
        <f>IF(OR('Expenses - Annual'!C23="",'Expenses - Annual'!C23=0),"n/a",'Expenses - Annual'!H23/'Expenses - Annual'!C23)</f>
        <v/>
      </c>
      <c r="I23" s="11">
        <f>'Expenses - Annual'!I23</f>
        <v/>
      </c>
    </row>
    <row r="24">
      <c r="A24" s="5">
        <f>'Expenses - Annual'!A24</f>
        <v/>
      </c>
      <c r="B24" s="8">
        <f>'Expenses - Annual'!B24</f>
        <v/>
      </c>
      <c r="C24" s="9">
        <f>'Expenses - Annual'!C24</f>
        <v/>
      </c>
      <c r="D24" s="5">
        <f>'Expenses - Annual'!D24</f>
        <v/>
      </c>
      <c r="E24" s="5">
        <f>'Expenses - Annual'!E24</f>
        <v/>
      </c>
      <c r="F24" s="8">
        <f>'Expenses - Annual'!F24</f>
        <v/>
      </c>
      <c r="G24" s="5">
        <f>'Expenses - Annual'!G24</f>
        <v/>
      </c>
      <c r="H24" s="12">
        <f>IF(OR('Expenses - Annual'!C24="",'Expenses - Annual'!C24=0),"n/a",'Expenses - Annual'!H24/'Expenses - Annual'!C24)</f>
        <v/>
      </c>
      <c r="I24" s="11">
        <f>'Expenses - Annual'!I24</f>
        <v/>
      </c>
    </row>
    <row r="25">
      <c r="A25" s="5">
        <f>'Expenses - Annual'!A25</f>
        <v/>
      </c>
      <c r="B25" s="8">
        <f>'Expenses - Annual'!B25</f>
        <v/>
      </c>
      <c r="C25" s="9">
        <f>'Expenses - Annual'!C25</f>
        <v/>
      </c>
      <c r="D25" s="5">
        <f>'Expenses - Annual'!D25</f>
        <v/>
      </c>
      <c r="E25" s="5">
        <f>'Expenses - Annual'!E25</f>
        <v/>
      </c>
      <c r="F25" s="8">
        <f>'Expenses - Annual'!F25</f>
        <v/>
      </c>
      <c r="G25" s="5">
        <f>'Expenses - Annual'!G25</f>
        <v/>
      </c>
      <c r="H25" s="12">
        <f>IF(OR('Expenses - Annual'!C25="",'Expenses - Annual'!C25=0),"n/a",'Expenses - Annual'!H25/'Expenses - Annual'!C25)</f>
        <v/>
      </c>
      <c r="I25" s="11">
        <f>'Expenses - Annual'!I25</f>
        <v/>
      </c>
    </row>
    <row r="26">
      <c r="A26" s="5">
        <f>'Expenses - Annual'!A26</f>
        <v/>
      </c>
      <c r="B26" s="8">
        <f>'Expenses - Annual'!B26</f>
        <v/>
      </c>
      <c r="C26" s="9">
        <f>'Expenses - Annual'!C26</f>
        <v/>
      </c>
      <c r="D26" s="5">
        <f>'Expenses - Annual'!D26</f>
        <v/>
      </c>
      <c r="E26" s="5">
        <f>'Expenses - Annual'!E26</f>
        <v/>
      </c>
      <c r="F26" s="8">
        <f>'Expenses - Annual'!F26</f>
        <v/>
      </c>
      <c r="G26" s="5">
        <f>'Expenses - Annual'!G26</f>
        <v/>
      </c>
      <c r="H26" s="12">
        <f>IF(OR('Expenses - Annual'!C26="",'Expenses - Annual'!C26=0),"n/a",'Expenses - Annual'!H26/'Expenses - Annual'!C26)</f>
        <v/>
      </c>
      <c r="I26" s="11">
        <f>'Expenses - Annual'!I26</f>
        <v/>
      </c>
    </row>
    <row r="27">
      <c r="A27" s="5">
        <f>'Expenses - Annual'!A27</f>
        <v/>
      </c>
      <c r="B27" s="8">
        <f>'Expenses - Annual'!B27</f>
        <v/>
      </c>
      <c r="C27" s="9">
        <f>'Expenses - Annual'!C27</f>
        <v/>
      </c>
      <c r="D27" s="5">
        <f>'Expenses - Annual'!D27</f>
        <v/>
      </c>
      <c r="E27" s="5">
        <f>'Expenses - Annual'!E27</f>
        <v/>
      </c>
      <c r="F27" s="8">
        <f>'Expenses - Annual'!F27</f>
        <v/>
      </c>
      <c r="G27" s="5">
        <f>'Expenses - Annual'!G27</f>
        <v/>
      </c>
      <c r="H27" s="12">
        <f>IF(OR('Expenses - Annual'!C27="",'Expenses - Annual'!C27=0),"n/a",'Expenses - Annual'!H27/'Expenses - Annual'!C27)</f>
        <v/>
      </c>
      <c r="I27" s="11">
        <f>'Expenses - Annual'!I27</f>
        <v/>
      </c>
    </row>
    <row r="28">
      <c r="A28" s="5">
        <f>'Expenses - Annual'!A28</f>
        <v/>
      </c>
      <c r="B28" s="8">
        <f>'Expenses - Annual'!B28</f>
        <v/>
      </c>
      <c r="C28" s="9">
        <f>'Expenses - Annual'!C28</f>
        <v/>
      </c>
      <c r="D28" s="5">
        <f>'Expenses - Annual'!D28</f>
        <v/>
      </c>
      <c r="E28" s="5">
        <f>'Expenses - Annual'!E28</f>
        <v/>
      </c>
      <c r="F28" s="8">
        <f>'Expenses - Annual'!F28</f>
        <v/>
      </c>
      <c r="G28" s="5">
        <f>'Expenses - Annual'!G28</f>
        <v/>
      </c>
      <c r="H28" s="12">
        <f>IF(OR('Expenses - Annual'!C28="",'Expenses - Annual'!C28=0),"n/a",'Expenses - Annual'!H28/'Expenses - Annual'!C28)</f>
        <v/>
      </c>
      <c r="I28" s="11">
        <f>'Expenses - Annual'!I28</f>
        <v/>
      </c>
    </row>
    <row r="29">
      <c r="A29" s="5">
        <f>'Expenses - Annual'!A29</f>
        <v/>
      </c>
      <c r="B29" s="8">
        <f>'Expenses - Annual'!B29</f>
        <v/>
      </c>
      <c r="C29" s="9">
        <f>'Expenses - Annual'!C29</f>
        <v/>
      </c>
      <c r="D29" s="5">
        <f>'Expenses - Annual'!D29</f>
        <v/>
      </c>
      <c r="E29" s="5">
        <f>'Expenses - Annual'!E29</f>
        <v/>
      </c>
      <c r="F29" s="8">
        <f>'Expenses - Annual'!F29</f>
        <v/>
      </c>
      <c r="G29" s="5">
        <f>'Expenses - Annual'!G29</f>
        <v/>
      </c>
      <c r="H29" s="12">
        <f>IF(OR('Expenses - Annual'!C29="",'Expenses - Annual'!C29=0),"n/a",'Expenses - Annual'!H29/'Expenses - Annual'!C29)</f>
        <v/>
      </c>
      <c r="I29" s="11">
        <f>'Expenses - Annual'!I29</f>
        <v/>
      </c>
    </row>
    <row r="30">
      <c r="A30" s="5">
        <f>'Expenses - Annual'!A30</f>
        <v/>
      </c>
      <c r="B30" s="8">
        <f>'Expenses - Annual'!B30</f>
        <v/>
      </c>
      <c r="C30" s="9">
        <f>'Expenses - Annual'!C30</f>
        <v/>
      </c>
      <c r="D30" s="5">
        <f>'Expenses - Annual'!D30</f>
        <v/>
      </c>
      <c r="E30" s="5">
        <f>'Expenses - Annual'!E30</f>
        <v/>
      </c>
      <c r="F30" s="8">
        <f>'Expenses - Annual'!F30</f>
        <v/>
      </c>
      <c r="G30" s="5">
        <f>'Expenses - Annual'!G30</f>
        <v/>
      </c>
      <c r="H30" s="12">
        <f>IF(OR('Expenses - Annual'!C30="",'Expenses - Annual'!C30=0),"n/a",'Expenses - Annual'!H30/'Expenses - Annual'!C30)</f>
        <v/>
      </c>
      <c r="I30" s="11">
        <f>'Expenses - Annual'!I30</f>
        <v/>
      </c>
    </row>
    <row r="31">
      <c r="A31" s="5">
        <f>'Expenses - Annual'!A31</f>
        <v/>
      </c>
      <c r="B31" s="8">
        <f>'Expenses - Annual'!B31</f>
        <v/>
      </c>
      <c r="C31" s="9">
        <f>'Expenses - Annual'!C31</f>
        <v/>
      </c>
      <c r="D31" s="5">
        <f>'Expenses - Annual'!D31</f>
        <v/>
      </c>
      <c r="E31" s="5">
        <f>'Expenses - Annual'!E31</f>
        <v/>
      </c>
      <c r="F31" s="8">
        <f>'Expenses - Annual'!F31</f>
        <v/>
      </c>
      <c r="G31" s="5">
        <f>'Expenses - Annual'!G31</f>
        <v/>
      </c>
      <c r="H31" s="12">
        <f>IF(OR('Expenses - Annual'!C31="",'Expenses - Annual'!C31=0),"n/a",'Expenses - Annual'!H31/'Expenses - Annual'!C31)</f>
        <v/>
      </c>
      <c r="I31" s="11">
        <f>'Expenses - Annual'!I31</f>
        <v/>
      </c>
    </row>
    <row r="32">
      <c r="A32" s="5">
        <f>'Expenses - Annual'!A32</f>
        <v/>
      </c>
      <c r="B32" s="8">
        <f>'Expenses - Annual'!B32</f>
        <v/>
      </c>
      <c r="C32" s="9">
        <f>'Expenses - Annual'!C32</f>
        <v/>
      </c>
      <c r="D32" s="5">
        <f>'Expenses - Annual'!D32</f>
        <v/>
      </c>
      <c r="E32" s="5">
        <f>'Expenses - Annual'!E32</f>
        <v/>
      </c>
      <c r="F32" s="8">
        <f>'Expenses - Annual'!F32</f>
        <v/>
      </c>
      <c r="G32" s="5">
        <f>'Expenses - Annual'!G32</f>
        <v/>
      </c>
      <c r="H32" s="12">
        <f>IF(OR('Expenses - Annual'!C32="",'Expenses - Annual'!C32=0),"n/a",'Expenses - Annual'!H32/'Expenses - Annual'!C32)</f>
        <v/>
      </c>
      <c r="I32" s="11">
        <f>'Expenses - Annual'!I32</f>
        <v/>
      </c>
    </row>
    <row r="33">
      <c r="A33" s="5">
        <f>'Expenses - Annual'!A33</f>
        <v/>
      </c>
      <c r="B33" s="8">
        <f>'Expenses - Annual'!B33</f>
        <v/>
      </c>
      <c r="C33" s="9">
        <f>'Expenses - Annual'!C33</f>
        <v/>
      </c>
      <c r="D33" s="5">
        <f>'Expenses - Annual'!D33</f>
        <v/>
      </c>
      <c r="E33" s="5">
        <f>'Expenses - Annual'!E33</f>
        <v/>
      </c>
      <c r="F33" s="8">
        <f>'Expenses - Annual'!F33</f>
        <v/>
      </c>
      <c r="G33" s="5">
        <f>'Expenses - Annual'!G33</f>
        <v/>
      </c>
      <c r="H33" s="12">
        <f>IF(OR('Expenses - Annual'!C33="",'Expenses - Annual'!C33=0),"n/a",'Expenses - Annual'!H33/'Expenses - Annual'!C33)</f>
        <v/>
      </c>
      <c r="I33" s="11">
        <f>'Expenses - Annual'!I33</f>
        <v/>
      </c>
    </row>
    <row r="34">
      <c r="A34" s="5">
        <f>'Expenses - Annual'!A34</f>
        <v/>
      </c>
      <c r="B34" s="8">
        <f>'Expenses - Annual'!B34</f>
        <v/>
      </c>
      <c r="C34" s="9">
        <f>'Expenses - Annual'!C34</f>
        <v/>
      </c>
      <c r="D34" s="5">
        <f>'Expenses - Annual'!D34</f>
        <v/>
      </c>
      <c r="E34" s="5">
        <f>'Expenses - Annual'!E34</f>
        <v/>
      </c>
      <c r="F34" s="8">
        <f>'Expenses - Annual'!F34</f>
        <v/>
      </c>
      <c r="G34" s="5">
        <f>'Expenses - Annual'!G34</f>
        <v/>
      </c>
      <c r="H34" s="12">
        <f>IF(OR('Expenses - Annual'!C34="",'Expenses - Annual'!C34=0),"n/a",'Expenses - Annual'!H34/'Expenses - Annual'!C34)</f>
        <v/>
      </c>
      <c r="I34" s="11">
        <f>'Expenses - Annual'!I34</f>
        <v/>
      </c>
    </row>
    <row r="35">
      <c r="A35" s="5">
        <f>'Expenses - Annual'!A35</f>
        <v/>
      </c>
      <c r="B35" s="8">
        <f>'Expenses - Annual'!B35</f>
        <v/>
      </c>
      <c r="C35" s="9">
        <f>'Expenses - Annual'!C35</f>
        <v/>
      </c>
      <c r="D35" s="5">
        <f>'Expenses - Annual'!D35</f>
        <v/>
      </c>
      <c r="E35" s="5">
        <f>'Expenses - Annual'!E35</f>
        <v/>
      </c>
      <c r="F35" s="8">
        <f>'Expenses - Annual'!F35</f>
        <v/>
      </c>
      <c r="G35" s="5">
        <f>'Expenses - Annual'!G35</f>
        <v/>
      </c>
      <c r="H35" s="12">
        <f>IF(OR('Expenses - Annual'!C35="",'Expenses - Annual'!C35=0),"n/a",'Expenses - Annual'!H35/'Expenses - Annual'!C35)</f>
        <v/>
      </c>
      <c r="I35" s="11">
        <f>'Expenses - Annual'!I35</f>
        <v/>
      </c>
    </row>
    <row r="36">
      <c r="A36" s="5">
        <f>'Expenses - Annual'!A36</f>
        <v/>
      </c>
      <c r="B36" s="8">
        <f>'Expenses - Annual'!B36</f>
        <v/>
      </c>
      <c r="C36" s="9">
        <f>'Expenses - Annual'!C36</f>
        <v/>
      </c>
      <c r="D36" s="5">
        <f>'Expenses - Annual'!D36</f>
        <v/>
      </c>
      <c r="E36" s="5">
        <f>'Expenses - Annual'!E36</f>
        <v/>
      </c>
      <c r="F36" s="8">
        <f>'Expenses - Annual'!F36</f>
        <v/>
      </c>
      <c r="G36" s="5">
        <f>'Expenses - Annual'!G36</f>
        <v/>
      </c>
      <c r="H36" s="12">
        <f>IF(OR('Expenses - Annual'!C36="",'Expenses - Annual'!C36=0),"n/a",'Expenses - Annual'!H36/'Expenses - Annual'!C36)</f>
        <v/>
      </c>
      <c r="I36" s="11">
        <f>'Expenses - Annual'!I36</f>
        <v/>
      </c>
    </row>
    <row r="37">
      <c r="A37" s="5">
        <f>'Expenses - Annual'!A37</f>
        <v/>
      </c>
      <c r="B37" s="8">
        <f>'Expenses - Annual'!B37</f>
        <v/>
      </c>
      <c r="C37" s="9">
        <f>'Expenses - Annual'!C37</f>
        <v/>
      </c>
      <c r="D37" s="5">
        <f>'Expenses - Annual'!D37</f>
        <v/>
      </c>
      <c r="E37" s="5">
        <f>'Expenses - Annual'!E37</f>
        <v/>
      </c>
      <c r="F37" s="8">
        <f>'Expenses - Annual'!F37</f>
        <v/>
      </c>
      <c r="G37" s="5">
        <f>'Expenses - Annual'!G37</f>
        <v/>
      </c>
      <c r="H37" s="12">
        <f>IF(OR('Expenses - Annual'!C37="",'Expenses - Annual'!C37=0),"n/a",'Expenses - Annual'!H37/'Expenses - Annual'!C37)</f>
        <v/>
      </c>
      <c r="I37" s="11">
        <f>'Expenses - Annual'!I37</f>
        <v/>
      </c>
    </row>
    <row r="38">
      <c r="A38" s="5">
        <f>'Expenses - Annual'!A38</f>
        <v/>
      </c>
      <c r="B38" s="8">
        <f>'Expenses - Annual'!B38</f>
        <v/>
      </c>
      <c r="C38" s="9">
        <f>'Expenses - Annual'!C38</f>
        <v/>
      </c>
      <c r="D38" s="5">
        <f>'Expenses - Annual'!D38</f>
        <v/>
      </c>
      <c r="E38" s="5">
        <f>'Expenses - Annual'!E38</f>
        <v/>
      </c>
      <c r="F38" s="8">
        <f>'Expenses - Annual'!F38</f>
        <v/>
      </c>
      <c r="G38" s="5">
        <f>'Expenses - Annual'!G38</f>
        <v/>
      </c>
      <c r="H38" s="12">
        <f>IF(OR('Expenses - Annual'!C38="",'Expenses - Annual'!C38=0),"n/a",'Expenses - Annual'!H38/'Expenses - Annual'!C38)</f>
        <v/>
      </c>
      <c r="I38" s="11">
        <f>'Expenses - Annual'!I38</f>
        <v/>
      </c>
    </row>
    <row r="39">
      <c r="A39" s="5">
        <f>'Expenses - Annual'!A39</f>
        <v/>
      </c>
      <c r="B39" s="8">
        <f>'Expenses - Annual'!B39</f>
        <v/>
      </c>
      <c r="C39" s="9">
        <f>'Expenses - Annual'!C39</f>
        <v/>
      </c>
      <c r="D39" s="5">
        <f>'Expenses - Annual'!D39</f>
        <v/>
      </c>
      <c r="E39" s="5">
        <f>'Expenses - Annual'!E39</f>
        <v/>
      </c>
      <c r="F39" s="8">
        <f>'Expenses - Annual'!F39</f>
        <v/>
      </c>
      <c r="G39" s="5">
        <f>'Expenses - Annual'!G39</f>
        <v/>
      </c>
      <c r="H39" s="12">
        <f>IF(OR('Expenses - Annual'!C39="",'Expenses - Annual'!C39=0),"n/a",'Expenses - Annual'!H39/'Expenses - Annual'!C39)</f>
        <v/>
      </c>
      <c r="I39" s="11">
        <f>'Expenses - Annual'!I39</f>
        <v/>
      </c>
    </row>
    <row r="40">
      <c r="A40" s="5">
        <f>'Expenses - Annual'!A40</f>
        <v/>
      </c>
      <c r="B40" s="8">
        <f>'Expenses - Annual'!B40</f>
        <v/>
      </c>
      <c r="C40" s="9">
        <f>'Expenses - Annual'!C40</f>
        <v/>
      </c>
      <c r="D40" s="5">
        <f>'Expenses - Annual'!D40</f>
        <v/>
      </c>
      <c r="E40" s="5">
        <f>'Expenses - Annual'!E40</f>
        <v/>
      </c>
      <c r="F40" s="8">
        <f>'Expenses - Annual'!F40</f>
        <v/>
      </c>
      <c r="G40" s="5">
        <f>'Expenses - Annual'!G40</f>
        <v/>
      </c>
      <c r="H40" s="12">
        <f>IF(OR('Expenses - Annual'!C40="",'Expenses - Annual'!C40=0),"n/a",'Expenses - Annual'!H40/'Expenses - Annual'!C40)</f>
        <v/>
      </c>
      <c r="I40" s="11">
        <f>'Expenses - Annual'!I40</f>
        <v/>
      </c>
    </row>
    <row r="41">
      <c r="A41" s="5">
        <f>'Expenses - Annual'!A41</f>
        <v/>
      </c>
      <c r="B41" s="8">
        <f>'Expenses - Annual'!B41</f>
        <v/>
      </c>
      <c r="C41" s="9">
        <f>'Expenses - Annual'!C41</f>
        <v/>
      </c>
      <c r="D41" s="5">
        <f>'Expenses - Annual'!D41</f>
        <v/>
      </c>
      <c r="E41" s="5">
        <f>'Expenses - Annual'!E41</f>
        <v/>
      </c>
      <c r="F41" s="8">
        <f>'Expenses - Annual'!F41</f>
        <v/>
      </c>
      <c r="G41" s="5">
        <f>'Expenses - Annual'!G41</f>
        <v/>
      </c>
      <c r="H41" s="12">
        <f>IF(OR('Expenses - Annual'!C41="",'Expenses - Annual'!C41=0),"n/a",'Expenses - Annual'!H41/'Expenses - Annual'!C41)</f>
        <v/>
      </c>
      <c r="I41" s="11">
        <f>'Expenses - Annual'!I41</f>
        <v/>
      </c>
    </row>
    <row r="42">
      <c r="A42" s="5">
        <f>'Expenses - Annual'!A42</f>
        <v/>
      </c>
      <c r="B42" s="8">
        <f>'Expenses - Annual'!B42</f>
        <v/>
      </c>
      <c r="C42" s="9">
        <f>'Expenses - Annual'!C42</f>
        <v/>
      </c>
      <c r="D42" s="5">
        <f>'Expenses - Annual'!D42</f>
        <v/>
      </c>
      <c r="E42" s="5">
        <f>'Expenses - Annual'!E42</f>
        <v/>
      </c>
      <c r="F42" s="8">
        <f>'Expenses - Annual'!F42</f>
        <v/>
      </c>
      <c r="G42" s="5">
        <f>'Expenses - Annual'!G42</f>
        <v/>
      </c>
      <c r="H42" s="12">
        <f>IF(OR('Expenses - Annual'!C42="",'Expenses - Annual'!C42=0),"n/a",'Expenses - Annual'!H42/'Expenses - Annual'!C42)</f>
        <v/>
      </c>
      <c r="I42" s="11">
        <f>'Expenses - Annual'!I42</f>
        <v/>
      </c>
    </row>
    <row r="43">
      <c r="A43" s="5">
        <f>'Expenses - Annual'!A43</f>
        <v/>
      </c>
      <c r="B43" s="8">
        <f>'Expenses - Annual'!B43</f>
        <v/>
      </c>
      <c r="C43" s="9">
        <f>'Expenses - Annual'!C43</f>
        <v/>
      </c>
      <c r="D43" s="5">
        <f>'Expenses - Annual'!D43</f>
        <v/>
      </c>
      <c r="E43" s="5">
        <f>'Expenses - Annual'!E43</f>
        <v/>
      </c>
      <c r="F43" s="8">
        <f>'Expenses - Annual'!F43</f>
        <v/>
      </c>
      <c r="G43" s="5">
        <f>'Expenses - Annual'!G43</f>
        <v/>
      </c>
      <c r="H43" s="12">
        <f>IF(OR('Expenses - Annual'!C43="",'Expenses - Annual'!C43=0),"n/a",'Expenses - Annual'!H43/'Expenses - Annual'!C43)</f>
        <v/>
      </c>
      <c r="I43" s="11">
        <f>'Expenses - Annual'!I43</f>
        <v/>
      </c>
    </row>
    <row r="44">
      <c r="A44" s="5">
        <f>'Expenses - Annual'!A44</f>
        <v/>
      </c>
      <c r="B44" s="8">
        <f>'Expenses - Annual'!B44</f>
        <v/>
      </c>
      <c r="C44" s="9">
        <f>'Expenses - Annual'!C44</f>
        <v/>
      </c>
      <c r="D44" s="5">
        <f>'Expenses - Annual'!D44</f>
        <v/>
      </c>
      <c r="E44" s="5">
        <f>'Expenses - Annual'!E44</f>
        <v/>
      </c>
      <c r="F44" s="8">
        <f>'Expenses - Annual'!F44</f>
        <v/>
      </c>
      <c r="G44" s="5">
        <f>'Expenses - Annual'!G44</f>
        <v/>
      </c>
      <c r="H44" s="12">
        <f>IF(OR('Expenses - Annual'!C44="",'Expenses - Annual'!C44=0),"n/a",'Expenses - Annual'!H44/'Expenses - Annual'!C44)</f>
        <v/>
      </c>
      <c r="I44" s="11">
        <f>'Expenses - Annual'!I44</f>
        <v/>
      </c>
    </row>
    <row r="45">
      <c r="A45" s="5">
        <f>'Expenses - Annual'!A45</f>
        <v/>
      </c>
      <c r="B45" s="8">
        <f>'Expenses - Annual'!B45</f>
        <v/>
      </c>
      <c r="C45" s="9">
        <f>'Expenses - Annual'!C45</f>
        <v/>
      </c>
      <c r="D45" s="5">
        <f>'Expenses - Annual'!D45</f>
        <v/>
      </c>
      <c r="E45" s="5">
        <f>'Expenses - Annual'!E45</f>
        <v/>
      </c>
      <c r="F45" s="8">
        <f>'Expenses - Annual'!F45</f>
        <v/>
      </c>
      <c r="G45" s="5">
        <f>'Expenses - Annual'!G45</f>
        <v/>
      </c>
      <c r="H45" s="12">
        <f>IF(OR('Expenses - Annual'!C45="",'Expenses - Annual'!C45=0),"n/a",'Expenses - Annual'!H45/'Expenses - Annual'!C45)</f>
        <v/>
      </c>
      <c r="I45" s="11">
        <f>'Expenses - Annual'!I45</f>
        <v/>
      </c>
    </row>
    <row r="46">
      <c r="A46" s="5">
        <f>'Expenses - Annual'!A46</f>
        <v/>
      </c>
      <c r="B46" s="8">
        <f>'Expenses - Annual'!B46</f>
        <v/>
      </c>
      <c r="C46" s="9">
        <f>'Expenses - Annual'!C46</f>
        <v/>
      </c>
      <c r="D46" s="5">
        <f>'Expenses - Annual'!D46</f>
        <v/>
      </c>
      <c r="E46" s="5">
        <f>'Expenses - Annual'!E46</f>
        <v/>
      </c>
      <c r="F46" s="8">
        <f>'Expenses - Annual'!F46</f>
        <v/>
      </c>
      <c r="G46" s="5">
        <f>'Expenses - Annual'!G46</f>
        <v/>
      </c>
      <c r="H46" s="12">
        <f>IF(OR('Expenses - Annual'!C46="",'Expenses - Annual'!C46=0),"n/a",'Expenses - Annual'!H46/'Expenses - Annual'!C46)</f>
        <v/>
      </c>
      <c r="I46" s="11">
        <f>'Expenses - Annual'!I46</f>
        <v/>
      </c>
    </row>
    <row r="47">
      <c r="A47" s="5">
        <f>'Expenses - Annual'!A47</f>
        <v/>
      </c>
      <c r="B47" s="8">
        <f>'Expenses - Annual'!B47</f>
        <v/>
      </c>
      <c r="C47" s="9">
        <f>'Expenses - Annual'!C47</f>
        <v/>
      </c>
      <c r="D47" s="5">
        <f>'Expenses - Annual'!D47</f>
        <v/>
      </c>
      <c r="E47" s="5">
        <f>'Expenses - Annual'!E47</f>
        <v/>
      </c>
      <c r="F47" s="8">
        <f>'Expenses - Annual'!F47</f>
        <v/>
      </c>
      <c r="G47" s="5">
        <f>'Expenses - Annual'!G47</f>
        <v/>
      </c>
      <c r="H47" s="12">
        <f>IF(OR('Expenses - Annual'!C47="",'Expenses - Annual'!C47=0),"n/a",'Expenses - Annual'!H47/'Expenses - Annual'!C47)</f>
        <v/>
      </c>
      <c r="I47" s="11">
        <f>'Expenses - Annual'!I47</f>
        <v/>
      </c>
    </row>
    <row r="48">
      <c r="A48" s="5">
        <f>'Expenses - Annual'!A48</f>
        <v/>
      </c>
      <c r="B48" s="8">
        <f>'Expenses - Annual'!B48</f>
        <v/>
      </c>
      <c r="C48" s="9">
        <f>'Expenses - Annual'!C48</f>
        <v/>
      </c>
      <c r="D48" s="5">
        <f>'Expenses - Annual'!D48</f>
        <v/>
      </c>
      <c r="E48" s="5">
        <f>'Expenses - Annual'!E48</f>
        <v/>
      </c>
      <c r="F48" s="8">
        <f>'Expenses - Annual'!F48</f>
        <v/>
      </c>
      <c r="G48" s="5">
        <f>'Expenses - Annual'!G48</f>
        <v/>
      </c>
      <c r="H48" s="12">
        <f>IF(OR('Expenses - Annual'!C48="",'Expenses - Annual'!C48=0),"n/a",'Expenses - Annual'!H48/'Expenses - Annual'!C48)</f>
        <v/>
      </c>
      <c r="I48" s="11">
        <f>'Expenses - Annual'!I48</f>
        <v/>
      </c>
    </row>
    <row r="49">
      <c r="A49" s="5">
        <f>'Expenses - Annual'!A49</f>
        <v/>
      </c>
      <c r="B49" s="8">
        <f>'Expenses - Annual'!B49</f>
        <v/>
      </c>
      <c r="C49" s="9">
        <f>'Expenses - Annual'!C49</f>
        <v/>
      </c>
      <c r="D49" s="5">
        <f>'Expenses - Annual'!D49</f>
        <v/>
      </c>
      <c r="E49" s="5">
        <f>'Expenses - Annual'!E49</f>
        <v/>
      </c>
      <c r="F49" s="8">
        <f>'Expenses - Annual'!F49</f>
        <v/>
      </c>
      <c r="G49" s="5">
        <f>'Expenses - Annual'!G49</f>
        <v/>
      </c>
      <c r="H49" s="12">
        <f>IF(OR('Expenses - Annual'!C49="",'Expenses - Annual'!C49=0),"n/a",'Expenses - Annual'!H49/'Expenses - Annual'!C49)</f>
        <v/>
      </c>
      <c r="I49" s="11">
        <f>'Expenses - Annual'!I49</f>
        <v/>
      </c>
    </row>
    <row r="50">
      <c r="A50" s="5">
        <f>'Expenses - Annual'!A50</f>
        <v/>
      </c>
      <c r="B50" s="8">
        <f>'Expenses - Annual'!B50</f>
        <v/>
      </c>
      <c r="C50" s="9">
        <f>'Expenses - Annual'!C50</f>
        <v/>
      </c>
      <c r="D50" s="5">
        <f>'Expenses - Annual'!D50</f>
        <v/>
      </c>
      <c r="E50" s="5">
        <f>'Expenses - Annual'!E50</f>
        <v/>
      </c>
      <c r="F50" s="8">
        <f>'Expenses - Annual'!F50</f>
        <v/>
      </c>
      <c r="G50" s="5">
        <f>'Expenses - Annual'!G50</f>
        <v/>
      </c>
      <c r="H50" s="12">
        <f>IF(OR('Expenses - Annual'!C50="",'Expenses - Annual'!C50=0),"n/a",'Expenses - Annual'!H50/'Expenses - Annual'!C50)</f>
        <v/>
      </c>
      <c r="I50" s="11">
        <f>'Expenses - Annual'!I50</f>
        <v/>
      </c>
    </row>
    <row r="51">
      <c r="A51" s="5">
        <f>'Expenses - Annual'!A51</f>
        <v/>
      </c>
      <c r="B51" s="8">
        <f>'Expenses - Annual'!B51</f>
        <v/>
      </c>
      <c r="C51" s="9">
        <f>'Expenses - Annual'!C51</f>
        <v/>
      </c>
      <c r="D51" s="5">
        <f>'Expenses - Annual'!D51</f>
        <v/>
      </c>
      <c r="E51" s="5">
        <f>'Expenses - Annual'!E51</f>
        <v/>
      </c>
      <c r="F51" s="8">
        <f>'Expenses - Annual'!F51</f>
        <v/>
      </c>
      <c r="G51" s="5">
        <f>'Expenses - Annual'!G51</f>
        <v/>
      </c>
      <c r="H51" s="12">
        <f>IF(OR('Expenses - Annual'!C51="",'Expenses - Annual'!C51=0),"n/a",'Expenses - Annual'!H51/'Expenses - Annual'!C51)</f>
        <v/>
      </c>
      <c r="I51" s="11">
        <f>'Expenses - Annual'!I51</f>
        <v/>
      </c>
    </row>
    <row r="52">
      <c r="A52" s="5">
        <f>'Expenses - Annual'!A52</f>
        <v/>
      </c>
      <c r="B52" s="8">
        <f>'Expenses - Annual'!B52</f>
        <v/>
      </c>
      <c r="C52" s="9">
        <f>'Expenses - Annual'!C52</f>
        <v/>
      </c>
      <c r="D52" s="5">
        <f>'Expenses - Annual'!D52</f>
        <v/>
      </c>
      <c r="E52" s="5">
        <f>'Expenses - Annual'!E52</f>
        <v/>
      </c>
      <c r="F52" s="8">
        <f>'Expenses - Annual'!F52</f>
        <v/>
      </c>
      <c r="G52" s="5">
        <f>'Expenses - Annual'!G52</f>
        <v/>
      </c>
      <c r="H52" s="12">
        <f>IF(OR('Expenses - Annual'!C52="",'Expenses - Annual'!C52=0),"n/a",'Expenses - Annual'!H52/'Expenses - Annual'!C52)</f>
        <v/>
      </c>
      <c r="I52" s="11">
        <f>'Expenses - Annual'!I52</f>
        <v/>
      </c>
    </row>
    <row r="53">
      <c r="A53" s="5">
        <f>'Expenses - Annual'!A53</f>
        <v/>
      </c>
      <c r="B53" s="8">
        <f>'Expenses - Annual'!B53</f>
        <v/>
      </c>
      <c r="C53" s="9">
        <f>'Expenses - Annual'!C53</f>
        <v/>
      </c>
      <c r="D53" s="5">
        <f>'Expenses - Annual'!D53</f>
        <v/>
      </c>
      <c r="E53" s="5">
        <f>'Expenses - Annual'!E53</f>
        <v/>
      </c>
      <c r="F53" s="8">
        <f>'Expenses - Annual'!F53</f>
        <v/>
      </c>
      <c r="G53" s="5">
        <f>'Expenses - Annual'!G53</f>
        <v/>
      </c>
      <c r="H53" s="12">
        <f>IF(OR('Expenses - Annual'!C53="",'Expenses - Annual'!C53=0),"n/a",'Expenses - Annual'!H53/'Expenses - Annual'!C53)</f>
        <v/>
      </c>
      <c r="I53" s="11">
        <f>'Expenses - Annual'!I53</f>
        <v/>
      </c>
    </row>
    <row r="54">
      <c r="A54" s="5">
        <f>'Expenses - Annual'!A54</f>
        <v/>
      </c>
      <c r="B54" s="8">
        <f>'Expenses - Annual'!B54</f>
        <v/>
      </c>
      <c r="C54" s="9">
        <f>'Expenses - Annual'!C54</f>
        <v/>
      </c>
      <c r="D54" s="5">
        <f>'Expenses - Annual'!D54</f>
        <v/>
      </c>
      <c r="E54" s="5">
        <f>'Expenses - Annual'!E54</f>
        <v/>
      </c>
      <c r="F54" s="8">
        <f>'Expenses - Annual'!F54</f>
        <v/>
      </c>
      <c r="G54" s="5">
        <f>'Expenses - Annual'!G54</f>
        <v/>
      </c>
      <c r="H54" s="12">
        <f>IF(OR('Expenses - Annual'!C54="",'Expenses - Annual'!C54=0),"n/a",'Expenses - Annual'!H54/'Expenses - Annual'!C54)</f>
        <v/>
      </c>
      <c r="I54" s="11">
        <f>'Expenses - Annual'!I54</f>
        <v/>
      </c>
    </row>
    <row r="55">
      <c r="A55" s="5">
        <f>'Expenses - Annual'!A55</f>
        <v/>
      </c>
      <c r="B55" s="8">
        <f>'Expenses - Annual'!B55</f>
        <v/>
      </c>
      <c r="C55" s="9">
        <f>'Expenses - Annual'!C55</f>
        <v/>
      </c>
      <c r="D55" s="5">
        <f>'Expenses - Annual'!D55</f>
        <v/>
      </c>
      <c r="E55" s="5">
        <f>'Expenses - Annual'!E55</f>
        <v/>
      </c>
      <c r="F55" s="8">
        <f>'Expenses - Annual'!F55</f>
        <v/>
      </c>
      <c r="G55" s="5">
        <f>'Expenses - Annual'!G55</f>
        <v/>
      </c>
      <c r="H55" s="12">
        <f>IF(OR('Expenses - Annual'!C55="",'Expenses - Annual'!C55=0),"n/a",'Expenses - Annual'!H55/'Expenses - Annual'!C55)</f>
        <v/>
      </c>
      <c r="I55" s="11">
        <f>'Expenses - Annual'!I55</f>
        <v/>
      </c>
    </row>
    <row r="56">
      <c r="A56" s="5">
        <f>'Expenses - Annual'!A56</f>
        <v/>
      </c>
      <c r="B56" s="8">
        <f>'Expenses - Annual'!B56</f>
        <v/>
      </c>
      <c r="C56" s="9">
        <f>'Expenses - Annual'!C56</f>
        <v/>
      </c>
      <c r="D56" s="5">
        <f>'Expenses - Annual'!D56</f>
        <v/>
      </c>
      <c r="E56" s="5">
        <f>'Expenses - Annual'!E56</f>
        <v/>
      </c>
      <c r="F56" s="8">
        <f>'Expenses - Annual'!F56</f>
        <v/>
      </c>
      <c r="G56" s="5">
        <f>'Expenses - Annual'!G56</f>
        <v/>
      </c>
      <c r="H56" s="12">
        <f>IF(OR('Expenses - Annual'!C56="",'Expenses - Annual'!C56=0),"n/a",'Expenses - Annual'!H56/'Expenses - Annual'!C56)</f>
        <v/>
      </c>
      <c r="I56" s="11">
        <f>'Expenses - Annual'!I56</f>
        <v/>
      </c>
    </row>
    <row r="57">
      <c r="A57" s="5">
        <f>'Expenses - Annual'!A57</f>
        <v/>
      </c>
      <c r="B57" s="8">
        <f>'Expenses - Annual'!B57</f>
        <v/>
      </c>
      <c r="C57" s="9">
        <f>'Expenses - Annual'!C57</f>
        <v/>
      </c>
      <c r="D57" s="5">
        <f>'Expenses - Annual'!D57</f>
        <v/>
      </c>
      <c r="E57" s="5">
        <f>'Expenses - Annual'!E57</f>
        <v/>
      </c>
      <c r="F57" s="8">
        <f>'Expenses - Annual'!F57</f>
        <v/>
      </c>
      <c r="G57" s="5">
        <f>'Expenses - Annual'!G57</f>
        <v/>
      </c>
      <c r="H57" s="12">
        <f>IF(OR('Expenses - Annual'!C57="",'Expenses - Annual'!C57=0),"n/a",'Expenses - Annual'!H57/'Expenses - Annual'!C57)</f>
        <v/>
      </c>
      <c r="I57" s="11">
        <f>'Expenses - Annual'!I57</f>
        <v/>
      </c>
    </row>
    <row r="58">
      <c r="A58" s="5">
        <f>'Expenses - Annual'!A58</f>
        <v/>
      </c>
      <c r="B58" s="8">
        <f>'Expenses - Annual'!B58</f>
        <v/>
      </c>
      <c r="C58" s="9">
        <f>'Expenses - Annual'!C58</f>
        <v/>
      </c>
      <c r="D58" s="5">
        <f>'Expenses - Annual'!D58</f>
        <v/>
      </c>
      <c r="E58" s="5">
        <f>'Expenses - Annual'!E58</f>
        <v/>
      </c>
      <c r="F58" s="8">
        <f>'Expenses - Annual'!F58</f>
        <v/>
      </c>
      <c r="G58" s="5">
        <f>'Expenses - Annual'!G58</f>
        <v/>
      </c>
      <c r="H58" s="12">
        <f>IF(OR('Expenses - Annual'!C58="",'Expenses - Annual'!C58=0),"n/a",'Expenses - Annual'!H58/'Expenses - Annual'!C58)</f>
        <v/>
      </c>
      <c r="I58" s="11">
        <f>'Expenses - Annual'!I58</f>
        <v/>
      </c>
    </row>
    <row r="59">
      <c r="A59" s="5">
        <f>'Expenses - Annual'!A59</f>
        <v/>
      </c>
      <c r="B59" s="8">
        <f>'Expenses - Annual'!B59</f>
        <v/>
      </c>
      <c r="C59" s="9">
        <f>'Expenses - Annual'!C59</f>
        <v/>
      </c>
      <c r="D59" s="5">
        <f>'Expenses - Annual'!D59</f>
        <v/>
      </c>
      <c r="E59" s="5">
        <f>'Expenses - Annual'!E59</f>
        <v/>
      </c>
      <c r="F59" s="8">
        <f>'Expenses - Annual'!F59</f>
        <v/>
      </c>
      <c r="G59" s="5">
        <f>'Expenses - Annual'!G59</f>
        <v/>
      </c>
      <c r="H59" s="12">
        <f>IF(OR('Expenses - Annual'!C59="",'Expenses - Annual'!C59=0),"n/a",'Expenses - Annual'!H59/'Expenses - Annual'!C59)</f>
        <v/>
      </c>
      <c r="I59" s="11">
        <f>'Expenses - Annual'!I59</f>
        <v/>
      </c>
    </row>
    <row r="60">
      <c r="A60" s="5">
        <f>'Expenses - Annual'!A60</f>
        <v/>
      </c>
      <c r="B60" s="8">
        <f>'Expenses - Annual'!B60</f>
        <v/>
      </c>
      <c r="C60" s="9">
        <f>'Expenses - Annual'!C60</f>
        <v/>
      </c>
      <c r="D60" s="5">
        <f>'Expenses - Annual'!D60</f>
        <v/>
      </c>
      <c r="E60" s="5">
        <f>'Expenses - Annual'!E60</f>
        <v/>
      </c>
      <c r="F60" s="8">
        <f>'Expenses - Annual'!F60</f>
        <v/>
      </c>
      <c r="G60" s="5">
        <f>'Expenses - Annual'!G60</f>
        <v/>
      </c>
      <c r="H60" s="12">
        <f>IF(OR('Expenses - Annual'!C60="",'Expenses - Annual'!C60=0),"n/a",'Expenses - Annual'!H60/'Expenses - Annual'!C60)</f>
        <v/>
      </c>
      <c r="I60" s="11">
        <f>'Expenses - Annual'!I60</f>
        <v/>
      </c>
    </row>
    <row r="61">
      <c r="A61" s="5">
        <f>'Expenses - Annual'!A61</f>
        <v/>
      </c>
      <c r="B61" s="8">
        <f>'Expenses - Annual'!B61</f>
        <v/>
      </c>
      <c r="C61" s="9">
        <f>'Expenses - Annual'!C61</f>
        <v/>
      </c>
      <c r="D61" s="5">
        <f>'Expenses - Annual'!D61</f>
        <v/>
      </c>
      <c r="E61" s="5">
        <f>'Expenses - Annual'!E61</f>
        <v/>
      </c>
      <c r="F61" s="8">
        <f>'Expenses - Annual'!F61</f>
        <v/>
      </c>
      <c r="G61" s="5">
        <f>'Expenses - Annual'!G61</f>
        <v/>
      </c>
      <c r="H61" s="12">
        <f>IF(OR('Expenses - Annual'!C61="",'Expenses - Annual'!C61=0),"n/a",'Expenses - Annual'!H61/'Expenses - Annual'!C61)</f>
        <v/>
      </c>
      <c r="I61" s="11">
        <f>'Expenses - Annual'!I61</f>
        <v/>
      </c>
    </row>
    <row r="62">
      <c r="A62" s="5">
        <f>'Expenses - Annual'!A62</f>
        <v/>
      </c>
      <c r="B62" s="8">
        <f>'Expenses - Annual'!B62</f>
        <v/>
      </c>
      <c r="C62" s="9">
        <f>'Expenses - Annual'!C62</f>
        <v/>
      </c>
      <c r="D62" s="5">
        <f>'Expenses - Annual'!D62</f>
        <v/>
      </c>
      <c r="E62" s="5">
        <f>'Expenses - Annual'!E62</f>
        <v/>
      </c>
      <c r="F62" s="8">
        <f>'Expenses - Annual'!F62</f>
        <v/>
      </c>
      <c r="G62" s="5">
        <f>'Expenses - Annual'!G62</f>
        <v/>
      </c>
      <c r="H62" s="12">
        <f>IF(OR('Expenses - Annual'!C62="",'Expenses - Annual'!C62=0),"n/a",'Expenses - Annual'!H62/'Expenses - Annual'!C62)</f>
        <v/>
      </c>
      <c r="I62" s="11">
        <f>'Expenses - Annual'!I62</f>
        <v/>
      </c>
    </row>
    <row r="63">
      <c r="A63" s="5">
        <f>'Expenses - Annual'!A63</f>
        <v/>
      </c>
      <c r="B63" s="8">
        <f>'Expenses - Annual'!B63</f>
        <v/>
      </c>
      <c r="C63" s="9">
        <f>'Expenses - Annual'!C63</f>
        <v/>
      </c>
      <c r="D63" s="5">
        <f>'Expenses - Annual'!D63</f>
        <v/>
      </c>
      <c r="E63" s="5">
        <f>'Expenses - Annual'!E63</f>
        <v/>
      </c>
      <c r="F63" s="8">
        <f>'Expenses - Annual'!F63</f>
        <v/>
      </c>
      <c r="G63" s="5">
        <f>'Expenses - Annual'!G63</f>
        <v/>
      </c>
      <c r="H63" s="12">
        <f>IF(OR('Expenses - Annual'!C63="",'Expenses - Annual'!C63=0),"n/a",'Expenses - Annual'!H63/'Expenses - Annual'!C63)</f>
        <v/>
      </c>
      <c r="I63" s="11">
        <f>'Expenses - Annual'!I63</f>
        <v/>
      </c>
    </row>
    <row r="64">
      <c r="A64" s="5">
        <f>'Expenses - Annual'!A64</f>
        <v/>
      </c>
      <c r="B64" s="8">
        <f>'Expenses - Annual'!B64</f>
        <v/>
      </c>
      <c r="C64" s="9">
        <f>'Expenses - Annual'!C64</f>
        <v/>
      </c>
      <c r="D64" s="5">
        <f>'Expenses - Annual'!D64</f>
        <v/>
      </c>
      <c r="E64" s="5">
        <f>'Expenses - Annual'!E64</f>
        <v/>
      </c>
      <c r="F64" s="8">
        <f>'Expenses - Annual'!F64</f>
        <v/>
      </c>
      <c r="G64" s="5">
        <f>'Expenses - Annual'!G64</f>
        <v/>
      </c>
      <c r="H64" s="12">
        <f>IF(OR('Expenses - Annual'!C64="",'Expenses - Annual'!C64=0),"n/a",'Expenses - Annual'!H64/'Expenses - Annual'!C64)</f>
        <v/>
      </c>
      <c r="I64" s="11">
        <f>'Expenses - Annual'!I64</f>
        <v/>
      </c>
    </row>
    <row r="65">
      <c r="A65" s="5">
        <f>'Expenses - Annual'!A65</f>
        <v/>
      </c>
      <c r="B65" s="8">
        <f>'Expenses - Annual'!B65</f>
        <v/>
      </c>
      <c r="C65" s="9">
        <f>'Expenses - Annual'!C65</f>
        <v/>
      </c>
      <c r="D65" s="5">
        <f>'Expenses - Annual'!D65</f>
        <v/>
      </c>
      <c r="E65" s="5">
        <f>'Expenses - Annual'!E65</f>
        <v/>
      </c>
      <c r="F65" s="8">
        <f>'Expenses - Annual'!F65</f>
        <v/>
      </c>
      <c r="G65" s="5">
        <f>'Expenses - Annual'!G65</f>
        <v/>
      </c>
      <c r="H65" s="12">
        <f>IF(OR('Expenses - Annual'!C65="",'Expenses - Annual'!C65=0),"n/a",'Expenses - Annual'!H65/'Expenses - Annual'!C65)</f>
        <v/>
      </c>
      <c r="I65" s="11">
        <f>'Expenses - Annual'!I65</f>
        <v/>
      </c>
    </row>
    <row r="66">
      <c r="A66" s="5">
        <f>'Expenses - Annual'!A66</f>
        <v/>
      </c>
      <c r="B66" s="8">
        <f>'Expenses - Annual'!B66</f>
        <v/>
      </c>
      <c r="C66" s="9">
        <f>'Expenses - Annual'!C66</f>
        <v/>
      </c>
      <c r="D66" s="5">
        <f>'Expenses - Annual'!D66</f>
        <v/>
      </c>
      <c r="E66" s="5">
        <f>'Expenses - Annual'!E66</f>
        <v/>
      </c>
      <c r="F66" s="8">
        <f>'Expenses - Annual'!F66</f>
        <v/>
      </c>
      <c r="G66" s="5">
        <f>'Expenses - Annual'!G66</f>
        <v/>
      </c>
      <c r="H66" s="12">
        <f>IF(OR('Expenses - Annual'!C66="",'Expenses - Annual'!C66=0),"n/a",'Expenses - Annual'!H66/'Expenses - Annual'!C66)</f>
        <v/>
      </c>
      <c r="I66" s="11">
        <f>'Expenses - Annual'!I66</f>
        <v/>
      </c>
    </row>
    <row r="67">
      <c r="A67" s="5">
        <f>'Expenses - Annual'!A67</f>
        <v/>
      </c>
      <c r="B67" s="8">
        <f>'Expenses - Annual'!B67</f>
        <v/>
      </c>
      <c r="C67" s="9">
        <f>'Expenses - Annual'!C67</f>
        <v/>
      </c>
      <c r="D67" s="5">
        <f>'Expenses - Annual'!D67</f>
        <v/>
      </c>
      <c r="E67" s="5">
        <f>'Expenses - Annual'!E67</f>
        <v/>
      </c>
      <c r="F67" s="8">
        <f>'Expenses - Annual'!F67</f>
        <v/>
      </c>
      <c r="G67" s="5">
        <f>'Expenses - Annual'!G67</f>
        <v/>
      </c>
      <c r="H67" s="12">
        <f>IF(OR('Expenses - Annual'!C67="",'Expenses - Annual'!C67=0),"n/a",'Expenses - Annual'!H67/'Expenses - Annual'!C67)</f>
        <v/>
      </c>
      <c r="I67" s="11">
        <f>'Expenses - Annual'!I67</f>
        <v/>
      </c>
    </row>
    <row r="68">
      <c r="A68" s="5">
        <f>'Expenses - Annual'!A68</f>
        <v/>
      </c>
      <c r="B68" s="8">
        <f>'Expenses - Annual'!B68</f>
        <v/>
      </c>
      <c r="C68" s="9">
        <f>'Expenses - Annual'!C68</f>
        <v/>
      </c>
      <c r="D68" s="5">
        <f>'Expenses - Annual'!D68</f>
        <v/>
      </c>
      <c r="E68" s="5">
        <f>'Expenses - Annual'!E68</f>
        <v/>
      </c>
      <c r="F68" s="8">
        <f>'Expenses - Annual'!F68</f>
        <v/>
      </c>
      <c r="G68" s="5">
        <f>'Expenses - Annual'!G68</f>
        <v/>
      </c>
      <c r="H68" s="12">
        <f>IF(OR('Expenses - Annual'!C68="",'Expenses - Annual'!C68=0),"n/a",'Expenses - Annual'!H68/'Expenses - Annual'!C68)</f>
        <v/>
      </c>
      <c r="I68" s="11">
        <f>'Expenses - Annual'!I68</f>
        <v/>
      </c>
    </row>
    <row r="69">
      <c r="A69" s="5">
        <f>'Expenses - Annual'!A69</f>
        <v/>
      </c>
      <c r="B69" s="8">
        <f>'Expenses - Annual'!B69</f>
        <v/>
      </c>
      <c r="C69" s="9">
        <f>'Expenses - Annual'!C69</f>
        <v/>
      </c>
      <c r="D69" s="5">
        <f>'Expenses - Annual'!D69</f>
        <v/>
      </c>
      <c r="E69" s="5">
        <f>'Expenses - Annual'!E69</f>
        <v/>
      </c>
      <c r="F69" s="8">
        <f>'Expenses - Annual'!F69</f>
        <v/>
      </c>
      <c r="G69" s="5">
        <f>'Expenses - Annual'!G69</f>
        <v/>
      </c>
      <c r="H69" s="12">
        <f>IF(OR('Expenses - Annual'!C69="",'Expenses - Annual'!C69=0),"n/a",'Expenses - Annual'!H69/'Expenses - Annual'!C69)</f>
        <v/>
      </c>
      <c r="I69" s="11">
        <f>'Expenses - Annual'!I69</f>
        <v/>
      </c>
    </row>
    <row r="70">
      <c r="A70" s="5">
        <f>'Expenses - Annual'!A70</f>
        <v/>
      </c>
      <c r="B70" s="8">
        <f>'Expenses - Annual'!B70</f>
        <v/>
      </c>
      <c r="C70" s="9">
        <f>'Expenses - Annual'!C70</f>
        <v/>
      </c>
      <c r="D70" s="5">
        <f>'Expenses - Annual'!D70</f>
        <v/>
      </c>
      <c r="E70" s="5">
        <f>'Expenses - Annual'!E70</f>
        <v/>
      </c>
      <c r="F70" s="8">
        <f>'Expenses - Annual'!F70</f>
        <v/>
      </c>
      <c r="G70" s="5">
        <f>'Expenses - Annual'!G70</f>
        <v/>
      </c>
      <c r="H70" s="12">
        <f>IF(OR('Expenses - Annual'!C70="",'Expenses - Annual'!C70=0),"n/a",'Expenses - Annual'!H70/'Expenses - Annual'!C70)</f>
        <v/>
      </c>
      <c r="I70" s="11">
        <f>'Expenses - Annual'!I70</f>
        <v/>
      </c>
    </row>
    <row r="71">
      <c r="A71" s="5">
        <f>'Expenses - Annual'!A71</f>
        <v/>
      </c>
      <c r="B71" s="8">
        <f>'Expenses - Annual'!B71</f>
        <v/>
      </c>
      <c r="C71" s="9">
        <f>'Expenses - Annual'!C71</f>
        <v/>
      </c>
      <c r="D71" s="5">
        <f>'Expenses - Annual'!D71</f>
        <v/>
      </c>
      <c r="E71" s="5">
        <f>'Expenses - Annual'!E71</f>
        <v/>
      </c>
      <c r="F71" s="8">
        <f>'Expenses - Annual'!F71</f>
        <v/>
      </c>
      <c r="G71" s="5">
        <f>'Expenses - Annual'!G71</f>
        <v/>
      </c>
      <c r="H71" s="12">
        <f>IF(OR('Expenses - Annual'!C71="",'Expenses - Annual'!C71=0),"n/a",'Expenses - Annual'!H71/'Expenses - Annual'!C71)</f>
        <v/>
      </c>
      <c r="I71" s="11">
        <f>'Expenses - Annual'!I71</f>
        <v/>
      </c>
    </row>
    <row r="72">
      <c r="A72" s="5">
        <f>'Expenses - Annual'!A72</f>
        <v/>
      </c>
      <c r="B72" s="8">
        <f>'Expenses - Annual'!B72</f>
        <v/>
      </c>
      <c r="C72" s="9">
        <f>'Expenses - Annual'!C72</f>
        <v/>
      </c>
      <c r="D72" s="5">
        <f>'Expenses - Annual'!D72</f>
        <v/>
      </c>
      <c r="E72" s="5">
        <f>'Expenses - Annual'!E72</f>
        <v/>
      </c>
      <c r="F72" s="8">
        <f>'Expenses - Annual'!F72</f>
        <v/>
      </c>
      <c r="G72" s="5">
        <f>'Expenses - Annual'!G72</f>
        <v/>
      </c>
      <c r="H72" s="12">
        <f>IF(OR('Expenses - Annual'!C72="",'Expenses - Annual'!C72=0),"n/a",'Expenses - Annual'!H72/'Expenses - Annual'!C72)</f>
        <v/>
      </c>
      <c r="I72" s="11">
        <f>'Expenses - Annual'!I72</f>
        <v/>
      </c>
    </row>
    <row r="73">
      <c r="A73" s="5">
        <f>'Expenses - Annual'!A73</f>
        <v/>
      </c>
      <c r="B73" s="8">
        <f>'Expenses - Annual'!B73</f>
        <v/>
      </c>
      <c r="C73" s="9">
        <f>'Expenses - Annual'!C73</f>
        <v/>
      </c>
      <c r="D73" s="5">
        <f>'Expenses - Annual'!D73</f>
        <v/>
      </c>
      <c r="E73" s="5">
        <f>'Expenses - Annual'!E73</f>
        <v/>
      </c>
      <c r="F73" s="8">
        <f>'Expenses - Annual'!F73</f>
        <v/>
      </c>
      <c r="G73" s="5">
        <f>'Expenses - Annual'!G73</f>
        <v/>
      </c>
      <c r="H73" s="12">
        <f>IF(OR('Expenses - Annual'!C73="",'Expenses - Annual'!C73=0),"n/a",'Expenses - Annual'!H73/'Expenses - Annual'!C73)</f>
        <v/>
      </c>
      <c r="I73" s="11">
        <f>'Expenses - Annual'!I73</f>
        <v/>
      </c>
    </row>
    <row r="74">
      <c r="A74" s="5">
        <f>'Expenses - Annual'!A74</f>
        <v/>
      </c>
      <c r="B74" s="8">
        <f>'Expenses - Annual'!B74</f>
        <v/>
      </c>
      <c r="C74" s="9">
        <f>'Expenses - Annual'!C74</f>
        <v/>
      </c>
      <c r="D74" s="5">
        <f>'Expenses - Annual'!D74</f>
        <v/>
      </c>
      <c r="E74" s="5">
        <f>'Expenses - Annual'!E74</f>
        <v/>
      </c>
      <c r="F74" s="8">
        <f>'Expenses - Annual'!F74</f>
        <v/>
      </c>
      <c r="G74" s="5">
        <f>'Expenses - Annual'!G74</f>
        <v/>
      </c>
      <c r="H74" s="12">
        <f>IF(OR('Expenses - Annual'!C74="",'Expenses - Annual'!C74=0),"n/a",'Expenses - Annual'!H74/'Expenses - Annual'!C74)</f>
        <v/>
      </c>
      <c r="I74" s="11">
        <f>'Expenses - Annual'!I74</f>
        <v/>
      </c>
    </row>
    <row r="75">
      <c r="A75" s="5">
        <f>'Expenses - Annual'!A75</f>
        <v/>
      </c>
      <c r="B75" s="8">
        <f>'Expenses - Annual'!B75</f>
        <v/>
      </c>
      <c r="C75" s="9">
        <f>'Expenses - Annual'!C75</f>
        <v/>
      </c>
      <c r="D75" s="5">
        <f>'Expenses - Annual'!D75</f>
        <v/>
      </c>
      <c r="E75" s="5">
        <f>'Expenses - Annual'!E75</f>
        <v/>
      </c>
      <c r="F75" s="8">
        <f>'Expenses - Annual'!F75</f>
        <v/>
      </c>
      <c r="G75" s="5">
        <f>'Expenses - Annual'!G75</f>
        <v/>
      </c>
      <c r="H75" s="12">
        <f>IF(OR('Expenses - Annual'!C75="",'Expenses - Annual'!C75=0),"n/a",'Expenses - Annual'!H75/'Expenses - Annual'!C75)</f>
        <v/>
      </c>
      <c r="I75" s="11">
        <f>'Expenses - Annual'!I75</f>
        <v/>
      </c>
    </row>
    <row r="76">
      <c r="A76" s="5">
        <f>'Expenses - Annual'!A76</f>
        <v/>
      </c>
      <c r="B76" s="8">
        <f>'Expenses - Annual'!B76</f>
        <v/>
      </c>
      <c r="C76" s="9">
        <f>'Expenses - Annual'!C76</f>
        <v/>
      </c>
      <c r="D76" s="5">
        <f>'Expenses - Annual'!D76</f>
        <v/>
      </c>
      <c r="E76" s="5">
        <f>'Expenses - Annual'!E76</f>
        <v/>
      </c>
      <c r="F76" s="8">
        <f>'Expenses - Annual'!F76</f>
        <v/>
      </c>
      <c r="G76" s="5">
        <f>'Expenses - Annual'!G76</f>
        <v/>
      </c>
      <c r="H76" s="12">
        <f>IF(OR('Expenses - Annual'!C76="",'Expenses - Annual'!C76=0),"n/a",'Expenses - Annual'!H76/'Expenses - Annual'!C76)</f>
        <v/>
      </c>
      <c r="I76" s="11">
        <f>'Expenses - Annual'!I76</f>
        <v/>
      </c>
    </row>
    <row r="77">
      <c r="A77" s="5">
        <f>'Expenses - Annual'!A77</f>
        <v/>
      </c>
      <c r="B77" s="8">
        <f>'Expenses - Annual'!B77</f>
        <v/>
      </c>
      <c r="C77" s="9">
        <f>'Expenses - Annual'!C77</f>
        <v/>
      </c>
      <c r="D77" s="5">
        <f>'Expenses - Annual'!D77</f>
        <v/>
      </c>
      <c r="E77" s="5">
        <f>'Expenses - Annual'!E77</f>
        <v/>
      </c>
      <c r="F77" s="8">
        <f>'Expenses - Annual'!F77</f>
        <v/>
      </c>
      <c r="G77" s="5">
        <f>'Expenses - Annual'!G77</f>
        <v/>
      </c>
      <c r="H77" s="12">
        <f>IF(OR('Expenses - Annual'!C77="",'Expenses - Annual'!C77=0),"n/a",'Expenses - Annual'!H77/'Expenses - Annual'!C77)</f>
        <v/>
      </c>
      <c r="I77" s="11">
        <f>'Expenses - Annual'!I77</f>
        <v/>
      </c>
    </row>
    <row r="78">
      <c r="A78" s="5">
        <f>'Expenses - Annual'!A78</f>
        <v/>
      </c>
      <c r="B78" s="8">
        <f>'Expenses - Annual'!B78</f>
        <v/>
      </c>
      <c r="C78" s="9">
        <f>'Expenses - Annual'!C78</f>
        <v/>
      </c>
      <c r="D78" s="5">
        <f>'Expenses - Annual'!D78</f>
        <v/>
      </c>
      <c r="E78" s="5">
        <f>'Expenses - Annual'!E78</f>
        <v/>
      </c>
      <c r="F78" s="8">
        <f>'Expenses - Annual'!F78</f>
        <v/>
      </c>
      <c r="G78" s="5">
        <f>'Expenses - Annual'!G78</f>
        <v/>
      </c>
      <c r="H78" s="12">
        <f>IF(OR('Expenses - Annual'!C78="",'Expenses - Annual'!C78=0),"n/a",'Expenses - Annual'!H78/'Expenses - Annual'!C78)</f>
        <v/>
      </c>
      <c r="I78" s="11">
        <f>'Expenses - Annual'!I78</f>
        <v/>
      </c>
    </row>
    <row r="79">
      <c r="A79" s="5">
        <f>'Expenses - Annual'!A79</f>
        <v/>
      </c>
      <c r="B79" s="8">
        <f>'Expenses - Annual'!B79</f>
        <v/>
      </c>
      <c r="C79" s="9">
        <f>'Expenses - Annual'!C79</f>
        <v/>
      </c>
      <c r="D79" s="5">
        <f>'Expenses - Annual'!D79</f>
        <v/>
      </c>
      <c r="E79" s="5">
        <f>'Expenses - Annual'!E79</f>
        <v/>
      </c>
      <c r="F79" s="8">
        <f>'Expenses - Annual'!F79</f>
        <v/>
      </c>
      <c r="G79" s="5">
        <f>'Expenses - Annual'!G79</f>
        <v/>
      </c>
      <c r="H79" s="12">
        <f>IF(OR('Expenses - Annual'!C79="",'Expenses - Annual'!C79=0),"n/a",'Expenses - Annual'!H79/'Expenses - Annual'!C79)</f>
        <v/>
      </c>
      <c r="I79" s="11">
        <f>'Expenses - Annual'!I79</f>
        <v/>
      </c>
    </row>
    <row r="80">
      <c r="A80" s="5">
        <f>'Expenses - Annual'!A80</f>
        <v/>
      </c>
      <c r="B80" s="8">
        <f>'Expenses - Annual'!B80</f>
        <v/>
      </c>
      <c r="C80" s="9">
        <f>'Expenses - Annual'!C80</f>
        <v/>
      </c>
      <c r="D80" s="5">
        <f>'Expenses - Annual'!D80</f>
        <v/>
      </c>
      <c r="E80" s="5">
        <f>'Expenses - Annual'!E80</f>
        <v/>
      </c>
      <c r="F80" s="8">
        <f>'Expenses - Annual'!F80</f>
        <v/>
      </c>
      <c r="G80" s="5">
        <f>'Expenses - Annual'!G80</f>
        <v/>
      </c>
      <c r="H80" s="12">
        <f>IF(OR('Expenses - Annual'!C80="",'Expenses - Annual'!C80=0),"n/a",'Expenses - Annual'!H80/'Expenses - Annual'!C80)</f>
        <v/>
      </c>
      <c r="I80" s="11">
        <f>'Expenses - Annual'!I80</f>
        <v/>
      </c>
    </row>
    <row r="81">
      <c r="A81" s="5">
        <f>'Expenses - Annual'!A81</f>
        <v/>
      </c>
      <c r="B81" s="8">
        <f>'Expenses - Annual'!B81</f>
        <v/>
      </c>
      <c r="C81" s="9">
        <f>'Expenses - Annual'!C81</f>
        <v/>
      </c>
      <c r="D81" s="5">
        <f>'Expenses - Annual'!D81</f>
        <v/>
      </c>
      <c r="E81" s="5">
        <f>'Expenses - Annual'!E81</f>
        <v/>
      </c>
      <c r="F81" s="8">
        <f>'Expenses - Annual'!F81</f>
        <v/>
      </c>
      <c r="G81" s="5">
        <f>'Expenses - Annual'!G81</f>
        <v/>
      </c>
      <c r="H81" s="12">
        <f>IF(OR('Expenses - Annual'!C81="",'Expenses - Annual'!C81=0),"n/a",'Expenses - Annual'!H81/'Expenses - Annual'!C81)</f>
        <v/>
      </c>
      <c r="I81" s="11">
        <f>'Expenses - Annual'!I81</f>
        <v/>
      </c>
    </row>
    <row r="82">
      <c r="A82" s="5">
        <f>'Expenses - Annual'!A82</f>
        <v/>
      </c>
      <c r="B82" s="8">
        <f>'Expenses - Annual'!B82</f>
        <v/>
      </c>
      <c r="C82" s="9">
        <f>'Expenses - Annual'!C82</f>
        <v/>
      </c>
      <c r="D82" s="5">
        <f>'Expenses - Annual'!D82</f>
        <v/>
      </c>
      <c r="E82" s="5">
        <f>'Expenses - Annual'!E82</f>
        <v/>
      </c>
      <c r="F82" s="8">
        <f>'Expenses - Annual'!F82</f>
        <v/>
      </c>
      <c r="G82" s="5">
        <f>'Expenses - Annual'!G82</f>
        <v/>
      </c>
      <c r="H82" s="12">
        <f>IF(OR('Expenses - Annual'!C82="",'Expenses - Annual'!C82=0),"n/a",'Expenses - Annual'!H82/'Expenses - Annual'!C82)</f>
        <v/>
      </c>
      <c r="I82" s="11">
        <f>'Expenses - Annual'!I82</f>
        <v/>
      </c>
    </row>
    <row r="83">
      <c r="A83" s="5">
        <f>'Expenses - Annual'!A83</f>
        <v/>
      </c>
      <c r="B83" s="8">
        <f>'Expenses - Annual'!B83</f>
        <v/>
      </c>
      <c r="C83" s="9">
        <f>'Expenses - Annual'!C83</f>
        <v/>
      </c>
      <c r="D83" s="5">
        <f>'Expenses - Annual'!D83</f>
        <v/>
      </c>
      <c r="E83" s="5">
        <f>'Expenses - Annual'!E83</f>
        <v/>
      </c>
      <c r="F83" s="8">
        <f>'Expenses - Annual'!F83</f>
        <v/>
      </c>
      <c r="G83" s="5">
        <f>'Expenses - Annual'!G83</f>
        <v/>
      </c>
      <c r="H83" s="12">
        <f>IF(OR('Expenses - Annual'!C83="",'Expenses - Annual'!C83=0),"n/a",'Expenses - Annual'!H83/'Expenses - Annual'!C83)</f>
        <v/>
      </c>
      <c r="I83" s="11">
        <f>'Expenses - Annual'!I83</f>
        <v/>
      </c>
    </row>
    <row r="84">
      <c r="A84" s="5">
        <f>'Expenses - Annual'!A84</f>
        <v/>
      </c>
      <c r="B84" s="8">
        <f>'Expenses - Annual'!B84</f>
        <v/>
      </c>
      <c r="C84" s="9">
        <f>'Expenses - Annual'!C84</f>
        <v/>
      </c>
      <c r="D84" s="5">
        <f>'Expenses - Annual'!D84</f>
        <v/>
      </c>
      <c r="E84" s="5">
        <f>'Expenses - Annual'!E84</f>
        <v/>
      </c>
      <c r="F84" s="8">
        <f>'Expenses - Annual'!F84</f>
        <v/>
      </c>
      <c r="G84" s="5">
        <f>'Expenses - Annual'!G84</f>
        <v/>
      </c>
      <c r="H84" s="12">
        <f>IF(OR('Expenses - Annual'!C84="",'Expenses - Annual'!C84=0),"n/a",'Expenses - Annual'!H84/'Expenses - Annual'!C84)</f>
        <v/>
      </c>
      <c r="I84" s="11">
        <f>'Expenses - Annual'!I84</f>
        <v/>
      </c>
    </row>
    <row r="85">
      <c r="A85" s="5">
        <f>'Expenses - Annual'!A85</f>
        <v/>
      </c>
      <c r="B85" s="8">
        <f>'Expenses - Annual'!B85</f>
        <v/>
      </c>
      <c r="C85" s="9">
        <f>'Expenses - Annual'!C85</f>
        <v/>
      </c>
      <c r="D85" s="5">
        <f>'Expenses - Annual'!D85</f>
        <v/>
      </c>
      <c r="E85" s="5">
        <f>'Expenses - Annual'!E85</f>
        <v/>
      </c>
      <c r="F85" s="8">
        <f>'Expenses - Annual'!F85</f>
        <v/>
      </c>
      <c r="G85" s="5">
        <f>'Expenses - Annual'!G85</f>
        <v/>
      </c>
      <c r="H85" s="12">
        <f>IF(OR('Expenses - Annual'!C85="",'Expenses - Annual'!C85=0),"n/a",'Expenses - Annual'!H85/'Expenses - Annual'!C85)</f>
        <v/>
      </c>
      <c r="I85" s="11">
        <f>'Expenses - Annual'!I85</f>
        <v/>
      </c>
    </row>
    <row r="86">
      <c r="A86" s="5">
        <f>'Expenses - Annual'!A86</f>
        <v/>
      </c>
      <c r="B86" s="8">
        <f>'Expenses - Annual'!B86</f>
        <v/>
      </c>
      <c r="C86" s="9">
        <f>'Expenses - Annual'!C86</f>
        <v/>
      </c>
      <c r="D86" s="5">
        <f>'Expenses - Annual'!D86</f>
        <v/>
      </c>
      <c r="E86" s="5">
        <f>'Expenses - Annual'!E86</f>
        <v/>
      </c>
      <c r="F86" s="8">
        <f>'Expenses - Annual'!F86</f>
        <v/>
      </c>
      <c r="G86" s="5">
        <f>'Expenses - Annual'!G86</f>
        <v/>
      </c>
      <c r="H86" s="12">
        <f>IF(OR('Expenses - Annual'!C86="",'Expenses - Annual'!C86=0),"n/a",'Expenses - Annual'!H86/'Expenses - Annual'!C86)</f>
        <v/>
      </c>
      <c r="I86" s="11">
        <f>'Expenses - Annual'!I86</f>
        <v/>
      </c>
    </row>
    <row r="87">
      <c r="A87" s="5">
        <f>'Expenses - Annual'!A87</f>
        <v/>
      </c>
      <c r="B87" s="8">
        <f>'Expenses - Annual'!B87</f>
        <v/>
      </c>
      <c r="C87" s="9">
        <f>'Expenses - Annual'!C87</f>
        <v/>
      </c>
      <c r="D87" s="5">
        <f>'Expenses - Annual'!D87</f>
        <v/>
      </c>
      <c r="E87" s="5">
        <f>'Expenses - Annual'!E87</f>
        <v/>
      </c>
      <c r="F87" s="8">
        <f>'Expenses - Annual'!F87</f>
        <v/>
      </c>
      <c r="G87" s="5">
        <f>'Expenses - Annual'!G87</f>
        <v/>
      </c>
      <c r="H87" s="12">
        <f>IF(OR('Expenses - Annual'!C87="",'Expenses - Annual'!C87=0),"n/a",'Expenses - Annual'!H87/'Expenses - Annual'!C87)</f>
        <v/>
      </c>
      <c r="I87" s="11">
        <f>'Expenses - Annual'!I87</f>
        <v/>
      </c>
    </row>
    <row r="88">
      <c r="A88" s="5">
        <f>'Expenses - Annual'!A88</f>
        <v/>
      </c>
      <c r="B88" s="8">
        <f>'Expenses - Annual'!B88</f>
        <v/>
      </c>
      <c r="C88" s="9">
        <f>'Expenses - Annual'!C88</f>
        <v/>
      </c>
      <c r="D88" s="5">
        <f>'Expenses - Annual'!D88</f>
        <v/>
      </c>
      <c r="E88" s="5">
        <f>'Expenses - Annual'!E88</f>
        <v/>
      </c>
      <c r="F88" s="8">
        <f>'Expenses - Annual'!F88</f>
        <v/>
      </c>
      <c r="G88" s="5">
        <f>'Expenses - Annual'!G88</f>
        <v/>
      </c>
      <c r="H88" s="12">
        <f>IF(OR('Expenses - Annual'!C88="",'Expenses - Annual'!C88=0),"n/a",'Expenses - Annual'!H88/'Expenses - Annual'!C88)</f>
        <v/>
      </c>
      <c r="I88" s="11">
        <f>'Expenses - Annual'!I88</f>
        <v/>
      </c>
    </row>
    <row r="89">
      <c r="A89" s="5">
        <f>'Expenses - Annual'!A89</f>
        <v/>
      </c>
      <c r="B89" s="8">
        <f>'Expenses - Annual'!B89</f>
        <v/>
      </c>
      <c r="C89" s="9">
        <f>'Expenses - Annual'!C89</f>
        <v/>
      </c>
      <c r="D89" s="5">
        <f>'Expenses - Annual'!D89</f>
        <v/>
      </c>
      <c r="E89" s="5">
        <f>'Expenses - Annual'!E89</f>
        <v/>
      </c>
      <c r="F89" s="8">
        <f>'Expenses - Annual'!F89</f>
        <v/>
      </c>
      <c r="G89" s="5">
        <f>'Expenses - Annual'!G89</f>
        <v/>
      </c>
      <c r="H89" s="12">
        <f>IF(OR('Expenses - Annual'!C89="",'Expenses - Annual'!C89=0),"n/a",'Expenses - Annual'!H89/'Expenses - Annual'!C89)</f>
        <v/>
      </c>
      <c r="I89" s="11">
        <f>'Expenses - Annual'!I89</f>
        <v/>
      </c>
    </row>
    <row r="90">
      <c r="A90" s="5">
        <f>'Expenses - Annual'!A90</f>
        <v/>
      </c>
      <c r="B90" s="8">
        <f>'Expenses - Annual'!B90</f>
        <v/>
      </c>
      <c r="C90" s="9">
        <f>'Expenses - Annual'!C90</f>
        <v/>
      </c>
      <c r="D90" s="5">
        <f>'Expenses - Annual'!D90</f>
        <v/>
      </c>
      <c r="E90" s="5">
        <f>'Expenses - Annual'!E90</f>
        <v/>
      </c>
      <c r="F90" s="8">
        <f>'Expenses - Annual'!F90</f>
        <v/>
      </c>
      <c r="G90" s="5">
        <f>'Expenses - Annual'!G90</f>
        <v/>
      </c>
      <c r="H90" s="12">
        <f>IF(OR('Expenses - Annual'!C90="",'Expenses - Annual'!C90=0),"n/a",'Expenses - Annual'!H90/'Expenses - Annual'!C90)</f>
        <v/>
      </c>
      <c r="I90" s="11">
        <f>'Expenses - Annual'!I90</f>
        <v/>
      </c>
    </row>
    <row r="91">
      <c r="A91" s="5">
        <f>'Expenses - Annual'!A91</f>
        <v/>
      </c>
      <c r="B91" s="8">
        <f>'Expenses - Annual'!B91</f>
        <v/>
      </c>
      <c r="C91" s="9">
        <f>'Expenses - Annual'!C91</f>
        <v/>
      </c>
      <c r="D91" s="5">
        <f>'Expenses - Annual'!D91</f>
        <v/>
      </c>
      <c r="E91" s="5">
        <f>'Expenses - Annual'!E91</f>
        <v/>
      </c>
      <c r="F91" s="8">
        <f>'Expenses - Annual'!F91</f>
        <v/>
      </c>
      <c r="G91" s="5">
        <f>'Expenses - Annual'!G91</f>
        <v/>
      </c>
      <c r="H91" s="12">
        <f>IF(OR('Expenses - Annual'!C91="",'Expenses - Annual'!C91=0),"n/a",'Expenses - Annual'!H91/'Expenses - Annual'!C91)</f>
        <v/>
      </c>
      <c r="I91" s="11">
        <f>'Expenses - Annual'!I91</f>
        <v/>
      </c>
    </row>
    <row r="92">
      <c r="A92" s="5">
        <f>'Expenses - Annual'!A92</f>
        <v/>
      </c>
      <c r="B92" s="8">
        <f>'Expenses - Annual'!B92</f>
        <v/>
      </c>
      <c r="C92" s="9">
        <f>'Expenses - Annual'!C92</f>
        <v/>
      </c>
      <c r="D92" s="5">
        <f>'Expenses - Annual'!D92</f>
        <v/>
      </c>
      <c r="E92" s="5">
        <f>'Expenses - Annual'!E92</f>
        <v/>
      </c>
      <c r="F92" s="8">
        <f>'Expenses - Annual'!F92</f>
        <v/>
      </c>
      <c r="G92" s="5">
        <f>'Expenses - Annual'!G92</f>
        <v/>
      </c>
      <c r="H92" s="12">
        <f>IF(OR('Expenses - Annual'!C92="",'Expenses - Annual'!C92=0),"n/a",'Expenses - Annual'!H92/'Expenses - Annual'!C92)</f>
        <v/>
      </c>
      <c r="I92" s="11">
        <f>'Expenses - Annual'!I92</f>
        <v/>
      </c>
    </row>
    <row r="93">
      <c r="A93" s="5">
        <f>'Expenses - Annual'!A93</f>
        <v/>
      </c>
      <c r="B93" s="8">
        <f>'Expenses - Annual'!B93</f>
        <v/>
      </c>
      <c r="C93" s="9">
        <f>'Expenses - Annual'!C93</f>
        <v/>
      </c>
      <c r="D93" s="5">
        <f>'Expenses - Annual'!D93</f>
        <v/>
      </c>
      <c r="E93" s="5">
        <f>'Expenses - Annual'!E93</f>
        <v/>
      </c>
      <c r="F93" s="8">
        <f>'Expenses - Annual'!F93</f>
        <v/>
      </c>
      <c r="G93" s="5">
        <f>'Expenses - Annual'!G93</f>
        <v/>
      </c>
      <c r="H93" s="12">
        <f>IF(OR('Expenses - Annual'!C93="",'Expenses - Annual'!C93=0),"n/a",'Expenses - Annual'!H93/'Expenses - Annual'!C93)</f>
        <v/>
      </c>
      <c r="I93" s="11">
        <f>'Expenses - Annual'!I93</f>
        <v/>
      </c>
    </row>
    <row r="94">
      <c r="A94" s="5">
        <f>'Expenses - Annual'!A94</f>
        <v/>
      </c>
      <c r="B94" s="8">
        <f>'Expenses - Annual'!B94</f>
        <v/>
      </c>
      <c r="C94" s="9">
        <f>'Expenses - Annual'!C94</f>
        <v/>
      </c>
      <c r="D94" s="5">
        <f>'Expenses - Annual'!D94</f>
        <v/>
      </c>
      <c r="E94" s="5">
        <f>'Expenses - Annual'!E94</f>
        <v/>
      </c>
      <c r="F94" s="8">
        <f>'Expenses - Annual'!F94</f>
        <v/>
      </c>
      <c r="G94" s="5">
        <f>'Expenses - Annual'!G94</f>
        <v/>
      </c>
      <c r="H94" s="12">
        <f>IF(OR('Expenses - Annual'!C94="",'Expenses - Annual'!C94=0),"n/a",'Expenses - Annual'!H94/'Expenses - Annual'!C94)</f>
        <v/>
      </c>
      <c r="I94" s="11">
        <f>'Expenses - Annual'!I94</f>
        <v/>
      </c>
    </row>
    <row r="95">
      <c r="A95" s="5">
        <f>'Expenses - Annual'!A95</f>
        <v/>
      </c>
      <c r="B95" s="8">
        <f>'Expenses - Annual'!B95</f>
        <v/>
      </c>
      <c r="C95" s="9">
        <f>'Expenses - Annual'!C95</f>
        <v/>
      </c>
      <c r="D95" s="5">
        <f>'Expenses - Annual'!D95</f>
        <v/>
      </c>
      <c r="E95" s="5">
        <f>'Expenses - Annual'!E95</f>
        <v/>
      </c>
      <c r="F95" s="8">
        <f>'Expenses - Annual'!F95</f>
        <v/>
      </c>
      <c r="G95" s="5">
        <f>'Expenses - Annual'!G95</f>
        <v/>
      </c>
      <c r="H95" s="12">
        <f>IF(OR('Expenses - Annual'!C95="",'Expenses - Annual'!C95=0),"n/a",'Expenses - Annual'!H95/'Expenses - Annual'!C95)</f>
        <v/>
      </c>
      <c r="I95" s="11">
        <f>'Expenses - Annual'!I95</f>
        <v/>
      </c>
    </row>
    <row r="96">
      <c r="A96" s="5">
        <f>'Expenses - Annual'!A96</f>
        <v/>
      </c>
      <c r="B96" s="8">
        <f>'Expenses - Annual'!B96</f>
        <v/>
      </c>
      <c r="C96" s="9">
        <f>'Expenses - Annual'!C96</f>
        <v/>
      </c>
      <c r="D96" s="5">
        <f>'Expenses - Annual'!D96</f>
        <v/>
      </c>
      <c r="E96" s="5">
        <f>'Expenses - Annual'!E96</f>
        <v/>
      </c>
      <c r="F96" s="8">
        <f>'Expenses - Annual'!F96</f>
        <v/>
      </c>
      <c r="G96" s="5">
        <f>'Expenses - Annual'!G96</f>
        <v/>
      </c>
      <c r="H96" s="12">
        <f>IF(OR('Expenses - Annual'!C96="",'Expenses - Annual'!C96=0),"n/a",'Expenses - Annual'!H96/'Expenses - Annual'!C96)</f>
        <v/>
      </c>
      <c r="I96" s="11">
        <f>'Expenses - Annual'!I96</f>
        <v/>
      </c>
    </row>
    <row r="97">
      <c r="A97" s="5">
        <f>'Expenses - Annual'!A97</f>
        <v/>
      </c>
      <c r="B97" s="8">
        <f>'Expenses - Annual'!B97</f>
        <v/>
      </c>
      <c r="C97" s="9">
        <f>'Expenses - Annual'!C97</f>
        <v/>
      </c>
      <c r="D97" s="5">
        <f>'Expenses - Annual'!D97</f>
        <v/>
      </c>
      <c r="E97" s="5">
        <f>'Expenses - Annual'!E97</f>
        <v/>
      </c>
      <c r="F97" s="8">
        <f>'Expenses - Annual'!F97</f>
        <v/>
      </c>
      <c r="G97" s="5">
        <f>'Expenses - Annual'!G97</f>
        <v/>
      </c>
      <c r="H97" s="12">
        <f>IF(OR('Expenses - Annual'!C97="",'Expenses - Annual'!C97=0),"n/a",'Expenses - Annual'!H97/'Expenses - Annual'!C97)</f>
        <v/>
      </c>
      <c r="I97" s="11">
        <f>'Expenses - Annual'!I97</f>
        <v/>
      </c>
    </row>
    <row r="98">
      <c r="A98" s="5">
        <f>'Expenses - Annual'!A98</f>
        <v/>
      </c>
      <c r="B98" s="8">
        <f>'Expenses - Annual'!B98</f>
        <v/>
      </c>
      <c r="C98" s="9">
        <f>'Expenses - Annual'!C98</f>
        <v/>
      </c>
      <c r="D98" s="5">
        <f>'Expenses - Annual'!D98</f>
        <v/>
      </c>
      <c r="E98" s="5">
        <f>'Expenses - Annual'!E98</f>
        <v/>
      </c>
      <c r="F98" s="8">
        <f>'Expenses - Annual'!F98</f>
        <v/>
      </c>
      <c r="G98" s="5">
        <f>'Expenses - Annual'!G98</f>
        <v/>
      </c>
      <c r="H98" s="12">
        <f>IF(OR('Expenses - Annual'!C98="",'Expenses - Annual'!C98=0),"n/a",'Expenses - Annual'!H98/'Expenses - Annual'!C98)</f>
        <v/>
      </c>
      <c r="I98" s="11">
        <f>'Expenses - Annual'!I98</f>
        <v/>
      </c>
    </row>
    <row r="99">
      <c r="A99" s="5">
        <f>'Expenses - Annual'!A99</f>
        <v/>
      </c>
      <c r="B99" s="8">
        <f>'Expenses - Annual'!B99</f>
        <v/>
      </c>
      <c r="C99" s="9">
        <f>'Expenses - Annual'!C99</f>
        <v/>
      </c>
      <c r="D99" s="5">
        <f>'Expenses - Annual'!D99</f>
        <v/>
      </c>
      <c r="E99" s="5">
        <f>'Expenses - Annual'!E99</f>
        <v/>
      </c>
      <c r="F99" s="8">
        <f>'Expenses - Annual'!F99</f>
        <v/>
      </c>
      <c r="G99" s="5">
        <f>'Expenses - Annual'!G99</f>
        <v/>
      </c>
      <c r="H99" s="12">
        <f>IF(OR('Expenses - Annual'!C99="",'Expenses - Annual'!C99=0),"n/a",'Expenses - Annual'!H99/'Expenses - Annual'!C99)</f>
        <v/>
      </c>
      <c r="I99" s="11">
        <f>'Expenses - Annual'!I99</f>
        <v/>
      </c>
    </row>
    <row r="100">
      <c r="A100" s="5">
        <f>'Expenses - Annual'!A100</f>
        <v/>
      </c>
      <c r="B100" s="8">
        <f>'Expenses - Annual'!B100</f>
        <v/>
      </c>
      <c r="C100" s="9">
        <f>'Expenses - Annual'!C100</f>
        <v/>
      </c>
      <c r="D100" s="5">
        <f>'Expenses - Annual'!D100</f>
        <v/>
      </c>
      <c r="E100" s="5">
        <f>'Expenses - Annual'!E100</f>
        <v/>
      </c>
      <c r="F100" s="8">
        <f>'Expenses - Annual'!F100</f>
        <v/>
      </c>
      <c r="G100" s="5">
        <f>'Expenses - Annual'!G100</f>
        <v/>
      </c>
      <c r="H100" s="12">
        <f>IF(OR('Expenses - Annual'!C100="",'Expenses - Annual'!C100=0),"n/a",'Expenses - Annual'!H100/'Expenses - Annual'!C100)</f>
        <v/>
      </c>
      <c r="I100" s="11">
        <f>'Expenses - Annual'!I100</f>
        <v/>
      </c>
    </row>
    <row r="101">
      <c r="A101" s="5">
        <f>'Expenses - Annual'!A101</f>
        <v/>
      </c>
      <c r="B101" s="8">
        <f>'Expenses - Annual'!B101</f>
        <v/>
      </c>
      <c r="C101" s="9">
        <f>'Expenses - Annual'!C101</f>
        <v/>
      </c>
      <c r="D101" s="5">
        <f>'Expenses - Annual'!D101</f>
        <v/>
      </c>
      <c r="E101" s="5">
        <f>'Expenses - Annual'!E101</f>
        <v/>
      </c>
      <c r="F101" s="8">
        <f>'Expenses - Annual'!F101</f>
        <v/>
      </c>
      <c r="G101" s="5">
        <f>'Expenses - Annual'!G101</f>
        <v/>
      </c>
      <c r="H101" s="12">
        <f>IF(OR('Expenses - Annual'!C101="",'Expenses - Annual'!C101=0),"n/a",'Expenses - Annual'!H101/'Expenses - Annual'!C101)</f>
        <v/>
      </c>
      <c r="I101" s="11">
        <f>'Expenses - Annual'!I101</f>
        <v/>
      </c>
    </row>
    <row r="102">
      <c r="A102" s="5">
        <f>'Expenses - Annual'!A102</f>
        <v/>
      </c>
      <c r="B102" s="8">
        <f>'Expenses - Annual'!B102</f>
        <v/>
      </c>
      <c r="C102" s="9">
        <f>'Expenses - Annual'!C102</f>
        <v/>
      </c>
      <c r="D102" s="5">
        <f>'Expenses - Annual'!D102</f>
        <v/>
      </c>
      <c r="E102" s="5">
        <f>'Expenses - Annual'!E102</f>
        <v/>
      </c>
      <c r="F102" s="8">
        <f>'Expenses - Annual'!F102</f>
        <v/>
      </c>
      <c r="G102" s="5">
        <f>'Expenses - Annual'!G102</f>
        <v/>
      </c>
      <c r="H102" s="12">
        <f>IF(OR('Expenses - Annual'!C102="",'Expenses - Annual'!C102=0),"n/a",'Expenses - Annual'!H102/'Expenses - Annual'!C102)</f>
        <v/>
      </c>
      <c r="I102" s="11">
        <f>'Expenses - Annual'!I102</f>
        <v/>
      </c>
    </row>
    <row r="103">
      <c r="A103" s="5">
        <f>'Expenses - Annual'!A103</f>
        <v/>
      </c>
      <c r="B103" s="8">
        <f>'Expenses - Annual'!B103</f>
        <v/>
      </c>
      <c r="C103" s="9">
        <f>'Expenses - Annual'!C103</f>
        <v/>
      </c>
      <c r="D103" s="5">
        <f>'Expenses - Annual'!D103</f>
        <v/>
      </c>
      <c r="E103" s="5">
        <f>'Expenses - Annual'!E103</f>
        <v/>
      </c>
      <c r="F103" s="8">
        <f>'Expenses - Annual'!F103</f>
        <v/>
      </c>
      <c r="G103" s="5">
        <f>'Expenses - Annual'!G103</f>
        <v/>
      </c>
      <c r="H103" s="12">
        <f>IF(OR('Expenses - Annual'!C103="",'Expenses - Annual'!C103=0),"n/a",'Expenses - Annual'!H103/'Expenses - Annual'!C103)</f>
        <v/>
      </c>
      <c r="I103" s="11">
        <f>'Expenses - Annual'!I103</f>
        <v/>
      </c>
    </row>
    <row r="104">
      <c r="A104" s="5">
        <f>'Expenses - Annual'!A104</f>
        <v/>
      </c>
      <c r="B104" s="8">
        <f>'Expenses - Annual'!B104</f>
        <v/>
      </c>
      <c r="C104" s="9">
        <f>'Expenses - Annual'!C104</f>
        <v/>
      </c>
      <c r="D104" s="5">
        <f>'Expenses - Annual'!D104</f>
        <v/>
      </c>
      <c r="E104" s="5">
        <f>'Expenses - Annual'!E104</f>
        <v/>
      </c>
      <c r="F104" s="8">
        <f>'Expenses - Annual'!F104</f>
        <v/>
      </c>
      <c r="G104" s="5">
        <f>'Expenses - Annual'!G104</f>
        <v/>
      </c>
      <c r="H104" s="12">
        <f>IF(OR('Expenses - Annual'!C104="",'Expenses - Annual'!C104=0),"n/a",'Expenses - Annual'!H104/'Expenses - Annual'!C104)</f>
        <v/>
      </c>
      <c r="I104" s="11">
        <f>'Expenses - Annual'!I104</f>
        <v/>
      </c>
    </row>
    <row r="105">
      <c r="A105" s="5">
        <f>'Expenses - Annual'!A105</f>
        <v/>
      </c>
      <c r="B105" s="8">
        <f>'Expenses - Annual'!B105</f>
        <v/>
      </c>
      <c r="C105" s="9">
        <f>'Expenses - Annual'!C105</f>
        <v/>
      </c>
      <c r="D105" s="5">
        <f>'Expenses - Annual'!D105</f>
        <v/>
      </c>
      <c r="E105" s="5">
        <f>'Expenses - Annual'!E105</f>
        <v/>
      </c>
      <c r="F105" s="8">
        <f>'Expenses - Annual'!F105</f>
        <v/>
      </c>
      <c r="G105" s="5">
        <f>'Expenses - Annual'!G105</f>
        <v/>
      </c>
      <c r="H105" s="12">
        <f>IF(OR('Expenses - Annual'!C105="",'Expenses - Annual'!C105=0),"n/a",'Expenses - Annual'!H105/'Expenses - Annual'!C105)</f>
        <v/>
      </c>
      <c r="I105" s="11">
        <f>'Expenses - Annual'!I105</f>
        <v/>
      </c>
    </row>
    <row r="106">
      <c r="A106" s="5">
        <f>'Expenses - Annual'!A106</f>
        <v/>
      </c>
      <c r="B106" s="8">
        <f>'Expenses - Annual'!B106</f>
        <v/>
      </c>
      <c r="C106" s="9">
        <f>'Expenses - Annual'!C106</f>
        <v/>
      </c>
      <c r="D106" s="5">
        <f>'Expenses - Annual'!D106</f>
        <v/>
      </c>
      <c r="E106" s="5">
        <f>'Expenses - Annual'!E106</f>
        <v/>
      </c>
      <c r="F106" s="8">
        <f>'Expenses - Annual'!F106</f>
        <v/>
      </c>
      <c r="G106" s="5">
        <f>'Expenses - Annual'!G106</f>
        <v/>
      </c>
      <c r="H106" s="12">
        <f>IF(OR('Expenses - Annual'!C106="",'Expenses - Annual'!C106=0),"n/a",'Expenses - Annual'!H106/'Expenses - Annual'!C106)</f>
        <v/>
      </c>
      <c r="I106" s="11">
        <f>'Expenses - Annual'!I106</f>
        <v/>
      </c>
    </row>
    <row r="107">
      <c r="A107" s="5">
        <f>'Expenses - Annual'!A107</f>
        <v/>
      </c>
      <c r="B107" s="8">
        <f>'Expenses - Annual'!B107</f>
        <v/>
      </c>
      <c r="C107" s="9">
        <f>'Expenses - Annual'!C107</f>
        <v/>
      </c>
      <c r="D107" s="5">
        <f>'Expenses - Annual'!D107</f>
        <v/>
      </c>
      <c r="E107" s="5">
        <f>'Expenses - Annual'!E107</f>
        <v/>
      </c>
      <c r="F107" s="8">
        <f>'Expenses - Annual'!F107</f>
        <v/>
      </c>
      <c r="G107" s="5">
        <f>'Expenses - Annual'!G107</f>
        <v/>
      </c>
      <c r="H107" s="12">
        <f>IF(OR('Expenses - Annual'!C107="",'Expenses - Annual'!C107=0),"n/a",'Expenses - Annual'!H107/'Expenses - Annual'!C107)</f>
        <v/>
      </c>
      <c r="I107" s="11">
        <f>'Expenses - Annual'!I107</f>
        <v/>
      </c>
    </row>
    <row r="108">
      <c r="A108" s="5">
        <f>'Expenses - Annual'!A108</f>
        <v/>
      </c>
      <c r="B108" s="8">
        <f>'Expenses - Annual'!B108</f>
        <v/>
      </c>
      <c r="C108" s="9">
        <f>'Expenses - Annual'!C108</f>
        <v/>
      </c>
      <c r="D108" s="5">
        <f>'Expenses - Annual'!D108</f>
        <v/>
      </c>
      <c r="E108" s="5">
        <f>'Expenses - Annual'!E108</f>
        <v/>
      </c>
      <c r="F108" s="8">
        <f>'Expenses - Annual'!F108</f>
        <v/>
      </c>
      <c r="G108" s="5">
        <f>'Expenses - Annual'!G108</f>
        <v/>
      </c>
      <c r="H108" s="12">
        <f>IF(OR('Expenses - Annual'!C108="",'Expenses - Annual'!C108=0),"n/a",'Expenses - Annual'!H108/'Expenses - Annual'!C108)</f>
        <v/>
      </c>
      <c r="I108" s="11">
        <f>'Expenses - Annual'!I108</f>
        <v/>
      </c>
    </row>
    <row r="109">
      <c r="A109" s="5">
        <f>'Expenses - Annual'!A109</f>
        <v/>
      </c>
      <c r="B109" s="8">
        <f>'Expenses - Annual'!B109</f>
        <v/>
      </c>
      <c r="C109" s="9">
        <f>'Expenses - Annual'!C109</f>
        <v/>
      </c>
      <c r="D109" s="5">
        <f>'Expenses - Annual'!D109</f>
        <v/>
      </c>
      <c r="E109" s="5">
        <f>'Expenses - Annual'!E109</f>
        <v/>
      </c>
      <c r="F109" s="8">
        <f>'Expenses - Annual'!F109</f>
        <v/>
      </c>
      <c r="G109" s="5">
        <f>'Expenses - Annual'!G109</f>
        <v/>
      </c>
      <c r="H109" s="12">
        <f>IF(OR('Expenses - Annual'!C109="",'Expenses - Annual'!C109=0),"n/a",'Expenses - Annual'!H109/'Expenses - Annual'!C109)</f>
        <v/>
      </c>
      <c r="I109" s="11">
        <f>'Expenses - Annual'!I109</f>
        <v/>
      </c>
    </row>
    <row r="110">
      <c r="A110" s="5">
        <f>'Expenses - Annual'!A110</f>
        <v/>
      </c>
      <c r="B110" s="8">
        <f>'Expenses - Annual'!B110</f>
        <v/>
      </c>
      <c r="C110" s="9">
        <f>'Expenses - Annual'!C110</f>
        <v/>
      </c>
      <c r="D110" s="5">
        <f>'Expenses - Annual'!D110</f>
        <v/>
      </c>
      <c r="E110" s="5">
        <f>'Expenses - Annual'!E110</f>
        <v/>
      </c>
      <c r="F110" s="8">
        <f>'Expenses - Annual'!F110</f>
        <v/>
      </c>
      <c r="G110" s="5">
        <f>'Expenses - Annual'!G110</f>
        <v/>
      </c>
      <c r="H110" s="12">
        <f>IF(OR('Expenses - Annual'!C110="",'Expenses - Annual'!C110=0),"n/a",'Expenses - Annual'!H110/'Expenses - Annual'!C110)</f>
        <v/>
      </c>
      <c r="I110" s="11">
        <f>'Expenses - Annual'!I110</f>
        <v/>
      </c>
    </row>
    <row r="111">
      <c r="A111" s="5">
        <f>'Expenses - Annual'!A111</f>
        <v/>
      </c>
      <c r="B111" s="8">
        <f>'Expenses - Annual'!B111</f>
        <v/>
      </c>
      <c r="C111" s="9">
        <f>'Expenses - Annual'!C111</f>
        <v/>
      </c>
      <c r="D111" s="5">
        <f>'Expenses - Annual'!D111</f>
        <v/>
      </c>
      <c r="E111" s="5">
        <f>'Expenses - Annual'!E111</f>
        <v/>
      </c>
      <c r="F111" s="8">
        <f>'Expenses - Annual'!F111</f>
        <v/>
      </c>
      <c r="G111" s="5">
        <f>'Expenses - Annual'!G111</f>
        <v/>
      </c>
      <c r="H111" s="12">
        <f>IF(OR('Expenses - Annual'!C111="",'Expenses - Annual'!C111=0),"n/a",'Expenses - Annual'!H111/'Expenses - Annual'!C111)</f>
        <v/>
      </c>
      <c r="I111" s="11">
        <f>'Expenses - Annual'!I111</f>
        <v/>
      </c>
    </row>
    <row r="112">
      <c r="A112" s="5">
        <f>'Expenses - Annual'!A112</f>
        <v/>
      </c>
      <c r="B112" s="8">
        <f>'Expenses - Annual'!B112</f>
        <v/>
      </c>
      <c r="C112" s="9">
        <f>'Expenses - Annual'!C112</f>
        <v/>
      </c>
      <c r="D112" s="5">
        <f>'Expenses - Annual'!D112</f>
        <v/>
      </c>
      <c r="E112" s="5">
        <f>'Expenses - Annual'!E112</f>
        <v/>
      </c>
      <c r="F112" s="8">
        <f>'Expenses - Annual'!F112</f>
        <v/>
      </c>
      <c r="G112" s="5">
        <f>'Expenses - Annual'!G112</f>
        <v/>
      </c>
      <c r="H112" s="12">
        <f>IF(OR('Expenses - Annual'!C112="",'Expenses - Annual'!C112=0),"n/a",'Expenses - Annual'!H112/'Expenses - Annual'!C112)</f>
        <v/>
      </c>
      <c r="I112" s="11">
        <f>'Expenses - Annual'!I112</f>
        <v/>
      </c>
    </row>
    <row r="113">
      <c r="A113" s="5">
        <f>'Expenses - Annual'!A113</f>
        <v/>
      </c>
      <c r="B113" s="8">
        <f>'Expenses - Annual'!B113</f>
        <v/>
      </c>
      <c r="C113" s="9">
        <f>'Expenses - Annual'!C113</f>
        <v/>
      </c>
      <c r="D113" s="5">
        <f>'Expenses - Annual'!D113</f>
        <v/>
      </c>
      <c r="E113" s="5">
        <f>'Expenses - Annual'!E113</f>
        <v/>
      </c>
      <c r="F113" s="8">
        <f>'Expenses - Annual'!F113</f>
        <v/>
      </c>
      <c r="G113" s="5">
        <f>'Expenses - Annual'!G113</f>
        <v/>
      </c>
      <c r="H113" s="12">
        <f>IF(OR('Expenses - Annual'!C113="",'Expenses - Annual'!C113=0),"n/a",'Expenses - Annual'!H113/'Expenses - Annual'!C113)</f>
        <v/>
      </c>
      <c r="I113" s="11">
        <f>'Expenses - Annual'!I113</f>
        <v/>
      </c>
    </row>
    <row r="114">
      <c r="A114" s="5">
        <f>'Expenses - Annual'!A114</f>
        <v/>
      </c>
      <c r="B114" s="8">
        <f>'Expenses - Annual'!B114</f>
        <v/>
      </c>
      <c r="C114" s="9">
        <f>'Expenses - Annual'!C114</f>
        <v/>
      </c>
      <c r="D114" s="5">
        <f>'Expenses - Annual'!D114</f>
        <v/>
      </c>
      <c r="E114" s="5">
        <f>'Expenses - Annual'!E114</f>
        <v/>
      </c>
      <c r="F114" s="8">
        <f>'Expenses - Annual'!F114</f>
        <v/>
      </c>
      <c r="G114" s="5">
        <f>'Expenses - Annual'!G114</f>
        <v/>
      </c>
      <c r="H114" s="12">
        <f>IF(OR('Expenses - Annual'!C114="",'Expenses - Annual'!C114=0),"n/a",'Expenses - Annual'!H114/'Expenses - Annual'!C114)</f>
        <v/>
      </c>
      <c r="I114" s="11">
        <f>'Expenses - Annual'!I114</f>
        <v/>
      </c>
    </row>
    <row r="115">
      <c r="A115" s="5">
        <f>'Expenses - Annual'!A115</f>
        <v/>
      </c>
      <c r="B115" s="8">
        <f>'Expenses - Annual'!B115</f>
        <v/>
      </c>
      <c r="C115" s="9">
        <f>'Expenses - Annual'!C115</f>
        <v/>
      </c>
      <c r="D115" s="5">
        <f>'Expenses - Annual'!D115</f>
        <v/>
      </c>
      <c r="E115" s="5">
        <f>'Expenses - Annual'!E115</f>
        <v/>
      </c>
      <c r="F115" s="8">
        <f>'Expenses - Annual'!F115</f>
        <v/>
      </c>
      <c r="G115" s="5">
        <f>'Expenses - Annual'!G115</f>
        <v/>
      </c>
      <c r="H115" s="12">
        <f>IF(OR('Expenses - Annual'!C115="",'Expenses - Annual'!C115=0),"n/a",'Expenses - Annual'!H115/'Expenses - Annual'!C115)</f>
        <v/>
      </c>
      <c r="I115" s="11">
        <f>'Expenses - Annual'!I115</f>
        <v/>
      </c>
    </row>
    <row r="116">
      <c r="A116" s="5">
        <f>'Expenses - Annual'!A116</f>
        <v/>
      </c>
      <c r="B116" s="8">
        <f>'Expenses - Annual'!B116</f>
        <v/>
      </c>
      <c r="C116" s="9">
        <f>'Expenses - Annual'!C116</f>
        <v/>
      </c>
      <c r="D116" s="5">
        <f>'Expenses - Annual'!D116</f>
        <v/>
      </c>
      <c r="E116" s="5">
        <f>'Expenses - Annual'!E116</f>
        <v/>
      </c>
      <c r="F116" s="8">
        <f>'Expenses - Annual'!F116</f>
        <v/>
      </c>
      <c r="G116" s="5">
        <f>'Expenses - Annual'!G116</f>
        <v/>
      </c>
      <c r="H116" s="12">
        <f>IF(OR('Expenses - Annual'!C116="",'Expenses - Annual'!C116=0),"n/a",'Expenses - Annual'!H116/'Expenses - Annual'!C116)</f>
        <v/>
      </c>
      <c r="I116" s="11">
        <f>'Expenses - Annual'!I116</f>
        <v/>
      </c>
    </row>
    <row r="117">
      <c r="A117" s="5">
        <f>'Expenses - Annual'!A117</f>
        <v/>
      </c>
      <c r="B117" s="8">
        <f>'Expenses - Annual'!B117</f>
        <v/>
      </c>
      <c r="C117" s="9">
        <f>'Expenses - Annual'!C117</f>
        <v/>
      </c>
      <c r="D117" s="5">
        <f>'Expenses - Annual'!D117</f>
        <v/>
      </c>
      <c r="E117" s="5">
        <f>'Expenses - Annual'!E117</f>
        <v/>
      </c>
      <c r="F117" s="8">
        <f>'Expenses - Annual'!F117</f>
        <v/>
      </c>
      <c r="G117" s="5">
        <f>'Expenses - Annual'!G117</f>
        <v/>
      </c>
      <c r="H117" s="12">
        <f>IF(OR('Expenses - Annual'!C117="",'Expenses - Annual'!C117=0),"n/a",'Expenses - Annual'!H117/'Expenses - Annual'!C117)</f>
        <v/>
      </c>
      <c r="I117" s="11">
        <f>'Expenses - Annual'!I117</f>
        <v/>
      </c>
    </row>
    <row r="118">
      <c r="A118" s="5">
        <f>'Expenses - Annual'!A118</f>
        <v/>
      </c>
      <c r="B118" s="8">
        <f>'Expenses - Annual'!B118</f>
        <v/>
      </c>
      <c r="C118" s="9">
        <f>'Expenses - Annual'!C118</f>
        <v/>
      </c>
      <c r="D118" s="5">
        <f>'Expenses - Annual'!D118</f>
        <v/>
      </c>
      <c r="E118" s="5">
        <f>'Expenses - Annual'!E118</f>
        <v/>
      </c>
      <c r="F118" s="8">
        <f>'Expenses - Annual'!F118</f>
        <v/>
      </c>
      <c r="G118" s="5">
        <f>'Expenses - Annual'!G118</f>
        <v/>
      </c>
      <c r="H118" s="12">
        <f>IF(OR('Expenses - Annual'!C118="",'Expenses - Annual'!C118=0),"n/a",'Expenses - Annual'!H118/'Expenses - Annual'!C118)</f>
        <v/>
      </c>
      <c r="I118" s="11">
        <f>'Expenses - Annual'!I118</f>
        <v/>
      </c>
    </row>
    <row r="119">
      <c r="A119" s="5">
        <f>'Expenses - Annual'!A119</f>
        <v/>
      </c>
      <c r="B119" s="8">
        <f>'Expenses - Annual'!B119</f>
        <v/>
      </c>
      <c r="C119" s="9">
        <f>'Expenses - Annual'!C119</f>
        <v/>
      </c>
      <c r="D119" s="5">
        <f>'Expenses - Annual'!D119</f>
        <v/>
      </c>
      <c r="E119" s="5">
        <f>'Expenses - Annual'!E119</f>
        <v/>
      </c>
      <c r="F119" s="8">
        <f>'Expenses - Annual'!F119</f>
        <v/>
      </c>
      <c r="G119" s="5">
        <f>'Expenses - Annual'!G119</f>
        <v/>
      </c>
      <c r="H119" s="12">
        <f>IF(OR('Expenses - Annual'!C119="",'Expenses - Annual'!C119=0),"n/a",'Expenses - Annual'!H119/'Expenses - Annual'!C119)</f>
        <v/>
      </c>
      <c r="I119" s="11">
        <f>'Expenses - Annual'!I119</f>
        <v/>
      </c>
    </row>
    <row r="120">
      <c r="A120" s="5">
        <f>'Expenses - Annual'!A120</f>
        <v/>
      </c>
      <c r="B120" s="8">
        <f>'Expenses - Annual'!B120</f>
        <v/>
      </c>
      <c r="C120" s="9">
        <f>'Expenses - Annual'!C120</f>
        <v/>
      </c>
      <c r="D120" s="5">
        <f>'Expenses - Annual'!D120</f>
        <v/>
      </c>
      <c r="E120" s="5">
        <f>'Expenses - Annual'!E120</f>
        <v/>
      </c>
      <c r="F120" s="8">
        <f>'Expenses - Annual'!F120</f>
        <v/>
      </c>
      <c r="G120" s="5">
        <f>'Expenses - Annual'!G120</f>
        <v/>
      </c>
      <c r="H120" s="12">
        <f>IF(OR('Expenses - Annual'!C120="",'Expenses - Annual'!C120=0),"n/a",'Expenses - Annual'!H120/'Expenses - Annual'!C120)</f>
        <v/>
      </c>
      <c r="I120" s="11">
        <f>'Expenses - Annual'!I120</f>
        <v/>
      </c>
    </row>
    <row r="121">
      <c r="A121" s="5">
        <f>'Expenses - Annual'!A121</f>
        <v/>
      </c>
      <c r="B121" s="8">
        <f>'Expenses - Annual'!B121</f>
        <v/>
      </c>
      <c r="C121" s="9">
        <f>'Expenses - Annual'!C121</f>
        <v/>
      </c>
      <c r="D121" s="5">
        <f>'Expenses - Annual'!D121</f>
        <v/>
      </c>
      <c r="E121" s="5">
        <f>'Expenses - Annual'!E121</f>
        <v/>
      </c>
      <c r="F121" s="8">
        <f>'Expenses - Annual'!F121</f>
        <v/>
      </c>
      <c r="G121" s="5">
        <f>'Expenses - Annual'!G121</f>
        <v/>
      </c>
      <c r="H121" s="12">
        <f>IF(OR('Expenses - Annual'!C121="",'Expenses - Annual'!C121=0),"n/a",'Expenses - Annual'!H121/'Expenses - Annual'!C121)</f>
        <v/>
      </c>
      <c r="I121" s="11">
        <f>'Expenses - Annual'!I121</f>
        <v/>
      </c>
    </row>
    <row r="122">
      <c r="A122" s="5">
        <f>'Expenses - Annual'!A122</f>
        <v/>
      </c>
      <c r="B122" s="8">
        <f>'Expenses - Annual'!B122</f>
        <v/>
      </c>
      <c r="C122" s="9">
        <f>'Expenses - Annual'!C122</f>
        <v/>
      </c>
      <c r="D122" s="5">
        <f>'Expenses - Annual'!D122</f>
        <v/>
      </c>
      <c r="E122" s="5">
        <f>'Expenses - Annual'!E122</f>
        <v/>
      </c>
      <c r="F122" s="8">
        <f>'Expenses - Annual'!F122</f>
        <v/>
      </c>
      <c r="G122" s="5">
        <f>'Expenses - Annual'!G122</f>
        <v/>
      </c>
      <c r="H122" s="12">
        <f>IF(OR('Expenses - Annual'!C122="",'Expenses - Annual'!C122=0),"n/a",'Expenses - Annual'!H122/'Expenses - Annual'!C122)</f>
        <v/>
      </c>
      <c r="I122" s="11">
        <f>'Expenses - Annual'!I122</f>
        <v/>
      </c>
    </row>
    <row r="123">
      <c r="A123" s="5">
        <f>'Expenses - Annual'!A123</f>
        <v/>
      </c>
      <c r="B123" s="8">
        <f>'Expenses - Annual'!B123</f>
        <v/>
      </c>
      <c r="C123" s="9">
        <f>'Expenses - Annual'!C123</f>
        <v/>
      </c>
      <c r="D123" s="5">
        <f>'Expenses - Annual'!D123</f>
        <v/>
      </c>
      <c r="E123" s="5">
        <f>'Expenses - Annual'!E123</f>
        <v/>
      </c>
      <c r="F123" s="8">
        <f>'Expenses - Annual'!F123</f>
        <v/>
      </c>
      <c r="G123" s="5">
        <f>'Expenses - Annual'!G123</f>
        <v/>
      </c>
      <c r="H123" s="12">
        <f>IF(OR('Expenses - Annual'!C123="",'Expenses - Annual'!C123=0),"n/a",'Expenses - Annual'!H123/'Expenses - Annual'!C123)</f>
        <v/>
      </c>
      <c r="I123" s="11">
        <f>'Expenses - Annual'!I123</f>
        <v/>
      </c>
    </row>
    <row r="124">
      <c r="A124" s="5">
        <f>'Expenses - Annual'!A124</f>
        <v/>
      </c>
      <c r="B124" s="8">
        <f>'Expenses - Annual'!B124</f>
        <v/>
      </c>
      <c r="C124" s="9">
        <f>'Expenses - Annual'!C124</f>
        <v/>
      </c>
      <c r="D124" s="5">
        <f>'Expenses - Annual'!D124</f>
        <v/>
      </c>
      <c r="E124" s="5">
        <f>'Expenses - Annual'!E124</f>
        <v/>
      </c>
      <c r="F124" s="8">
        <f>'Expenses - Annual'!F124</f>
        <v/>
      </c>
      <c r="G124" s="5">
        <f>'Expenses - Annual'!G124</f>
        <v/>
      </c>
      <c r="H124" s="12">
        <f>IF(OR('Expenses - Annual'!C124="",'Expenses - Annual'!C124=0),"n/a",'Expenses - Annual'!H124/'Expenses - Annual'!C124)</f>
        <v/>
      </c>
      <c r="I124" s="11">
        <f>'Expenses - Annual'!I124</f>
        <v/>
      </c>
    </row>
    <row r="125">
      <c r="A125" s="5">
        <f>'Expenses - Annual'!A125</f>
        <v/>
      </c>
      <c r="B125" s="8">
        <f>'Expenses - Annual'!B125</f>
        <v/>
      </c>
      <c r="C125" s="9">
        <f>'Expenses - Annual'!C125</f>
        <v/>
      </c>
      <c r="D125" s="5">
        <f>'Expenses - Annual'!D125</f>
        <v/>
      </c>
      <c r="E125" s="5">
        <f>'Expenses - Annual'!E125</f>
        <v/>
      </c>
      <c r="F125" s="8">
        <f>'Expenses - Annual'!F125</f>
        <v/>
      </c>
      <c r="G125" s="5">
        <f>'Expenses - Annual'!G125</f>
        <v/>
      </c>
      <c r="H125" s="12">
        <f>IF(OR('Expenses - Annual'!C125="",'Expenses - Annual'!C125=0),"n/a",'Expenses - Annual'!H125/'Expenses - Annual'!C125)</f>
        <v/>
      </c>
      <c r="I125" s="11">
        <f>'Expenses - Annual'!I125</f>
        <v/>
      </c>
    </row>
    <row r="126">
      <c r="A126" s="5">
        <f>'Expenses - Annual'!A126</f>
        <v/>
      </c>
      <c r="B126" s="8">
        <f>'Expenses - Annual'!B126</f>
        <v/>
      </c>
      <c r="C126" s="9">
        <f>'Expenses - Annual'!C126</f>
        <v/>
      </c>
      <c r="D126" s="5">
        <f>'Expenses - Annual'!D126</f>
        <v/>
      </c>
      <c r="E126" s="5">
        <f>'Expenses - Annual'!E126</f>
        <v/>
      </c>
      <c r="F126" s="8">
        <f>'Expenses - Annual'!F126</f>
        <v/>
      </c>
      <c r="G126" s="5">
        <f>'Expenses - Annual'!G126</f>
        <v/>
      </c>
      <c r="H126" s="12">
        <f>IF(OR('Expenses - Annual'!C126="",'Expenses - Annual'!C126=0),"n/a",'Expenses - Annual'!H126/'Expenses - Annual'!C126)</f>
        <v/>
      </c>
      <c r="I126" s="11">
        <f>'Expenses - Annual'!I126</f>
        <v/>
      </c>
    </row>
    <row r="127">
      <c r="A127" s="5">
        <f>'Expenses - Annual'!A127</f>
        <v/>
      </c>
      <c r="B127" s="8">
        <f>'Expenses - Annual'!B127</f>
        <v/>
      </c>
      <c r="C127" s="9">
        <f>'Expenses - Annual'!C127</f>
        <v/>
      </c>
      <c r="D127" s="5">
        <f>'Expenses - Annual'!D127</f>
        <v/>
      </c>
      <c r="E127" s="5">
        <f>'Expenses - Annual'!E127</f>
        <v/>
      </c>
      <c r="F127" s="8">
        <f>'Expenses - Annual'!F127</f>
        <v/>
      </c>
      <c r="G127" s="5">
        <f>'Expenses - Annual'!G127</f>
        <v/>
      </c>
      <c r="H127" s="12">
        <f>IF(OR('Expenses - Annual'!C127="",'Expenses - Annual'!C127=0),"n/a",'Expenses - Annual'!H127/'Expenses - Annual'!C127)</f>
        <v/>
      </c>
      <c r="I127" s="11">
        <f>'Expenses - Annual'!I127</f>
        <v/>
      </c>
    </row>
    <row r="128">
      <c r="A128" s="5">
        <f>'Expenses - Annual'!A128</f>
        <v/>
      </c>
      <c r="B128" s="8">
        <f>'Expenses - Annual'!B128</f>
        <v/>
      </c>
      <c r="C128" s="9">
        <f>'Expenses - Annual'!C128</f>
        <v/>
      </c>
      <c r="D128" s="5">
        <f>'Expenses - Annual'!D128</f>
        <v/>
      </c>
      <c r="E128" s="5">
        <f>'Expenses - Annual'!E128</f>
        <v/>
      </c>
      <c r="F128" s="8">
        <f>'Expenses - Annual'!F128</f>
        <v/>
      </c>
      <c r="G128" s="5">
        <f>'Expenses - Annual'!G128</f>
        <v/>
      </c>
      <c r="H128" s="12">
        <f>IF(OR('Expenses - Annual'!C128="",'Expenses - Annual'!C128=0),"n/a",'Expenses - Annual'!H128/'Expenses - Annual'!C128)</f>
        <v/>
      </c>
      <c r="I128" s="11">
        <f>'Expenses - Annual'!I128</f>
        <v/>
      </c>
    </row>
    <row r="129">
      <c r="A129" s="5">
        <f>'Expenses - Annual'!A129</f>
        <v/>
      </c>
      <c r="B129" s="8">
        <f>'Expenses - Annual'!B129</f>
        <v/>
      </c>
      <c r="C129" s="9">
        <f>'Expenses - Annual'!C129</f>
        <v/>
      </c>
      <c r="D129" s="5">
        <f>'Expenses - Annual'!D129</f>
        <v/>
      </c>
      <c r="E129" s="5">
        <f>'Expenses - Annual'!E129</f>
        <v/>
      </c>
      <c r="F129" s="8">
        <f>'Expenses - Annual'!F129</f>
        <v/>
      </c>
      <c r="G129" s="5">
        <f>'Expenses - Annual'!G129</f>
        <v/>
      </c>
      <c r="H129" s="12">
        <f>IF(OR('Expenses - Annual'!C129="",'Expenses - Annual'!C129=0),"n/a",'Expenses - Annual'!H129/'Expenses - Annual'!C129)</f>
        <v/>
      </c>
      <c r="I129" s="11">
        <f>'Expenses - Annual'!I129</f>
        <v/>
      </c>
    </row>
    <row r="130">
      <c r="A130" s="5">
        <f>'Expenses - Annual'!A130</f>
        <v/>
      </c>
      <c r="B130" s="8">
        <f>'Expenses - Annual'!B130</f>
        <v/>
      </c>
      <c r="C130" s="9">
        <f>'Expenses - Annual'!C130</f>
        <v/>
      </c>
      <c r="D130" s="5">
        <f>'Expenses - Annual'!D130</f>
        <v/>
      </c>
      <c r="E130" s="5">
        <f>'Expenses - Annual'!E130</f>
        <v/>
      </c>
      <c r="F130" s="8">
        <f>'Expenses - Annual'!F130</f>
        <v/>
      </c>
      <c r="G130" s="5">
        <f>'Expenses - Annual'!G130</f>
        <v/>
      </c>
      <c r="H130" s="12">
        <f>IF(OR('Expenses - Annual'!C130="",'Expenses - Annual'!C130=0),"n/a",'Expenses - Annual'!H130/'Expenses - Annual'!C130)</f>
        <v/>
      </c>
      <c r="I130" s="11">
        <f>'Expenses - Annual'!I130</f>
        <v/>
      </c>
    </row>
    <row r="131">
      <c r="A131" s="5">
        <f>'Expenses - Annual'!A131</f>
        <v/>
      </c>
      <c r="B131" s="8">
        <f>'Expenses - Annual'!B131</f>
        <v/>
      </c>
      <c r="C131" s="9">
        <f>'Expenses - Annual'!C131</f>
        <v/>
      </c>
      <c r="D131" s="5">
        <f>'Expenses - Annual'!D131</f>
        <v/>
      </c>
      <c r="E131" s="5">
        <f>'Expenses - Annual'!E131</f>
        <v/>
      </c>
      <c r="F131" s="8">
        <f>'Expenses - Annual'!F131</f>
        <v/>
      </c>
      <c r="G131" s="5">
        <f>'Expenses - Annual'!G131</f>
        <v/>
      </c>
      <c r="H131" s="12">
        <f>IF(OR('Expenses - Annual'!C131="",'Expenses - Annual'!C131=0),"n/a",'Expenses - Annual'!H131/'Expenses - Annual'!C131)</f>
        <v/>
      </c>
      <c r="I131" s="11">
        <f>'Expenses - Annual'!I131</f>
        <v/>
      </c>
    </row>
    <row r="132">
      <c r="A132" s="5">
        <f>'Expenses - Annual'!A132</f>
        <v/>
      </c>
      <c r="B132" s="8">
        <f>'Expenses - Annual'!B132</f>
        <v/>
      </c>
      <c r="C132" s="9">
        <f>'Expenses - Annual'!C132</f>
        <v/>
      </c>
      <c r="D132" s="5">
        <f>'Expenses - Annual'!D132</f>
        <v/>
      </c>
      <c r="E132" s="5">
        <f>'Expenses - Annual'!E132</f>
        <v/>
      </c>
      <c r="F132" s="8">
        <f>'Expenses - Annual'!F132</f>
        <v/>
      </c>
      <c r="G132" s="5">
        <f>'Expenses - Annual'!G132</f>
        <v/>
      </c>
      <c r="H132" s="12">
        <f>IF(OR('Expenses - Annual'!C132="",'Expenses - Annual'!C132=0),"n/a",'Expenses - Annual'!H132/'Expenses - Annual'!C132)</f>
        <v/>
      </c>
      <c r="I132" s="11">
        <f>'Expenses - Annual'!I132</f>
        <v/>
      </c>
    </row>
    <row r="133">
      <c r="A133" s="5">
        <f>'Expenses - Annual'!A133</f>
        <v/>
      </c>
      <c r="B133" s="8">
        <f>'Expenses - Annual'!B133</f>
        <v/>
      </c>
      <c r="C133" s="9">
        <f>'Expenses - Annual'!C133</f>
        <v/>
      </c>
      <c r="D133" s="5">
        <f>'Expenses - Annual'!D133</f>
        <v/>
      </c>
      <c r="E133" s="5">
        <f>'Expenses - Annual'!E133</f>
        <v/>
      </c>
      <c r="F133" s="8">
        <f>'Expenses - Annual'!F133</f>
        <v/>
      </c>
      <c r="G133" s="5">
        <f>'Expenses - Annual'!G133</f>
        <v/>
      </c>
      <c r="H133" s="12">
        <f>IF(OR('Expenses - Annual'!C133="",'Expenses - Annual'!C133=0),"n/a",'Expenses - Annual'!H133/'Expenses - Annual'!C133)</f>
        <v/>
      </c>
      <c r="I133" s="11">
        <f>'Expenses - Annual'!I133</f>
        <v/>
      </c>
    </row>
    <row r="134">
      <c r="A134" s="5">
        <f>'Expenses - Annual'!A134</f>
        <v/>
      </c>
      <c r="B134" s="8">
        <f>'Expenses - Annual'!B134</f>
        <v/>
      </c>
      <c r="C134" s="9">
        <f>'Expenses - Annual'!C134</f>
        <v/>
      </c>
      <c r="D134" s="5">
        <f>'Expenses - Annual'!D134</f>
        <v/>
      </c>
      <c r="E134" s="5">
        <f>'Expenses - Annual'!E134</f>
        <v/>
      </c>
      <c r="F134" s="8">
        <f>'Expenses - Annual'!F134</f>
        <v/>
      </c>
      <c r="G134" s="5">
        <f>'Expenses - Annual'!G134</f>
        <v/>
      </c>
      <c r="H134" s="12">
        <f>IF(OR('Expenses - Annual'!C134="",'Expenses - Annual'!C134=0),"n/a",'Expenses - Annual'!H134/'Expenses - Annual'!C134)</f>
        <v/>
      </c>
      <c r="I134" s="11">
        <f>'Expenses - Annual'!I134</f>
        <v/>
      </c>
    </row>
    <row r="135">
      <c r="A135" s="5">
        <f>'Expenses - Annual'!A135</f>
        <v/>
      </c>
      <c r="B135" s="8">
        <f>'Expenses - Annual'!B135</f>
        <v/>
      </c>
      <c r="C135" s="9">
        <f>'Expenses - Annual'!C135</f>
        <v/>
      </c>
      <c r="D135" s="5">
        <f>'Expenses - Annual'!D135</f>
        <v/>
      </c>
      <c r="E135" s="5">
        <f>'Expenses - Annual'!E135</f>
        <v/>
      </c>
      <c r="F135" s="8">
        <f>'Expenses - Annual'!F135</f>
        <v/>
      </c>
      <c r="G135" s="5">
        <f>'Expenses - Annual'!G135</f>
        <v/>
      </c>
      <c r="H135" s="12">
        <f>IF(OR('Expenses - Annual'!C135="",'Expenses - Annual'!C135=0),"n/a",'Expenses - Annual'!H135/'Expenses - Annual'!C135)</f>
        <v/>
      </c>
      <c r="I135" s="11">
        <f>'Expenses - Annual'!I135</f>
        <v/>
      </c>
    </row>
    <row r="136">
      <c r="A136" s="5">
        <f>'Expenses - Annual'!A136</f>
        <v/>
      </c>
      <c r="B136" s="8">
        <f>'Expenses - Annual'!B136</f>
        <v/>
      </c>
      <c r="C136" s="9">
        <f>'Expenses - Annual'!C136</f>
        <v/>
      </c>
      <c r="D136" s="5">
        <f>'Expenses - Annual'!D136</f>
        <v/>
      </c>
      <c r="E136" s="5">
        <f>'Expenses - Annual'!E136</f>
        <v/>
      </c>
      <c r="F136" s="8">
        <f>'Expenses - Annual'!F136</f>
        <v/>
      </c>
      <c r="G136" s="5">
        <f>'Expenses - Annual'!G136</f>
        <v/>
      </c>
      <c r="H136" s="12">
        <f>IF(OR('Expenses - Annual'!C136="",'Expenses - Annual'!C136=0),"n/a",'Expenses - Annual'!H136/'Expenses - Annual'!C136)</f>
        <v/>
      </c>
      <c r="I136" s="11">
        <f>'Expenses - Annual'!I136</f>
        <v/>
      </c>
    </row>
    <row r="137">
      <c r="A137" s="5">
        <f>'Expenses - Annual'!A137</f>
        <v/>
      </c>
      <c r="B137" s="8">
        <f>'Expenses - Annual'!B137</f>
        <v/>
      </c>
      <c r="C137" s="9">
        <f>'Expenses - Annual'!C137</f>
        <v/>
      </c>
      <c r="D137" s="5">
        <f>'Expenses - Annual'!D137</f>
        <v/>
      </c>
      <c r="E137" s="5">
        <f>'Expenses - Annual'!E137</f>
        <v/>
      </c>
      <c r="F137" s="8">
        <f>'Expenses - Annual'!F137</f>
        <v/>
      </c>
      <c r="G137" s="5">
        <f>'Expenses - Annual'!G137</f>
        <v/>
      </c>
      <c r="H137" s="12">
        <f>IF(OR('Expenses - Annual'!C137="",'Expenses - Annual'!C137=0),"n/a",'Expenses - Annual'!H137/'Expenses - Annual'!C137)</f>
        <v/>
      </c>
      <c r="I137" s="11">
        <f>'Expenses - Annual'!I137</f>
        <v/>
      </c>
    </row>
    <row r="138">
      <c r="A138" s="5">
        <f>'Expenses - Annual'!A138</f>
        <v/>
      </c>
      <c r="B138" s="8">
        <f>'Expenses - Annual'!B138</f>
        <v/>
      </c>
      <c r="C138" s="9">
        <f>'Expenses - Annual'!C138</f>
        <v/>
      </c>
      <c r="D138" s="5">
        <f>'Expenses - Annual'!D138</f>
        <v/>
      </c>
      <c r="E138" s="5">
        <f>'Expenses - Annual'!E138</f>
        <v/>
      </c>
      <c r="F138" s="8">
        <f>'Expenses - Annual'!F138</f>
        <v/>
      </c>
      <c r="G138" s="5">
        <f>'Expenses - Annual'!G138</f>
        <v/>
      </c>
      <c r="H138" s="12">
        <f>IF(OR('Expenses - Annual'!C138="",'Expenses - Annual'!C138=0),"n/a",'Expenses - Annual'!H138/'Expenses - Annual'!C138)</f>
        <v/>
      </c>
      <c r="I138" s="11">
        <f>'Expenses - Annual'!I138</f>
        <v/>
      </c>
    </row>
    <row r="139">
      <c r="A139" s="5">
        <f>'Expenses - Annual'!A139</f>
        <v/>
      </c>
      <c r="B139" s="8">
        <f>'Expenses - Annual'!B139</f>
        <v/>
      </c>
      <c r="C139" s="9">
        <f>'Expenses - Annual'!C139</f>
        <v/>
      </c>
      <c r="D139" s="5">
        <f>'Expenses - Annual'!D139</f>
        <v/>
      </c>
      <c r="E139" s="5">
        <f>'Expenses - Annual'!E139</f>
        <v/>
      </c>
      <c r="F139" s="8">
        <f>'Expenses - Annual'!F139</f>
        <v/>
      </c>
      <c r="G139" s="5">
        <f>'Expenses - Annual'!G139</f>
        <v/>
      </c>
      <c r="H139" s="12">
        <f>IF(OR('Expenses - Annual'!C139="",'Expenses - Annual'!C139=0),"n/a",'Expenses - Annual'!H139/'Expenses - Annual'!C139)</f>
        <v/>
      </c>
      <c r="I139" s="11">
        <f>'Expenses - Annual'!I139</f>
        <v/>
      </c>
    </row>
    <row r="140">
      <c r="A140" s="5">
        <f>'Expenses - Annual'!A140</f>
        <v/>
      </c>
      <c r="B140" s="8">
        <f>'Expenses - Annual'!B140</f>
        <v/>
      </c>
      <c r="C140" s="9">
        <f>'Expenses - Annual'!C140</f>
        <v/>
      </c>
      <c r="D140" s="5">
        <f>'Expenses - Annual'!D140</f>
        <v/>
      </c>
      <c r="E140" s="5">
        <f>'Expenses - Annual'!E140</f>
        <v/>
      </c>
      <c r="F140" s="8">
        <f>'Expenses - Annual'!F140</f>
        <v/>
      </c>
      <c r="G140" s="5">
        <f>'Expenses - Annual'!G140</f>
        <v/>
      </c>
      <c r="H140" s="12">
        <f>IF(OR('Expenses - Annual'!C140="",'Expenses - Annual'!C140=0),"n/a",'Expenses - Annual'!H140/'Expenses - Annual'!C140)</f>
        <v/>
      </c>
      <c r="I140" s="11">
        <f>'Expenses - Annual'!I140</f>
        <v/>
      </c>
    </row>
    <row r="141">
      <c r="A141" s="5">
        <f>'Expenses - Annual'!A141</f>
        <v/>
      </c>
      <c r="B141" s="8">
        <f>'Expenses - Annual'!B141</f>
        <v/>
      </c>
      <c r="C141" s="9">
        <f>'Expenses - Annual'!C141</f>
        <v/>
      </c>
      <c r="D141" s="5">
        <f>'Expenses - Annual'!D141</f>
        <v/>
      </c>
      <c r="E141" s="5">
        <f>'Expenses - Annual'!E141</f>
        <v/>
      </c>
      <c r="F141" s="8">
        <f>'Expenses - Annual'!F141</f>
        <v/>
      </c>
      <c r="G141" s="5">
        <f>'Expenses - Annual'!G141</f>
        <v/>
      </c>
      <c r="H141" s="12">
        <f>IF(OR('Expenses - Annual'!C141="",'Expenses - Annual'!C141=0),"n/a",'Expenses - Annual'!H141/'Expenses - Annual'!C141)</f>
        <v/>
      </c>
      <c r="I141" s="11">
        <f>'Expenses - Annual'!I141</f>
        <v/>
      </c>
    </row>
    <row r="142">
      <c r="A142" s="5">
        <f>'Expenses - Annual'!A142</f>
        <v/>
      </c>
      <c r="B142" s="8">
        <f>'Expenses - Annual'!B142</f>
        <v/>
      </c>
      <c r="C142" s="9">
        <f>'Expenses - Annual'!C142</f>
        <v/>
      </c>
      <c r="D142" s="5">
        <f>'Expenses - Annual'!D142</f>
        <v/>
      </c>
      <c r="E142" s="5">
        <f>'Expenses - Annual'!E142</f>
        <v/>
      </c>
      <c r="F142" s="8">
        <f>'Expenses - Annual'!F142</f>
        <v/>
      </c>
      <c r="G142" s="5">
        <f>'Expenses - Annual'!G142</f>
        <v/>
      </c>
      <c r="H142" s="12">
        <f>IF(OR('Expenses - Annual'!C142="",'Expenses - Annual'!C142=0),"n/a",'Expenses - Annual'!H142/'Expenses - Annual'!C142)</f>
        <v/>
      </c>
      <c r="I142" s="11">
        <f>'Expenses - Annual'!I142</f>
        <v/>
      </c>
    </row>
    <row r="143">
      <c r="A143" s="5">
        <f>'Expenses - Annual'!A143</f>
        <v/>
      </c>
      <c r="B143" s="8">
        <f>'Expenses - Annual'!B143</f>
        <v/>
      </c>
      <c r="C143" s="9">
        <f>'Expenses - Annual'!C143</f>
        <v/>
      </c>
      <c r="D143" s="5">
        <f>'Expenses - Annual'!D143</f>
        <v/>
      </c>
      <c r="E143" s="5">
        <f>'Expenses - Annual'!E143</f>
        <v/>
      </c>
      <c r="F143" s="8">
        <f>'Expenses - Annual'!F143</f>
        <v/>
      </c>
      <c r="G143" s="5">
        <f>'Expenses - Annual'!G143</f>
        <v/>
      </c>
      <c r="H143" s="12">
        <f>IF(OR('Expenses - Annual'!C143="",'Expenses - Annual'!C143=0),"n/a",'Expenses - Annual'!H143/'Expenses - Annual'!C143)</f>
        <v/>
      </c>
      <c r="I143" s="11">
        <f>'Expenses - Annual'!I143</f>
        <v/>
      </c>
    </row>
    <row r="144">
      <c r="A144" s="5">
        <f>'Expenses - Annual'!A144</f>
        <v/>
      </c>
      <c r="B144" s="8">
        <f>'Expenses - Annual'!B144</f>
        <v/>
      </c>
      <c r="C144" s="9">
        <f>'Expenses - Annual'!C144</f>
        <v/>
      </c>
      <c r="D144" s="5">
        <f>'Expenses - Annual'!D144</f>
        <v/>
      </c>
      <c r="E144" s="5">
        <f>'Expenses - Annual'!E144</f>
        <v/>
      </c>
      <c r="F144" s="8">
        <f>'Expenses - Annual'!F144</f>
        <v/>
      </c>
      <c r="G144" s="5">
        <f>'Expenses - Annual'!G144</f>
        <v/>
      </c>
      <c r="H144" s="12">
        <f>IF(OR('Expenses - Annual'!C144="",'Expenses - Annual'!C144=0),"n/a",'Expenses - Annual'!H144/'Expenses - Annual'!C144)</f>
        <v/>
      </c>
      <c r="I144" s="11">
        <f>'Expenses - Annual'!I144</f>
        <v/>
      </c>
    </row>
    <row r="145">
      <c r="A145" s="5">
        <f>'Expenses - Annual'!A145</f>
        <v/>
      </c>
      <c r="B145" s="8">
        <f>'Expenses - Annual'!B145</f>
        <v/>
      </c>
      <c r="C145" s="9">
        <f>'Expenses - Annual'!C145</f>
        <v/>
      </c>
      <c r="D145" s="5">
        <f>'Expenses - Annual'!D145</f>
        <v/>
      </c>
      <c r="E145" s="5">
        <f>'Expenses - Annual'!E145</f>
        <v/>
      </c>
      <c r="F145" s="8">
        <f>'Expenses - Annual'!F145</f>
        <v/>
      </c>
      <c r="G145" s="5">
        <f>'Expenses - Annual'!G145</f>
        <v/>
      </c>
      <c r="H145" s="12">
        <f>IF(OR('Expenses - Annual'!C145="",'Expenses - Annual'!C145=0),"n/a",'Expenses - Annual'!H145/'Expenses - Annual'!C145)</f>
        <v/>
      </c>
      <c r="I145" s="11">
        <f>'Expenses - Annual'!I145</f>
        <v/>
      </c>
    </row>
    <row r="146">
      <c r="A146" s="5">
        <f>'Expenses - Annual'!A146</f>
        <v/>
      </c>
      <c r="B146" s="8">
        <f>'Expenses - Annual'!B146</f>
        <v/>
      </c>
      <c r="C146" s="9">
        <f>'Expenses - Annual'!C146</f>
        <v/>
      </c>
      <c r="D146" s="5">
        <f>'Expenses - Annual'!D146</f>
        <v/>
      </c>
      <c r="E146" s="5">
        <f>'Expenses - Annual'!E146</f>
        <v/>
      </c>
      <c r="F146" s="8">
        <f>'Expenses - Annual'!F146</f>
        <v/>
      </c>
      <c r="G146" s="5">
        <f>'Expenses - Annual'!G146</f>
        <v/>
      </c>
      <c r="H146" s="12">
        <f>IF(OR('Expenses - Annual'!C146="",'Expenses - Annual'!C146=0),"n/a",'Expenses - Annual'!H146/'Expenses - Annual'!C146)</f>
        <v/>
      </c>
      <c r="I146" s="11">
        <f>'Expenses - Annual'!I146</f>
        <v/>
      </c>
    </row>
    <row r="147">
      <c r="A147" s="5">
        <f>'Expenses - Annual'!A147</f>
        <v/>
      </c>
      <c r="B147" s="8">
        <f>'Expenses - Annual'!B147</f>
        <v/>
      </c>
      <c r="C147" s="9">
        <f>'Expenses - Annual'!C147</f>
        <v/>
      </c>
      <c r="D147" s="5">
        <f>'Expenses - Annual'!D147</f>
        <v/>
      </c>
      <c r="E147" s="5">
        <f>'Expenses - Annual'!E147</f>
        <v/>
      </c>
      <c r="F147" s="8">
        <f>'Expenses - Annual'!F147</f>
        <v/>
      </c>
      <c r="G147" s="5">
        <f>'Expenses - Annual'!G147</f>
        <v/>
      </c>
      <c r="H147" s="12">
        <f>IF(OR('Expenses - Annual'!C147="",'Expenses - Annual'!C147=0),"n/a",'Expenses - Annual'!H147/'Expenses - Annual'!C147)</f>
        <v/>
      </c>
      <c r="I147" s="11">
        <f>'Expenses - Annual'!I147</f>
        <v/>
      </c>
    </row>
    <row r="148">
      <c r="A148" s="5">
        <f>'Expenses - Annual'!A148</f>
        <v/>
      </c>
      <c r="B148" s="8">
        <f>'Expenses - Annual'!B148</f>
        <v/>
      </c>
      <c r="C148" s="9">
        <f>'Expenses - Annual'!C148</f>
        <v/>
      </c>
      <c r="D148" s="5">
        <f>'Expenses - Annual'!D148</f>
        <v/>
      </c>
      <c r="E148" s="5">
        <f>'Expenses - Annual'!E148</f>
        <v/>
      </c>
      <c r="F148" s="8">
        <f>'Expenses - Annual'!F148</f>
        <v/>
      </c>
      <c r="G148" s="5">
        <f>'Expenses - Annual'!G148</f>
        <v/>
      </c>
      <c r="H148" s="12">
        <f>IF(OR('Expenses - Annual'!C148="",'Expenses - Annual'!C148=0),"n/a",'Expenses - Annual'!H148/'Expenses - Annual'!C148)</f>
        <v/>
      </c>
      <c r="I148" s="11">
        <f>'Expenses - Annual'!I148</f>
        <v/>
      </c>
    </row>
    <row r="149">
      <c r="A149" s="5">
        <f>'Expenses - Annual'!A149</f>
        <v/>
      </c>
      <c r="B149" s="8">
        <f>'Expenses - Annual'!B149</f>
        <v/>
      </c>
      <c r="C149" s="9">
        <f>'Expenses - Annual'!C149</f>
        <v/>
      </c>
      <c r="D149" s="5">
        <f>'Expenses - Annual'!D149</f>
        <v/>
      </c>
      <c r="E149" s="5">
        <f>'Expenses - Annual'!E149</f>
        <v/>
      </c>
      <c r="F149" s="8">
        <f>'Expenses - Annual'!F149</f>
        <v/>
      </c>
      <c r="G149" s="5">
        <f>'Expenses - Annual'!G149</f>
        <v/>
      </c>
      <c r="H149" s="12">
        <f>IF(OR('Expenses - Annual'!C149="",'Expenses - Annual'!C149=0),"n/a",'Expenses - Annual'!H149/'Expenses - Annual'!C149)</f>
        <v/>
      </c>
      <c r="I149" s="11">
        <f>'Expenses - Annual'!I149</f>
        <v/>
      </c>
    </row>
    <row r="150">
      <c r="A150" s="5">
        <f>'Expenses - Annual'!A150</f>
        <v/>
      </c>
      <c r="B150" s="8">
        <f>'Expenses - Annual'!B150</f>
        <v/>
      </c>
      <c r="C150" s="9">
        <f>'Expenses - Annual'!C150</f>
        <v/>
      </c>
      <c r="D150" s="5">
        <f>'Expenses - Annual'!D150</f>
        <v/>
      </c>
      <c r="E150" s="5">
        <f>'Expenses - Annual'!E150</f>
        <v/>
      </c>
      <c r="F150" s="8">
        <f>'Expenses - Annual'!F150</f>
        <v/>
      </c>
      <c r="G150" s="5">
        <f>'Expenses - Annual'!G150</f>
        <v/>
      </c>
      <c r="H150" s="12">
        <f>IF(OR('Expenses - Annual'!C150="",'Expenses - Annual'!C150=0),"n/a",'Expenses - Annual'!H150/'Expenses - Annual'!C150)</f>
        <v/>
      </c>
      <c r="I150" s="11">
        <f>'Expenses - Annual'!I150</f>
        <v/>
      </c>
    </row>
    <row r="151">
      <c r="A151" s="5">
        <f>'Expenses - Annual'!A151</f>
        <v/>
      </c>
      <c r="B151" s="8">
        <f>'Expenses - Annual'!B151</f>
        <v/>
      </c>
      <c r="C151" s="9">
        <f>'Expenses - Annual'!C151</f>
        <v/>
      </c>
      <c r="D151" s="5">
        <f>'Expenses - Annual'!D151</f>
        <v/>
      </c>
      <c r="E151" s="5">
        <f>'Expenses - Annual'!E151</f>
        <v/>
      </c>
      <c r="F151" s="8">
        <f>'Expenses - Annual'!F151</f>
        <v/>
      </c>
      <c r="G151" s="5">
        <f>'Expenses - Annual'!G151</f>
        <v/>
      </c>
      <c r="H151" s="12">
        <f>IF(OR('Expenses - Annual'!C151="",'Expenses - Annual'!C151=0),"n/a",'Expenses - Annual'!H151/'Expenses - Annual'!C151)</f>
        <v/>
      </c>
      <c r="I151" s="11">
        <f>'Expenses - Annual'!I151</f>
        <v/>
      </c>
    </row>
    <row r="152">
      <c r="A152" s="5">
        <f>'Expenses - Annual'!A152</f>
        <v/>
      </c>
      <c r="B152" s="8">
        <f>'Expenses - Annual'!B152</f>
        <v/>
      </c>
      <c r="C152" s="9">
        <f>'Expenses - Annual'!C152</f>
        <v/>
      </c>
      <c r="D152" s="5">
        <f>'Expenses - Annual'!D152</f>
        <v/>
      </c>
      <c r="E152" s="5">
        <f>'Expenses - Annual'!E152</f>
        <v/>
      </c>
      <c r="F152" s="8">
        <f>'Expenses - Annual'!F152</f>
        <v/>
      </c>
      <c r="G152" s="5">
        <f>'Expenses - Annual'!G152</f>
        <v/>
      </c>
      <c r="H152" s="12">
        <f>IF(OR('Expenses - Annual'!C152="",'Expenses - Annual'!C152=0),"n/a",'Expenses - Annual'!H152/'Expenses - Annual'!C152)</f>
        <v/>
      </c>
      <c r="I152" s="11">
        <f>'Expenses - Annual'!I152</f>
        <v/>
      </c>
    </row>
    <row r="153">
      <c r="A153" s="5">
        <f>'Expenses - Annual'!A153</f>
        <v/>
      </c>
      <c r="B153" s="8">
        <f>'Expenses - Annual'!B153</f>
        <v/>
      </c>
      <c r="C153" s="9">
        <f>'Expenses - Annual'!C153</f>
        <v/>
      </c>
      <c r="D153" s="5">
        <f>'Expenses - Annual'!D153</f>
        <v/>
      </c>
      <c r="E153" s="5">
        <f>'Expenses - Annual'!E153</f>
        <v/>
      </c>
      <c r="F153" s="8">
        <f>'Expenses - Annual'!F153</f>
        <v/>
      </c>
      <c r="G153" s="5">
        <f>'Expenses - Annual'!G153</f>
        <v/>
      </c>
      <c r="H153" s="12">
        <f>IF(OR('Expenses - Annual'!C153="",'Expenses - Annual'!C153=0),"n/a",'Expenses - Annual'!H153/'Expenses - Annual'!C153)</f>
        <v/>
      </c>
      <c r="I153" s="11">
        <f>'Expenses - Annual'!I153</f>
        <v/>
      </c>
    </row>
    <row r="154">
      <c r="A154" s="5">
        <f>'Expenses - Annual'!A154</f>
        <v/>
      </c>
      <c r="B154" s="8">
        <f>'Expenses - Annual'!B154</f>
        <v/>
      </c>
      <c r="C154" s="9">
        <f>'Expenses - Annual'!C154</f>
        <v/>
      </c>
      <c r="D154" s="5">
        <f>'Expenses - Annual'!D154</f>
        <v/>
      </c>
      <c r="E154" s="5">
        <f>'Expenses - Annual'!E154</f>
        <v/>
      </c>
      <c r="F154" s="8">
        <f>'Expenses - Annual'!F154</f>
        <v/>
      </c>
      <c r="G154" s="5">
        <f>'Expenses - Annual'!G154</f>
        <v/>
      </c>
      <c r="H154" s="12">
        <f>IF(OR('Expenses - Annual'!C154="",'Expenses - Annual'!C154=0),"n/a",'Expenses - Annual'!H154/'Expenses - Annual'!C154)</f>
        <v/>
      </c>
      <c r="I154" s="11">
        <f>'Expenses - Annual'!I154</f>
        <v/>
      </c>
    </row>
    <row r="155">
      <c r="A155" s="5">
        <f>'Expenses - Annual'!A155</f>
        <v/>
      </c>
      <c r="B155" s="8">
        <f>'Expenses - Annual'!B155</f>
        <v/>
      </c>
      <c r="C155" s="9">
        <f>'Expenses - Annual'!C155</f>
        <v/>
      </c>
      <c r="D155" s="5">
        <f>'Expenses - Annual'!D155</f>
        <v/>
      </c>
      <c r="E155" s="5">
        <f>'Expenses - Annual'!E155</f>
        <v/>
      </c>
      <c r="F155" s="8">
        <f>'Expenses - Annual'!F155</f>
        <v/>
      </c>
      <c r="G155" s="5">
        <f>'Expenses - Annual'!G155</f>
        <v/>
      </c>
      <c r="H155" s="12">
        <f>IF(OR('Expenses - Annual'!C155="",'Expenses - Annual'!C155=0),"n/a",'Expenses - Annual'!H155/'Expenses - Annual'!C155)</f>
        <v/>
      </c>
      <c r="I155" s="11">
        <f>'Expenses - Annual'!I155</f>
        <v/>
      </c>
    </row>
    <row r="156">
      <c r="A156" s="5">
        <f>'Expenses - Annual'!A156</f>
        <v/>
      </c>
      <c r="B156" s="8">
        <f>'Expenses - Annual'!B156</f>
        <v/>
      </c>
      <c r="C156" s="9">
        <f>'Expenses - Annual'!C156</f>
        <v/>
      </c>
      <c r="D156" s="5">
        <f>'Expenses - Annual'!D156</f>
        <v/>
      </c>
      <c r="E156" s="5">
        <f>'Expenses - Annual'!E156</f>
        <v/>
      </c>
      <c r="F156" s="8">
        <f>'Expenses - Annual'!F156</f>
        <v/>
      </c>
      <c r="G156" s="5">
        <f>'Expenses - Annual'!G156</f>
        <v/>
      </c>
      <c r="H156" s="12">
        <f>IF(OR('Expenses - Annual'!C156="",'Expenses - Annual'!C156=0),"n/a",'Expenses - Annual'!H156/'Expenses - Annual'!C156)</f>
        <v/>
      </c>
      <c r="I156" s="11">
        <f>'Expenses - Annual'!I156</f>
        <v/>
      </c>
    </row>
    <row r="157">
      <c r="A157" s="5">
        <f>'Expenses - Annual'!A157</f>
        <v/>
      </c>
      <c r="B157" s="8">
        <f>'Expenses - Annual'!B157</f>
        <v/>
      </c>
      <c r="C157" s="9">
        <f>'Expenses - Annual'!C157</f>
        <v/>
      </c>
      <c r="D157" s="5">
        <f>'Expenses - Annual'!D157</f>
        <v/>
      </c>
      <c r="E157" s="5">
        <f>'Expenses - Annual'!E157</f>
        <v/>
      </c>
      <c r="F157" s="8">
        <f>'Expenses - Annual'!F157</f>
        <v/>
      </c>
      <c r="G157" s="5">
        <f>'Expenses - Annual'!G157</f>
        <v/>
      </c>
      <c r="H157" s="12">
        <f>IF(OR('Expenses - Annual'!C157="",'Expenses - Annual'!C157=0),"n/a",'Expenses - Annual'!H157/'Expenses - Annual'!C157)</f>
        <v/>
      </c>
      <c r="I157" s="11">
        <f>'Expenses - Annual'!I157</f>
        <v/>
      </c>
    </row>
    <row r="158">
      <c r="A158" s="5">
        <f>'Expenses - Annual'!A158</f>
        <v/>
      </c>
      <c r="B158" s="8">
        <f>'Expenses - Annual'!B158</f>
        <v/>
      </c>
      <c r="C158" s="9">
        <f>'Expenses - Annual'!C158</f>
        <v/>
      </c>
      <c r="D158" s="5">
        <f>'Expenses - Annual'!D158</f>
        <v/>
      </c>
      <c r="E158" s="5">
        <f>'Expenses - Annual'!E158</f>
        <v/>
      </c>
      <c r="F158" s="8">
        <f>'Expenses - Annual'!F158</f>
        <v/>
      </c>
      <c r="G158" s="5">
        <f>'Expenses - Annual'!G158</f>
        <v/>
      </c>
      <c r="H158" s="12">
        <f>IF(OR('Expenses - Annual'!C158="",'Expenses - Annual'!C158=0),"n/a",'Expenses - Annual'!H158/'Expenses - Annual'!C158)</f>
        <v/>
      </c>
      <c r="I158" s="11">
        <f>'Expenses - Annual'!I158</f>
        <v/>
      </c>
    </row>
    <row r="159">
      <c r="A159" s="5">
        <f>'Expenses - Annual'!A159</f>
        <v/>
      </c>
      <c r="B159" s="8">
        <f>'Expenses - Annual'!B159</f>
        <v/>
      </c>
      <c r="C159" s="9">
        <f>'Expenses - Annual'!C159</f>
        <v/>
      </c>
      <c r="D159" s="5">
        <f>'Expenses - Annual'!D159</f>
        <v/>
      </c>
      <c r="E159" s="5">
        <f>'Expenses - Annual'!E159</f>
        <v/>
      </c>
      <c r="F159" s="8">
        <f>'Expenses - Annual'!F159</f>
        <v/>
      </c>
      <c r="G159" s="5">
        <f>'Expenses - Annual'!G159</f>
        <v/>
      </c>
      <c r="H159" s="12">
        <f>IF(OR('Expenses - Annual'!C159="",'Expenses - Annual'!C159=0),"n/a",'Expenses - Annual'!H159/'Expenses - Annual'!C159)</f>
        <v/>
      </c>
      <c r="I159" s="11">
        <f>'Expenses - Annual'!I159</f>
        <v/>
      </c>
    </row>
    <row r="160">
      <c r="A160" s="5">
        <f>'Expenses - Annual'!A160</f>
        <v/>
      </c>
      <c r="B160" s="8">
        <f>'Expenses - Annual'!B160</f>
        <v/>
      </c>
      <c r="C160" s="9">
        <f>'Expenses - Annual'!C160</f>
        <v/>
      </c>
      <c r="D160" s="5">
        <f>'Expenses - Annual'!D160</f>
        <v/>
      </c>
      <c r="E160" s="5">
        <f>'Expenses - Annual'!E160</f>
        <v/>
      </c>
      <c r="F160" s="8">
        <f>'Expenses - Annual'!F160</f>
        <v/>
      </c>
      <c r="G160" s="5">
        <f>'Expenses - Annual'!G160</f>
        <v/>
      </c>
      <c r="H160" s="12">
        <f>IF(OR('Expenses - Annual'!C160="",'Expenses - Annual'!C160=0),"n/a",'Expenses - Annual'!H160/'Expenses - Annual'!C160)</f>
        <v/>
      </c>
      <c r="I160" s="11">
        <f>'Expenses - Annual'!I160</f>
        <v/>
      </c>
    </row>
    <row r="161">
      <c r="A161" s="5">
        <f>'Expenses - Annual'!A161</f>
        <v/>
      </c>
      <c r="B161" s="8">
        <f>'Expenses - Annual'!B161</f>
        <v/>
      </c>
      <c r="C161" s="9">
        <f>'Expenses - Annual'!C161</f>
        <v/>
      </c>
      <c r="D161" s="5">
        <f>'Expenses - Annual'!D161</f>
        <v/>
      </c>
      <c r="E161" s="5">
        <f>'Expenses - Annual'!E161</f>
        <v/>
      </c>
      <c r="F161" s="8">
        <f>'Expenses - Annual'!F161</f>
        <v/>
      </c>
      <c r="G161" s="5">
        <f>'Expenses - Annual'!G161</f>
        <v/>
      </c>
      <c r="H161" s="12">
        <f>IF(OR('Expenses - Annual'!C161="",'Expenses - Annual'!C161=0),"n/a",'Expenses - Annual'!H161/'Expenses - Annual'!C161)</f>
        <v/>
      </c>
      <c r="I161" s="11">
        <f>'Expenses - Annual'!I161</f>
        <v/>
      </c>
    </row>
    <row r="162">
      <c r="A162" s="5">
        <f>'Expenses - Annual'!A162</f>
        <v/>
      </c>
      <c r="B162" s="8">
        <f>'Expenses - Annual'!B162</f>
        <v/>
      </c>
      <c r="C162" s="9">
        <f>'Expenses - Annual'!C162</f>
        <v/>
      </c>
      <c r="D162" s="5">
        <f>'Expenses - Annual'!D162</f>
        <v/>
      </c>
      <c r="E162" s="5">
        <f>'Expenses - Annual'!E162</f>
        <v/>
      </c>
      <c r="F162" s="8">
        <f>'Expenses - Annual'!F162</f>
        <v/>
      </c>
      <c r="G162" s="5">
        <f>'Expenses - Annual'!G162</f>
        <v/>
      </c>
      <c r="H162" s="12">
        <f>IF(OR('Expenses - Annual'!C162="",'Expenses - Annual'!C162=0),"n/a",'Expenses - Annual'!H162/'Expenses - Annual'!C162)</f>
        <v/>
      </c>
      <c r="I162" s="11">
        <f>'Expenses - Annual'!I162</f>
        <v/>
      </c>
    </row>
    <row r="163">
      <c r="A163" s="5">
        <f>'Expenses - Annual'!A163</f>
        <v/>
      </c>
      <c r="B163" s="8">
        <f>'Expenses - Annual'!B163</f>
        <v/>
      </c>
      <c r="C163" s="9">
        <f>'Expenses - Annual'!C163</f>
        <v/>
      </c>
      <c r="D163" s="5">
        <f>'Expenses - Annual'!D163</f>
        <v/>
      </c>
      <c r="E163" s="5">
        <f>'Expenses - Annual'!E163</f>
        <v/>
      </c>
      <c r="F163" s="8">
        <f>'Expenses - Annual'!F163</f>
        <v/>
      </c>
      <c r="G163" s="5">
        <f>'Expenses - Annual'!G163</f>
        <v/>
      </c>
      <c r="H163" s="12">
        <f>IF(OR('Expenses - Annual'!C163="",'Expenses - Annual'!C163=0),"n/a",'Expenses - Annual'!H163/'Expenses - Annual'!C163)</f>
        <v/>
      </c>
      <c r="I163" s="11">
        <f>'Expenses - Annual'!I163</f>
        <v/>
      </c>
    </row>
  </sheetData>
  <autoFilter ref="A4:I163"/>
  <mergeCells count="2">
    <mergeCell ref="A1:I1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2026-09-03T17:28:45Z</dcterms:created>
  <dcterms:modified xsi:type="dcterms:W3CDTF">2026-09-03T17:28:45Z</dcterms:modified>
</cp:coreProperties>
</file>