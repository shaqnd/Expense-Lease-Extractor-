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#"/>
    <numFmt numFmtId="165" formatCode="$#,##0;($#,##0);-"/>
    <numFmt numFmtId="166" formatCode="$#,##0.00"/>
    <numFmt numFmtId="167" formatCode="$#,##0.00;($#,##0.00);-"/>
    <numFmt numFmtId="168" formatCode="$#,##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  <font>
      <name val="Arial"/>
      <color rgb="0080808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3" fontId="5" fillId="0" borderId="0" applyAlignment="1" pivotButton="0" quotePrefix="0" xfId="0">
      <alignment vertical="top"/>
    </xf>
    <xf numFmtId="168" fontId="5" fillId="0" borderId="0" applyAlignment="1" pivotButton="0" quotePrefix="0" xfId="0">
      <alignment vertical="top"/>
    </xf>
    <xf numFmtId="0" fontId="7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7" fillId="5" borderId="0" applyAlignment="1" pivotButton="0" quotePrefix="0" xfId="0">
      <alignment vertical="top"/>
    </xf>
    <xf numFmtId="166" fontId="7" fillId="5" borderId="0" applyAlignment="1" pivotButton="0" quotePrefix="0" xfId="0">
      <alignment vertical="top"/>
    </xf>
    <xf numFmtId="168" fontId="7" fillId="5" borderId="0" applyAlignment="1" pivotButton="0" quotePrefix="0" xfId="0">
      <alignment vertical="top"/>
    </xf>
    <xf numFmtId="166" fontId="5" fillId="0" borderId="0" applyAlignment="1" pivotButton="0" quotePrefix="0" xfId="0">
      <alignment vertical="top"/>
    </xf>
    <xf numFmtId="0" fontId="7" fillId="0" borderId="0" pivotButton="0" quotePrefix="0" xfId="0"/>
    <xf numFmtId="168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2026-07-30  |  8 subject properties, all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5">
      <c r="A15" s="32" t="n">
        <v>10</v>
      </c>
      <c r="B15" s="32" t="inlineStr">
        <is>
          <t>R0180834_584_Mega_or_447_Cold_Storage_rent_roll_and_income_statement.pdf</t>
        </is>
      </c>
      <c r="C15" s="32" t="inlineStr">
        <is>
          <t>Rent roll + income statement (accrual)</t>
        </is>
      </c>
      <c r="D15" s="32" t="inlineStr">
        <is>
          <t>Denver Distribution Center (ct912501) — 553,757 SF</t>
        </is>
      </c>
      <c r="E15" s="32" t="inlineStr">
        <is>
          <t>RR as of 01/01/2025; IS Dec-2024 YTD</t>
        </is>
      </c>
      <c r="F15" s="32" t="inlineStr">
        <is>
          <t>Owner/manager report (Yardi "ysi_is" tree); printed 06/05/2025</t>
        </is>
      </c>
    </row>
    <row r="16" ht="26" customHeight="1">
      <c r="A16" s="32" t="n">
        <v>11</v>
      </c>
      <c r="B16" s="32" t="inlineStr">
        <is>
          <t>R0212546_PL_Showing_8.07PSF_Mega_on_absolute_net_lease_1983_YOC.pdf</t>
        </is>
      </c>
      <c r="C16" s="32" t="inlineStr">
        <is>
          <t>Profit &amp; Loss, 2 years (accrual)</t>
        </is>
      </c>
      <c r="D16" s="32" t="inlineStr">
        <is>
          <t>2780 North Tower Road, LLC — 377,729 SF</t>
        </is>
      </c>
      <c r="E16" s="32" t="inlineStr">
        <is>
          <t>FY2024 &amp; FY2023</t>
        </is>
      </c>
      <c r="F16" s="32" t="inlineStr">
        <is>
          <t>Owner (QuickBooks); printed 03/17/2025 — Petitioner's Exhibit G</t>
        </is>
      </c>
    </row>
    <row r="17" ht="26" customHeight="1">
      <c r="A17" s="32" t="n">
        <v>12</v>
      </c>
      <c r="B17" s="32" t="inlineStr">
        <is>
          <t>R0212546_2023_and_2024_Operating_Income_statement_showing_8PSF_for_377729_single_tenant_mega_built_1983_on_larger_lot.pdf</t>
        </is>
      </c>
      <c r="C17" s="32" t="inlineStr">
        <is>
          <t>Profit &amp; Loss, 2 years (accrual)</t>
        </is>
      </c>
      <c r="D17" s="32" t="inlineStr">
        <is>
          <t>2780 North Tower Road, LLC — 377,729 SF</t>
        </is>
      </c>
      <c r="E17" s="32" t="inlineStr">
        <is>
          <t>FY2024 &amp; FY2023</t>
        </is>
      </c>
      <c r="F17" s="32" t="inlineStr">
        <is>
          <t>Same P&amp;L as doc #11 — duplicate content, different file</t>
        </is>
      </c>
    </row>
    <row r="18" ht="26" customHeight="1">
      <c r="A18" s="32" t="n">
        <v>13</v>
      </c>
      <c r="B18" s="32" t="inlineStr">
        <is>
          <t>R0083953_200000_SF_1985_YOC_Mega_Rent_Roll_20212024.pdf</t>
        </is>
      </c>
      <c r="C18" s="32" t="inlineStr">
        <is>
          <t>Commercial rent rolls, 4 dates</t>
        </is>
      </c>
      <c r="D18" s="32" t="inlineStr">
        <is>
          <t>Majestic Commercenter / WPC ABC LLC — 20901 E. 32nd Pkwy</t>
        </is>
      </c>
      <c r="E18" s="32" t="inlineStr">
        <is>
          <t>06/2021, 06/2022, 01/2023, 06/2024</t>
        </is>
      </c>
      <c r="F18" s="32" t="inlineStr">
        <is>
          <t>Colliers International (users David, Andy, Jean)</t>
        </is>
      </c>
    </row>
    <row r="19">
      <c r="A19" s="32" t="n">
        <v>14</v>
      </c>
      <c r="B19" s="32" t="inlineStr">
        <is>
          <t>R0083953_200000_SF_1985_YOC_Mega_Operating_Income_Statement.pdf</t>
        </is>
      </c>
      <c r="C19" s="32" t="inlineStr">
        <is>
          <t>Income statements + budget/variance</t>
        </is>
      </c>
      <c r="D19" s="32" t="inlineStr">
        <is>
          <t>Majestic Commercenter / WPC ABC LLC — 20901 E. 32nd Pkwy</t>
        </is>
      </c>
      <c r="E19" s="32" t="inlineStr">
        <is>
          <t>FY2024, FY2023, FY2022</t>
        </is>
      </c>
      <c r="F19" s="32" t="inlineStr">
        <is>
          <t>Property manager (Colliers) operating statements</t>
        </is>
      </c>
    </row>
    <row r="20"/>
    <row r="21">
      <c r="A21" s="7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22">
      <c r="A22" s="7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23">
      <c r="A23" s="7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  <row r="24">
      <c r="A24" s="33" t="inlineStr">
        <is>
          <t>R0083953 rent roll: the 6/30/2024 recap page shows Peco Pallet (455-C-CU) expiring 3/31/2030 while the Colliers rent roll for the same date shows 3/31/2025; both dates are reproduced as printed. Docs #11 and #12 are byte-different files with identical content (same P&amp;L), so FY2024/FY2023 for 2780 N. Tower Rd is entered once. No assessor or petitioner opinion of value appears in any of these five documents, so no rows were added to 'Assessments &amp; Valuation'.</t>
        </is>
      </c>
    </row>
  </sheetData>
  <mergeCells count="6">
    <mergeCell ref="A24:F24"/>
    <mergeCell ref="A2:F2"/>
    <mergeCell ref="A1:F1"/>
    <mergeCell ref="A23:F23"/>
    <mergeCell ref="A22:F22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6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  <row r="13">
      <c r="A13" s="32" t="inlineStr">
        <is>
          <t>R0180834</t>
        </is>
      </c>
      <c r="B13" s="32" t="inlineStr">
        <is>
          <t>R0180834</t>
        </is>
      </c>
      <c r="C13" s="32" t="inlineStr">
        <is>
          <t>—</t>
        </is>
      </c>
      <c r="D13" s="32" t="inlineStr">
        <is>
          <t>Denver Distribution Center (ct912501)</t>
        </is>
      </c>
      <c r="E13" s="32" t="inlineStr">
        <is>
          <t>—  (not stated in document)</t>
        </is>
      </c>
      <c r="F13" s="32" t="inlineStr">
        <is>
          <t>—</t>
        </is>
      </c>
      <c r="G13" s="32" t="inlineStr">
        <is>
          <t>CO</t>
        </is>
      </c>
      <c r="H13" s="32" t="inlineStr">
        <is>
          <t>—</t>
        </is>
      </c>
      <c r="I13" s="32" t="inlineStr">
        <is>
          <t>Adams (assumed)</t>
        </is>
      </c>
      <c r="J13" s="32" t="inlineStr">
        <is>
          <t>—  (not stated in document)</t>
        </is>
      </c>
      <c r="K13" s="32" t="inlineStr">
        <is>
          <t>—</t>
        </is>
      </c>
      <c r="L13" s="32" t="inlineStr">
        <is>
          <t>Industrial - Warehouse / Distribution</t>
        </is>
      </c>
      <c r="M13" s="32" t="inlineStr">
        <is>
          <t>Single-tenant</t>
        </is>
      </c>
      <c r="N13" s="32" t="n"/>
      <c r="O13" s="32" t="n"/>
      <c r="P13" s="34" t="n"/>
      <c r="Q13" s="34" t="n">
        <v>553757</v>
      </c>
      <c r="R13" s="32" t="n"/>
      <c r="S13" s="32" t="n"/>
      <c r="T13" s="32" t="inlineStr">
        <is>
          <t>100.0% occupied / 100.0% leased</t>
        </is>
      </c>
      <c r="U13" s="35" t="n"/>
      <c r="V13" s="32" t="n"/>
      <c r="W13" s="35" t="inlineStr">
        <is>
          <t>—  (Yardi-managed; preparer not named)</t>
        </is>
      </c>
      <c r="X13" s="32" t="inlineStr">
        <is>
          <t>R0180834 rent roll &amp; income statement.pdf</t>
        </is>
      </c>
    </row>
    <row r="14">
      <c r="A14" s="32" t="inlineStr">
        <is>
          <t>R0212546</t>
        </is>
      </c>
      <c r="B14" s="32" t="inlineStr">
        <is>
          <t>R0212546</t>
        </is>
      </c>
      <c r="C14" s="32" t="inlineStr">
        <is>
          <t>—</t>
        </is>
      </c>
      <c r="D14" s="32" t="inlineStr">
        <is>
          <t>2780 North Tower Road</t>
        </is>
      </c>
      <c r="E14" s="32" t="inlineStr">
        <is>
          <t>2780 N. Tower Road</t>
        </is>
      </c>
      <c r="F14" s="32" t="inlineStr">
        <is>
          <t>Aurora (est.)</t>
        </is>
      </c>
      <c r="G14" s="32" t="inlineStr">
        <is>
          <t>CO</t>
        </is>
      </c>
      <c r="H14" s="32" t="inlineStr">
        <is>
          <t>—</t>
        </is>
      </c>
      <c r="I14" s="32" t="inlineStr">
        <is>
          <t>Adams</t>
        </is>
      </c>
      <c r="J14" s="32" t="inlineStr">
        <is>
          <t>2780 North Tower Road, LLC</t>
        </is>
      </c>
      <c r="K14" s="32" t="inlineStr">
        <is>
          <t>—</t>
        </is>
      </c>
      <c r="L14" s="32" t="inlineStr">
        <is>
          <t>Industrial - Warehouse (mega)</t>
        </is>
      </c>
      <c r="M14" s="32" t="inlineStr">
        <is>
          <t>Single-tenant</t>
        </is>
      </c>
      <c r="N14" s="32" t="n"/>
      <c r="O14" s="32" t="n"/>
      <c r="P14" s="34" t="n"/>
      <c r="Q14" s="34" t="n">
        <v>377729</v>
      </c>
      <c r="R14" s="32" t="n">
        <v>1983</v>
      </c>
      <c r="S14" s="32" t="n"/>
      <c r="T14" s="32" t="inlineStr">
        <is>
          <t>100% (single tenant, absolute net)</t>
        </is>
      </c>
      <c r="U14" s="35" t="n"/>
      <c r="V14" s="32" t="n"/>
      <c r="W14" s="35" t="inlineStr">
        <is>
          <t>—  (owner-managed)</t>
        </is>
      </c>
      <c r="X14" s="32" t="inlineStr">
        <is>
          <t>R0212546 P&amp;L 2024 &amp; 2023.pdf</t>
        </is>
      </c>
    </row>
    <row r="15">
      <c r="A15" s="32" t="inlineStr">
        <is>
          <t>R0083953</t>
        </is>
      </c>
      <c r="B15" s="32" t="inlineStr">
        <is>
          <t>R0083953</t>
        </is>
      </c>
      <c r="C15" s="32" t="inlineStr">
        <is>
          <t>—</t>
        </is>
      </c>
      <c r="D15" s="32" t="inlineStr">
        <is>
          <t>Majestic Commercenter — WPC ABC LLC</t>
        </is>
      </c>
      <c r="E15" s="32" t="inlineStr">
        <is>
          <t>20901 E. 32nd Pkwy</t>
        </is>
      </c>
      <c r="F15" s="32" t="inlineStr">
        <is>
          <t>Aurora</t>
        </is>
      </c>
      <c r="G15" s="32" t="inlineStr">
        <is>
          <t>CO</t>
        </is>
      </c>
      <c r="H15" s="32" t="inlineStr">
        <is>
          <t>—</t>
        </is>
      </c>
      <c r="I15" s="32" t="inlineStr">
        <is>
          <t>Adams</t>
        </is>
      </c>
      <c r="J15" s="32" t="inlineStr">
        <is>
          <t>WPC ABC, LLC</t>
        </is>
      </c>
      <c r="K15" s="32" t="inlineStr">
        <is>
          <t>—</t>
        </is>
      </c>
      <c r="L15" s="32" t="inlineStr">
        <is>
          <t>Industrial - Warehouse (4 × 50,000 SF units)</t>
        </is>
      </c>
      <c r="M15" s="32" t="inlineStr">
        <is>
          <t>Multi-tenant (4 units)</t>
        </is>
      </c>
      <c r="N15" s="32" t="n"/>
      <c r="O15" s="32" t="n"/>
      <c r="P15" s="34" t="n"/>
      <c r="Q15" s="34" t="n">
        <v>200000</v>
      </c>
      <c r="R15" s="32" t="n">
        <v>1985</v>
      </c>
      <c r="S15" s="32" t="n"/>
      <c r="T15" s="32" t="inlineStr">
        <is>
          <t>100.0% (0 vacant SF at every rent-roll date 2021-2024)</t>
        </is>
      </c>
      <c r="U15" s="35" t="n"/>
      <c r="V15" s="32" t="n"/>
      <c r="W15" s="35" t="inlineStr">
        <is>
          <t>Colliers International</t>
        </is>
      </c>
      <c r="X15" s="32" t="inlineStr">
        <is>
          <t>R0083953 rent roll &amp; income statements.pdf</t>
        </is>
      </c>
    </row>
    <row r="16">
      <c r="A16" s="33" t="inlineStr">
        <is>
          <t>Year built for R0180834 is not stated in its rent roll or income statement. Addresses/ZIPs marked "—" do not appear in the source document; 2780 N. Tower Rd city is inferred from the street address. Building areas are the leasable areas printed on each rent roll (R0180834: 553,757 SF; R0212546: 377,729 SF per the document title, used for the $/SF checks below; R0083953: 200,000 SF).</t>
        </is>
      </c>
    </row>
  </sheetData>
  <mergeCells count="3">
    <mergeCell ref="A16:Y16"/>
    <mergeCell ref="A2:Y2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40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Marion) and proforma lease assumptions (tax appeals)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  <row r="28">
      <c r="A28" s="36" t="inlineStr">
        <is>
          <t>Denver Distribution Center (R0180834) — rent roll as of 01/01/2025</t>
        </is>
      </c>
    </row>
    <row r="29">
      <c r="A29" s="37" t="inlineStr">
        <is>
          <t>Denver Distribution Ctr</t>
        </is>
      </c>
      <c r="B29" s="37" t="inlineStr">
        <is>
          <t>100</t>
        </is>
      </c>
      <c r="C29" s="37" t="inlineStr">
        <is>
          <t>United Natural Foods Inc (t0201668)</t>
        </is>
      </c>
      <c r="D29" s="37" t="inlineStr">
        <is>
          <t>Actual NNN (industrial)</t>
        </is>
      </c>
      <c r="E29" s="37" t="n">
        <v>300709.67</v>
      </c>
      <c r="F29" s="37" t="n">
        <v>3608516.04</v>
      </c>
      <c r="G29" s="37" t="n">
        <v>6.52</v>
      </c>
      <c r="H29" s="37" t="inlineStr">
        <is>
          <t>6/15/2012</t>
        </is>
      </c>
      <c r="I29" s="37" t="inlineStr">
        <is>
          <t>10/31/2028</t>
        </is>
      </c>
      <c r="J29" s="37" t="inlineStr">
        <is>
          <t>1st Renewal Opt 10/31/2027; 2nd Renewal Opt 10/31/2032; Expansion Opt</t>
        </is>
      </c>
      <c r="K29" s="37" t="n">
        <v>4646.33</v>
      </c>
      <c r="L29" s="37" t="n">
        <v>0</v>
      </c>
      <c r="M29" s="37" t="inlineStr">
        <is>
          <t>Charge code cabrnind @ $0.54/SF/mo. Status Current. CAM shown = ceopex; also ceins $6,943.97/mo and ceretax $186,818.31/mo (both eff. 01/01/2025). AR balance $(14,541.14).</t>
        </is>
      </c>
    </row>
    <row r="30">
      <c r="A30" s="37" t="inlineStr">
        <is>
          <t>Denver Distribution Ctr</t>
        </is>
      </c>
      <c r="B30" s="37" t="inlineStr">
        <is>
          <t>100</t>
        </is>
      </c>
      <c r="C30" s="37" t="inlineStr">
        <is>
          <t>United Natural Foods Inc — future rent step</t>
        </is>
      </c>
      <c r="D30" s="37" t="inlineStr">
        <is>
          <t>Actual NNN</t>
        </is>
      </c>
      <c r="E30" s="37" t="n">
        <v>308781.17</v>
      </c>
      <c r="F30" s="37" t="n">
        <v>3705374.04</v>
      </c>
      <c r="G30" s="37" t="n">
        <v>6.69</v>
      </c>
      <c r="H30" s="37" t="inlineStr">
        <is>
          <t>11/1/2025</t>
        </is>
      </c>
      <c r="I30" s="37" t="inlineStr">
        <is>
          <t>10/31/2028</t>
        </is>
      </c>
      <c r="J30" s="37" t="inlineStr">
        <is>
          <t>Scheduled step</t>
        </is>
      </c>
      <c r="K30" s="37" t="n"/>
      <c r="L30" s="37" t="n"/>
      <c r="M30" s="37" t="inlineStr">
        <is>
          <t>Future amount $0.56/SF/mo effective 11/01/2025 (printed on the same rent-roll line).</t>
        </is>
      </c>
    </row>
    <row r="31">
      <c r="A31" s="38" t="inlineStr">
        <is>
          <t>Denver Distribution Ctr</t>
        </is>
      </c>
      <c r="B31" s="38" t="inlineStr">
        <is>
          <t>TOTALS</t>
        </is>
      </c>
      <c r="C31" s="38" t="inlineStr">
        <is>
          <t>Total monthly billing (all charge codes)</t>
        </is>
      </c>
      <c r="D31" s="38" t="inlineStr">
        <is>
          <t>Actual</t>
        </is>
      </c>
      <c r="E31" s="39" t="n">
        <v>499118.28</v>
      </c>
      <c r="F31" s="40">
        <f>E31*12</f>
        <v/>
      </c>
      <c r="G31" s="39" t="n"/>
      <c r="H31" s="38" t="n"/>
      <c r="I31" s="38" t="n"/>
      <c r="J31" s="38" t="inlineStr">
        <is>
          <t>1 unit / 553,757 SF</t>
        </is>
      </c>
      <c r="K31" s="39" t="n"/>
      <c r="L31" s="39" t="n">
        <v>0</v>
      </c>
      <c r="M31" s="38" t="inlineStr">
        <is>
          <t>Printed rent-roll total $499,118.28/mo; 100.00% occupied, 100.00% leased, 0 vacant units. Security deposit $0.00.</t>
        </is>
      </c>
    </row>
    <row r="33">
      <c r="A33" s="36" t="inlineStr">
        <is>
          <t>2780 North Tower Road (R0212546) — absolute net single tenant</t>
        </is>
      </c>
    </row>
    <row r="34">
      <c r="A34" s="37" t="inlineStr">
        <is>
          <t>2780 N. Tower Rd</t>
        </is>
      </c>
      <c r="B34" s="37" t="inlineStr">
        <is>
          <t>Whole</t>
        </is>
      </c>
      <c r="C34" s="37" t="inlineStr">
        <is>
          <t>Single tenant (name not stated in P&amp;L)</t>
        </is>
      </c>
      <c r="D34" s="37" t="inlineStr">
        <is>
          <t>Absolute net</t>
        </is>
      </c>
      <c r="E34" s="37" t="n"/>
      <c r="F34" s="37" t="n">
        <v>3047376</v>
      </c>
      <c r="G34" s="37" t="n">
        <v>8.07</v>
      </c>
      <c r="H34" s="37" t="n"/>
      <c r="I34" s="37" t="n"/>
      <c r="J34" s="37" t="inlineStr">
        <is>
          <t>—</t>
        </is>
      </c>
      <c r="K34" s="37" t="n"/>
      <c r="L34" s="37" t="n"/>
      <c r="M34" s="37" t="inlineStr">
        <is>
          <t>FY2024 rent income (acct 42327 "Rent Income SRO Tower Road") ÷ 377,729 SF = $8.07/SF. Tenant pays taxes, insurance, R&amp;M, utilities — all $0 to owner in FY2024.</t>
        </is>
      </c>
    </row>
    <row r="35">
      <c r="A35" s="37" t="inlineStr">
        <is>
          <t>2780 N. Tower Rd</t>
        </is>
      </c>
      <c r="B35" s="37" t="inlineStr">
        <is>
          <t>Whole</t>
        </is>
      </c>
      <c r="C35" s="37" t="inlineStr">
        <is>
          <t>Single tenant (name not stated in P&amp;L)</t>
        </is>
      </c>
      <c r="D35" s="37" t="inlineStr">
        <is>
          <t>Absolute net</t>
        </is>
      </c>
      <c r="E35" s="37" t="n"/>
      <c r="F35" s="37" t="n">
        <v>2979661</v>
      </c>
      <c r="G35" s="37" t="n">
        <v>7.89</v>
      </c>
      <c r="H35" s="37" t="n"/>
      <c r="I35" s="37" t="n"/>
      <c r="J35" s="37" t="inlineStr">
        <is>
          <t>—</t>
        </is>
      </c>
      <c r="K35" s="37" t="n"/>
      <c r="L35" s="37" t="n"/>
      <c r="M35" s="37" t="inlineStr">
        <is>
          <t>FY2023 rent income ÷ 377,729 SF = $7.89/SF. FY2023 had $687 utilities at owner level; taxes and R&amp;M still $0.</t>
        </is>
      </c>
    </row>
    <row r="37">
      <c r="A37" s="36" t="inlineStr">
        <is>
          <t>Majestic Commercenter / WPC ABC LLC (R0083953) — rent roll as of 06/30/2024</t>
        </is>
      </c>
    </row>
    <row r="38">
      <c r="A38" s="32" t="inlineStr">
        <is>
          <t>Majestic Commercenter</t>
        </is>
      </c>
      <c r="B38" s="32" t="inlineStr">
        <is>
          <t>455-A-CU</t>
        </is>
      </c>
      <c r="C38" s="32" t="inlineStr">
        <is>
          <t>Zayo Group</t>
        </is>
      </c>
      <c r="D38" s="32" t="inlineStr">
        <is>
          <t>Actual NNN (CAM/tax/ins billed)</t>
        </is>
      </c>
      <c r="E38" s="41" t="n">
        <v>16375</v>
      </c>
      <c r="F38" s="35" t="n">
        <v>196500</v>
      </c>
      <c r="G38" s="41" t="n">
        <v>3.93</v>
      </c>
      <c r="H38" s="32" t="inlineStr">
        <is>
          <t>5/1/2020</t>
        </is>
      </c>
      <c r="I38" s="32" t="inlineStr">
        <is>
          <t>10/31/2027</t>
        </is>
      </c>
      <c r="J38" s="32" t="inlineStr">
        <is>
          <t>90 mo</t>
        </is>
      </c>
      <c r="K38" s="41" t="n">
        <v>3004</v>
      </c>
      <c r="L38" s="41" t="n"/>
      <c r="M38" s="32" t="inlineStr">
        <is>
          <t>Steps: $16,875 (11/01/2024), $17,375 (11/01/2025), $17,916.67 (11/01/2026). Other exp $674/mo. Gross rent $30,467/mo = $7.31/SF.</t>
        </is>
      </c>
    </row>
    <row r="39">
      <c r="A39" s="32" t="inlineStr">
        <is>
          <t>Majestic Commercenter</t>
        </is>
      </c>
      <c r="B39" s="32" t="inlineStr">
        <is>
          <t>455-B-CU</t>
        </is>
      </c>
      <c r="C39" s="32" t="inlineStr">
        <is>
          <t>Tritz Pallet</t>
        </is>
      </c>
      <c r="D39" s="32" t="inlineStr">
        <is>
          <t>Actual NNN (CAM/tax/ins billed)</t>
        </is>
      </c>
      <c r="E39" s="41" t="n">
        <v>10000</v>
      </c>
      <c r="F39" s="35" t="n">
        <v>120000</v>
      </c>
      <c r="G39" s="41" t="n">
        <v>2.4</v>
      </c>
      <c r="H39" s="32" t="inlineStr">
        <is>
          <t>4/1/2021</t>
        </is>
      </c>
      <c r="I39" s="32" t="inlineStr">
        <is>
          <t>2/28/2025</t>
        </is>
      </c>
      <c r="J39" s="32" t="inlineStr">
        <is>
          <t>47 mo</t>
        </is>
      </c>
      <c r="K39" s="41" t="n">
        <v>3008</v>
      </c>
      <c r="L39" s="41" t="n"/>
      <c r="M39" s="32" t="inlineStr">
        <is>
          <t>Last step $10,000 eff. 03/01/2024. Other exp $674/mo. Gross rent $24,096/mo = $5.78/SF.</t>
        </is>
      </c>
    </row>
    <row r="40">
      <c r="A40" s="32" t="inlineStr">
        <is>
          <t>Majestic Commercenter</t>
        </is>
      </c>
      <c r="B40" s="32" t="inlineStr">
        <is>
          <t>455-C-CU</t>
        </is>
      </c>
      <c r="C40" s="32" t="inlineStr">
        <is>
          <t>Peco Pallet</t>
        </is>
      </c>
      <c r="D40" s="32" t="inlineStr">
        <is>
          <t>Actual NNN (CAM/tax/ins billed)</t>
        </is>
      </c>
      <c r="E40" s="41" t="n">
        <v>16250</v>
      </c>
      <c r="F40" s="35" t="n">
        <v>195000</v>
      </c>
      <c r="G40" s="41" t="n">
        <v>3.9</v>
      </c>
      <c r="H40" s="32" t="inlineStr">
        <is>
          <t>4/1/2020</t>
        </is>
      </c>
      <c r="I40" s="32" t="inlineStr">
        <is>
          <t>3/31/2025</t>
        </is>
      </c>
      <c r="J40" s="32" t="inlineStr">
        <is>
          <t>120 mo</t>
        </is>
      </c>
      <c r="K40" s="41" t="n">
        <v>2994</v>
      </c>
      <c r="L40" s="41" t="n"/>
      <c r="M40" s="32" t="inlineStr">
        <is>
          <t>Last step $16,250 eff. 04/01/2024. Other exp $674/mo. Gross rent $30,332/mo = $7.28/SF. The 6/30/2024 recap page shows this lease ending 3/31/2030 — discrepancy as printed.</t>
        </is>
      </c>
    </row>
    <row r="41">
      <c r="A41" s="32" t="inlineStr">
        <is>
          <t>Majestic Commercenter</t>
        </is>
      </c>
      <c r="B41" s="32" t="inlineStr">
        <is>
          <t>455-D-CU</t>
        </is>
      </c>
      <c r="C41" s="32" t="inlineStr">
        <is>
          <t>Tritz Pallet</t>
        </is>
      </c>
      <c r="D41" s="32" t="inlineStr">
        <is>
          <t>Actual NNN (CAM/tax/ins billed)</t>
        </is>
      </c>
      <c r="E41" s="41" t="n">
        <v>15833</v>
      </c>
      <c r="F41" s="35" t="n">
        <v>189996</v>
      </c>
      <c r="G41" s="41" t="n">
        <v>3.8</v>
      </c>
      <c r="H41" s="32" t="inlineStr">
        <is>
          <t>11/1/2019</t>
        </is>
      </c>
      <c r="I41" s="32" t="inlineStr">
        <is>
          <t>2/28/2025</t>
        </is>
      </c>
      <c r="J41" s="32" t="inlineStr">
        <is>
          <t>64 mo</t>
        </is>
      </c>
      <c r="K41" s="41" t="n">
        <v>2983</v>
      </c>
      <c r="L41" s="41" t="n"/>
      <c r="M41" s="32" t="inlineStr">
        <is>
          <t>Last step $15,833 eff. 03/01/2024. Other exp $674/mo. Gross rent $29,904/mo = $7.18/SF.</t>
        </is>
      </c>
    </row>
    <row r="42">
      <c r="A42" s="38" t="inlineStr">
        <is>
          <t>Majestic Commercenter</t>
        </is>
      </c>
      <c r="B42" s="38" t="inlineStr">
        <is>
          <t>TOTALS</t>
        </is>
      </c>
      <c r="C42" s="38" t="inlineStr">
        <is>
          <t>Property totals — 200,000 SF, 0 vacant</t>
        </is>
      </c>
      <c r="D42" s="38" t="inlineStr">
        <is>
          <t>Actual NNN</t>
        </is>
      </c>
      <c r="E42" s="39">
        <f>SUM(E38:E41)</f>
        <v/>
      </c>
      <c r="F42" s="40">
        <f>SUM(F38:F41)</f>
        <v/>
      </c>
      <c r="G42" s="39" t="n">
        <v>3.51</v>
      </c>
      <c r="H42" s="38" t="n"/>
      <c r="I42" s="38" t="n"/>
      <c r="J42" s="38" t="inlineStr">
        <is>
          <t>6.69 yr wtd-avg term</t>
        </is>
      </c>
      <c r="K42" s="39">
        <f>SUM(K38:K41)</f>
        <v/>
      </c>
      <c r="L42" s="39" t="n"/>
      <c r="M42" s="38" t="inlineStr">
        <is>
          <t>Printed property totals 06/2024: base rent $58,458.00/mo, prorated annual $701,496.00, $3.51/SF; OpEx recovery $11,989/mo ($0.72/SF), RE tax $41,656/mo ($2.50/SF), other $2,696/mo ($0.16/SF); gross rents $114,799.00/mo = $6.89/SF. Recap page annualizes year-end rates to $707,496.</t>
        </is>
      </c>
    </row>
    <row r="44">
      <c r="A44" s="36" t="inlineStr">
        <is>
          <t>Majestic Commercenter — rent-roll totals by report date (200,000 SF, 100% occupied throughout)</t>
        </is>
      </c>
    </row>
    <row r="45">
      <c r="A45" s="32" t="inlineStr">
        <is>
          <t>Majestic Commercenter</t>
        </is>
      </c>
      <c r="B45" s="32" t="inlineStr">
        <is>
          <t>06/2021 (6/1-6/30/2021)</t>
        </is>
      </c>
      <c r="C45" s="32" t="inlineStr">
        <is>
          <t>All 4 units (Zayo, Tritz ×2, Peco)</t>
        </is>
      </c>
      <c r="D45" s="32" t="inlineStr">
        <is>
          <t>Actual NNN</t>
        </is>
      </c>
      <c r="E45" s="41" t="n">
        <v>52083</v>
      </c>
      <c r="F45" s="35" t="n">
        <v>624996</v>
      </c>
      <c r="G45" s="41" t="n">
        <v>3.12</v>
      </c>
      <c r="H45" s="32" t="n"/>
      <c r="I45" s="32" t="n"/>
      <c r="J45" s="32" t="inlineStr">
        <is>
          <t>—</t>
        </is>
      </c>
      <c r="K45" s="41" t="n">
        <v>11013</v>
      </c>
      <c r="L45" s="41" t="n"/>
      <c r="M45" s="32" t="inlineStr">
        <is>
          <t>Monthly RE tax billed $32,381; other exp $1,368; gross rents $96,845.00/mo = $5.81/SF/yr.</t>
        </is>
      </c>
    </row>
    <row r="46">
      <c r="A46" s="32" t="inlineStr">
        <is>
          <t>Majestic Commercenter</t>
        </is>
      </c>
      <c r="B46" s="32" t="inlineStr">
        <is>
          <t>06/2022 (6/1-6/30/2022)</t>
        </is>
      </c>
      <c r="C46" s="32" t="inlineStr">
        <is>
          <t>All 4 units (Zayo, Tritz ×2, Peco)</t>
        </is>
      </c>
      <c r="D46" s="32" t="inlineStr">
        <is>
          <t>Actual NNN</t>
        </is>
      </c>
      <c r="E46" s="41" t="n">
        <v>54208</v>
      </c>
      <c r="F46" s="35" t="n">
        <v>650496</v>
      </c>
      <c r="G46" s="41" t="n">
        <v>3.25</v>
      </c>
      <c r="H46" s="32" t="n"/>
      <c r="I46" s="32" t="n"/>
      <c r="J46" s="32" t="inlineStr">
        <is>
          <t>—</t>
        </is>
      </c>
      <c r="K46" s="41" t="n">
        <v>11007</v>
      </c>
      <c r="L46" s="41" t="n"/>
      <c r="M46" s="32" t="inlineStr">
        <is>
          <t>Monthly RE tax billed $31,348; other exp $1,596; gross rents $98,159.00/mo = $5.89/SF/yr.</t>
        </is>
      </c>
    </row>
    <row r="47">
      <c r="A47" s="32" t="inlineStr">
        <is>
          <t>Majestic Commercenter</t>
        </is>
      </c>
      <c r="B47" s="32" t="inlineStr">
        <is>
          <t>01/2023 (1/1-1/31/2023)</t>
        </is>
      </c>
      <c r="C47" s="32" t="inlineStr">
        <is>
          <t>All 4 units (Zayo, Tritz ×2, Peco)</t>
        </is>
      </c>
      <c r="D47" s="32" t="inlineStr">
        <is>
          <t>Actual NNN</t>
        </is>
      </c>
      <c r="E47" s="41" t="n">
        <v>55917.34</v>
      </c>
      <c r="F47" s="35" t="n">
        <v>671008.08</v>
      </c>
      <c r="G47" s="41" t="n">
        <v>3.36</v>
      </c>
      <c r="H47" s="32" t="n"/>
      <c r="I47" s="32" t="n"/>
      <c r="J47" s="32" t="inlineStr">
        <is>
          <t>—</t>
        </is>
      </c>
      <c r="K47" s="41" t="n">
        <v>12683</v>
      </c>
      <c r="L47" s="41" t="n"/>
      <c r="M47" s="32" t="inlineStr">
        <is>
          <t>Monthly RE tax billed $36,004; other exp $1,976; gross rents $106,580.34/mo = $6.39/SF/yr.</t>
        </is>
      </c>
    </row>
    <row r="48">
      <c r="A48" s="32" t="inlineStr">
        <is>
          <t>Majestic Commercenter</t>
        </is>
      </c>
      <c r="B48" s="32" t="inlineStr">
        <is>
          <t>06/2024 (6/1-6/30/2024)</t>
        </is>
      </c>
      <c r="C48" s="32" t="inlineStr">
        <is>
          <t>All 4 units (Zayo, Tritz ×2, Peco)</t>
        </is>
      </c>
      <c r="D48" s="32" t="inlineStr">
        <is>
          <t>Actual NNN</t>
        </is>
      </c>
      <c r="E48" s="41" t="n">
        <v>58458</v>
      </c>
      <c r="F48" s="35" t="n">
        <v>701496</v>
      </c>
      <c r="G48" s="41" t="n">
        <v>3.51</v>
      </c>
      <c r="H48" s="32" t="n"/>
      <c r="I48" s="32" t="n"/>
      <c r="J48" s="32" t="inlineStr">
        <is>
          <t>—</t>
        </is>
      </c>
      <c r="K48" s="41" t="n">
        <v>11989</v>
      </c>
      <c r="L48" s="41" t="n"/>
      <c r="M48" s="32" t="inlineStr">
        <is>
          <t>Monthly RE tax billed $41,656; other exp $2,696; gross rents $114,799.00/mo = $6.89/SF/yr.</t>
        </is>
      </c>
    </row>
    <row r="49">
      <c r="A49" s="33" t="inlineStr">
        <is>
          <t>Rent PSF is annual base rent ÷ leasable SF as printed on each rent roll. Denver Distribution Center rents are billed monthly per SF ($0.54 → $0.56); the annual PSF shown here is 12× that rate. 2780 N. Tower Road has no rent roll in the file — its rent is taken from the P&amp;L income line and divided by the 377,729 SF in the document title.</t>
        </is>
      </c>
    </row>
  </sheetData>
  <mergeCells count="6">
    <mergeCell ref="A1:M1"/>
    <mergeCell ref="A5:M5"/>
    <mergeCell ref="A18:M18"/>
    <mergeCell ref="A21:M21"/>
    <mergeCell ref="A2:M2"/>
    <mergeCell ref="A49:M4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2" ht="28" customHeight="1">
      <c r="A12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</t>
        </is>
      </c>
      <c r="B12" s="20" t="n"/>
      <c r="C12" s="20" t="n"/>
      <c r="D12" s="20" t="n"/>
      <c r="E12" s="20" t="n"/>
      <c r="F12" s="20" t="n"/>
      <c r="G12" s="20" t="n"/>
      <c r="H12" s="21" t="n"/>
    </row>
    <row r="14">
      <c r="A14" s="17" t="inlineStr">
        <is>
          <t>B. Income-Approach Proformas</t>
        </is>
      </c>
      <c r="B14" s="20" t="n"/>
      <c r="C14" s="20" t="n"/>
      <c r="D14" s="20" t="n"/>
      <c r="E14" s="20" t="n"/>
      <c r="F14" s="20" t="n"/>
      <c r="G14" s="20" t="n"/>
      <c r="H14" s="21" t="n"/>
    </row>
    <row r="15" ht="30" customHeight="1">
      <c r="A15" s="4" t="inlineStr">
        <is>
          <t>Property</t>
        </is>
      </c>
      <c r="B15" s="4" t="inlineStr">
        <is>
          <t>PGI</t>
        </is>
      </c>
      <c r="C15" s="4" t="inlineStr">
        <is>
          <t>Vacancy</t>
        </is>
      </c>
      <c r="D15" s="4" t="inlineStr">
        <is>
          <t>EGI</t>
        </is>
      </c>
      <c r="E15" s="4" t="inlineStr">
        <is>
          <t>Operating Exp</t>
        </is>
      </c>
      <c r="F15" s="4" t="inlineStr">
        <is>
          <t>NOI</t>
        </is>
      </c>
      <c r="G15" s="4" t="inlineStr">
        <is>
          <t>Cap Rate</t>
        </is>
      </c>
      <c r="H15" s="4" t="inlineStr">
        <is>
          <t>Indicated Value</t>
        </is>
      </c>
    </row>
    <row r="16">
      <c r="A16" s="6" t="inlineStr">
        <is>
          <t>7205 Gilpin Way</t>
        </is>
      </c>
      <c r="B16" s="9" t="n">
        <v>359394</v>
      </c>
      <c r="C16" s="9" t="n">
        <v>-17970</v>
      </c>
      <c r="D16" s="9" t="n">
        <v>341424</v>
      </c>
      <c r="E16" s="9" t="n">
        <v>-27314</v>
      </c>
      <c r="F16" s="14" t="n">
        <v>314110</v>
      </c>
      <c r="G16" s="19" t="n">
        <v>0.065</v>
      </c>
      <c r="H16" s="14" t="n">
        <v>4832500</v>
      </c>
    </row>
    <row r="17">
      <c r="A17" s="6" t="inlineStr">
        <is>
          <t>17608 E. 24th Dr</t>
        </is>
      </c>
      <c r="B17" s="9" t="n">
        <v>209100</v>
      </c>
      <c r="C17" s="9" t="n">
        <v>-10455</v>
      </c>
      <c r="D17" s="9" t="n">
        <v>198645</v>
      </c>
      <c r="E17" s="9" t="n">
        <v>-15892</v>
      </c>
      <c r="F17" s="14" t="n">
        <v>182753</v>
      </c>
      <c r="G17" s="19" t="n">
        <v>0.06</v>
      </c>
      <c r="H17" s="14" t="n">
        <v>3050000</v>
      </c>
    </row>
    <row r="18">
      <c r="A18" s="6" t="inlineStr">
        <is>
          <t>12260 Pennsylvania St</t>
        </is>
      </c>
      <c r="B18" s="9" t="n">
        <v>237290</v>
      </c>
      <c r="C18" s="9" t="n">
        <v>-16610</v>
      </c>
      <c r="D18" s="9" t="n">
        <v>220680</v>
      </c>
      <c r="E18" s="9" t="n">
        <v>-22068</v>
      </c>
      <c r="F18" s="14" t="n">
        <v>198612</v>
      </c>
      <c r="G18" s="19" t="n">
        <v>0.07000000000000001</v>
      </c>
      <c r="H18" s="14" t="n">
        <v>2837000</v>
      </c>
    </row>
    <row r="19">
      <c r="A19" s="6" t="inlineStr">
        <is>
          <t>6770 E. 56th Ave</t>
        </is>
      </c>
      <c r="B19" s="9" t="n">
        <v>115824</v>
      </c>
      <c r="C19" s="9" t="n">
        <v>-5791</v>
      </c>
      <c r="D19" s="9" t="n">
        <v>110033</v>
      </c>
      <c r="E19" s="9" t="n">
        <v>-5502</v>
      </c>
      <c r="F19" s="14" t="n">
        <v>104531</v>
      </c>
      <c r="G19" s="19" t="n">
        <v>0.07000000000000001</v>
      </c>
      <c r="H19" s="14" t="n">
        <v>1493302</v>
      </c>
    </row>
    <row r="20">
      <c r="A20" s="6" t="inlineStr">
        <is>
          <t>5970 Marion Drive (mkt)</t>
        </is>
      </c>
      <c r="B20" s="9" t="n">
        <v>172800</v>
      </c>
      <c r="C20" s="9" t="n">
        <v>-8640</v>
      </c>
      <c r="D20" s="9" t="n">
        <v>164160</v>
      </c>
      <c r="E20" s="9" t="n">
        <v>-4223</v>
      </c>
      <c r="F20" s="14" t="n">
        <v>159937</v>
      </c>
      <c r="G20" s="19" t="n">
        <v>0.065</v>
      </c>
      <c r="H20" s="14" t="n">
        <v>2460577</v>
      </c>
    </row>
    <row r="22" ht="28" customHeight="1">
      <c r="A22" s="18" t="inlineStr">
        <is>
          <t>Proforma vacancy/EGI figures as reported by each preparer (Ryan, Property Tax Advisors, or owner's analysis). 5970 Marion figures are from the owner's income-approach block in the 2024 P&amp;L workbook (PGI $172,800, 95% occ, NOI $159,938, 6.5% cap → $2,460,577; assigned $2,527,915).</t>
        </is>
      </c>
      <c r="B22" s="20" t="n"/>
      <c r="C22" s="20" t="n"/>
      <c r="D22" s="20" t="n"/>
      <c r="E22" s="20" t="n"/>
      <c r="F22" s="20" t="n"/>
      <c r="G22" s="20" t="n"/>
      <c r="H22" s="21" t="n"/>
    </row>
  </sheetData>
  <mergeCells count="6">
    <mergeCell ref="A12:H12"/>
    <mergeCell ref="A4:H4"/>
    <mergeCell ref="A2:H2"/>
    <mergeCell ref="A14:H14"/>
    <mergeCell ref="A1:H1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9">
      <c r="A9" s="42" t="inlineStr">
        <is>
          <t>Denver Distribution Ctr (R0180834) — FY2024</t>
        </is>
      </c>
      <c r="B9" s="43" t="n">
        <v>5292302.21</v>
      </c>
      <c r="C9" s="43" t="n">
        <v>2376573.38</v>
      </c>
      <c r="D9" s="43">
        <f>B9-C9</f>
        <v/>
      </c>
      <c r="E9" s="44" t="inlineStr">
        <is>
          <t>Accrual income statement, Dec-2024 YTD. Net = NOI $2,915,728.83 (printed). Excludes $902,885.40 non-operating financing cost; net income after financing $2,012,843.43.</t>
        </is>
      </c>
    </row>
    <row r="10" ht="28" customHeight="1">
      <c r="A10" s="42" t="inlineStr">
        <is>
          <t>2780 N. Tower Rd (R0212546) — FY2024</t>
        </is>
      </c>
      <c r="B10" s="43" t="n">
        <v>3047376</v>
      </c>
      <c r="C10" s="43" t="n">
        <v>515200</v>
      </c>
      <c r="D10" s="43">
        <f>B10-C10</f>
        <v/>
      </c>
      <c r="E10" s="44" t="inlineStr">
        <is>
          <t>Accrual P&amp;L. Net = net ordinary income $2,532,176 (printed). Expense incl. depreciation $456,096 &amp; amortization $12,124; excl. interest $613,282. Cash operating expense only $46,980 ($0.12/SF).</t>
        </is>
      </c>
    </row>
    <row r="11">
      <c r="A11" s="42" t="inlineStr">
        <is>
          <t>2780 N. Tower Rd (R0212546) — FY2023</t>
        </is>
      </c>
      <c r="B11" s="43" t="n">
        <v>2979661</v>
      </c>
      <c r="C11" s="43" t="n">
        <v>497459</v>
      </c>
      <c r="D11" s="43">
        <f>B11-C11</f>
        <v/>
      </c>
      <c r="E11" s="44" t="inlineStr">
        <is>
          <t>Accrual P&amp;L. Net = net ordinary income $2,482,202 (printed). Net income after $641,014 interest and $18 other income = $1,841,206.</t>
        </is>
      </c>
    </row>
    <row r="12">
      <c r="A12" s="42" t="inlineStr">
        <is>
          <t>Majestic Commercenter (R0083953) — FY2024</t>
        </is>
      </c>
      <c r="B12" s="43" t="n">
        <v>1361972.79</v>
      </c>
      <c r="C12" s="43" t="n">
        <v>612748.98</v>
      </c>
      <c r="D12" s="43">
        <f>B12-C12</f>
        <v/>
      </c>
      <c r="E12" s="44" t="inlineStr">
        <is>
          <t>Net = income from operations $749,223.81 (printed). Excludes $71,251.20 lease commission and $100 G&amp;A; operating summary after those = $677,872.61.</t>
        </is>
      </c>
    </row>
    <row r="13">
      <c r="A13" s="42" t="inlineStr">
        <is>
          <t>Majestic Commercenter (R0083953) — FY2023</t>
        </is>
      </c>
      <c r="B13" s="43" t="n">
        <v>1332229.95</v>
      </c>
      <c r="C13" s="43" t="n">
        <v>534383.48</v>
      </c>
      <c r="D13" s="43">
        <f>B13-C13</f>
        <v/>
      </c>
      <c r="E13" s="44" t="inlineStr">
        <is>
          <t>Net = income from operations $797,846.47 (printed). Operating summary after $100 G&amp;A = $797,746.47.</t>
        </is>
      </c>
    </row>
    <row r="14">
      <c r="A14" s="42" t="inlineStr">
        <is>
          <t>Majestic Commercenter (R0083953) — FY2022</t>
        </is>
      </c>
      <c r="B14" s="43" t="n">
        <v>1158591.35</v>
      </c>
      <c r="C14" s="43" t="n">
        <v>517966.24</v>
      </c>
      <c r="D14" s="43">
        <f>B14-C14</f>
        <v/>
      </c>
      <c r="E14" s="44" t="inlineStr">
        <is>
          <t>Net = income from operations $640,625.11 (printed). Excludes $24,325.08 lease commission and $100 G&amp;A; operating summary after those = $616,200.03.</t>
        </is>
      </c>
    </row>
    <row r="15"/>
    <row r="16">
      <c r="A16" s="18" t="inlineStr">
        <is>
          <t>Net = Total Income − Total Expense as printed. Bases differ: 5970 Marion &amp; Broadview totals include financing/depreciation, so they are cash-flow / tax figures, not NOI. TempTee reported operating expenses only. See 'Assessments &amp; Valuation' tab for stabilized NOI proformas.</t>
        </is>
      </c>
      <c r="B16" s="20" t="n"/>
      <c r="C16" s="20" t="n"/>
      <c r="D16" s="20" t="n"/>
      <c r="E16" s="21" t="n"/>
    </row>
  </sheetData>
  <mergeCells count="3">
    <mergeCell ref="A2:E2"/>
    <mergeCell ref="A16:E16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  <row r="67">
      <c r="A67" s="32" t="inlineStr">
        <is>
          <t>Denver Distribution Ctr — FY2024</t>
        </is>
      </c>
      <c r="B67" s="32" t="inlineStr">
        <is>
          <t>Income</t>
        </is>
      </c>
      <c r="C67" s="32" t="inlineStr">
        <is>
          <t>4000100-040 Rent - Industrial</t>
        </is>
      </c>
      <c r="D67" s="41" t="n">
        <v>3608516.04</v>
      </c>
      <c r="E67" s="32" t="inlineStr"/>
    </row>
    <row r="68">
      <c r="A68" s="32" t="inlineStr">
        <is>
          <t>Denver Distribution Ctr — FY2024</t>
        </is>
      </c>
      <c r="B68" s="32" t="inlineStr">
        <is>
          <t>Income</t>
        </is>
      </c>
      <c r="C68" s="32" t="inlineStr">
        <is>
          <t>4010500-000 Bad Debt/Uncollectible Rents (credit)</t>
        </is>
      </c>
      <c r="D68" s="41" t="n">
        <v>103942.63</v>
      </c>
      <c r="E68" s="32" t="inlineStr"/>
    </row>
    <row r="69">
      <c r="A69" s="32" t="inlineStr">
        <is>
          <t>Denver Distribution Ctr — FY2024</t>
        </is>
      </c>
      <c r="B69" s="32" t="inlineStr">
        <is>
          <t>Income</t>
        </is>
      </c>
      <c r="C69" s="32" t="inlineStr">
        <is>
          <t>4060200-010 OpEx Recovery - Current Yr Estimate</t>
        </is>
      </c>
      <c r="D69" s="41" t="n">
        <v>56318.16</v>
      </c>
      <c r="E69" s="32" t="inlineStr"/>
    </row>
    <row r="70">
      <c r="A70" s="32" t="inlineStr">
        <is>
          <t>Denver Distribution Ctr — FY2024</t>
        </is>
      </c>
      <c r="B70" s="32" t="inlineStr">
        <is>
          <t>Income</t>
        </is>
      </c>
      <c r="C70" s="32" t="inlineStr">
        <is>
          <t>4060200-020 OpEx Recovery - Prior Yr Reconciliation</t>
        </is>
      </c>
      <c r="D70" s="41" t="n">
        <v>-290730.22</v>
      </c>
      <c r="E70" s="32" t="inlineStr"/>
    </row>
    <row r="71">
      <c r="A71" s="32" t="inlineStr">
        <is>
          <t>Denver Distribution Ctr — FY2024</t>
        </is>
      </c>
      <c r="B71" s="32" t="inlineStr">
        <is>
          <t>Income</t>
        </is>
      </c>
      <c r="C71" s="32" t="inlineStr">
        <is>
          <t>4060200-030 OpEx Recovery - CY Over/Under Billing</t>
        </is>
      </c>
      <c r="D71" s="41" t="n">
        <v>-3591.51</v>
      </c>
      <c r="E71" s="32" t="inlineStr"/>
    </row>
    <row r="72">
      <c r="A72" s="32" t="inlineStr">
        <is>
          <t>Denver Distribution Ctr — FY2024</t>
        </is>
      </c>
      <c r="B72" s="32" t="inlineStr">
        <is>
          <t>Income</t>
        </is>
      </c>
      <c r="C72" s="32" t="inlineStr">
        <is>
          <t>4060300-010 Insurance Recovery - Current Yr Estimate</t>
        </is>
      </c>
      <c r="D72" s="41" t="n">
        <v>90371.16</v>
      </c>
      <c r="E72" s="32" t="inlineStr"/>
    </row>
    <row r="73">
      <c r="A73" s="32" t="inlineStr">
        <is>
          <t>Denver Distribution Ctr — FY2024</t>
        </is>
      </c>
      <c r="B73" s="32" t="inlineStr">
        <is>
          <t>Income</t>
        </is>
      </c>
      <c r="C73" s="32" t="inlineStr">
        <is>
          <t>4060300-020 Insurance Recovery - Prior Yr Reconciliation</t>
        </is>
      </c>
      <c r="D73" s="41" t="n">
        <v>15236.42</v>
      </c>
      <c r="E73" s="32" t="inlineStr"/>
    </row>
    <row r="74">
      <c r="A74" s="32" t="inlineStr">
        <is>
          <t>Denver Distribution Ctr — FY2024</t>
        </is>
      </c>
      <c r="B74" s="32" t="inlineStr">
        <is>
          <t>Income</t>
        </is>
      </c>
      <c r="C74" s="32" t="inlineStr">
        <is>
          <t>4060300-030 Insurance Recovery - CY Over/Under Billing</t>
        </is>
      </c>
      <c r="D74" s="41" t="n">
        <v>-11115.1</v>
      </c>
      <c r="E74" s="32" t="inlineStr"/>
    </row>
    <row r="75">
      <c r="A75" s="32" t="inlineStr">
        <is>
          <t>Denver Distribution Ctr — FY2024</t>
        </is>
      </c>
      <c r="B75" s="32" t="inlineStr">
        <is>
          <t>Income</t>
        </is>
      </c>
      <c r="C75" s="32" t="inlineStr">
        <is>
          <t>4060400-010 RE Tax Recovery - Current Yr Estimate</t>
        </is>
      </c>
      <c r="D75" s="41" t="n">
        <v>2408707.68</v>
      </c>
      <c r="E75" s="32" t="inlineStr"/>
    </row>
    <row r="76">
      <c r="A76" s="32" t="inlineStr">
        <is>
          <t>Denver Distribution Ctr — FY2024</t>
        </is>
      </c>
      <c r="B76" s="32" t="inlineStr">
        <is>
          <t>Income</t>
        </is>
      </c>
      <c r="C76" s="32" t="inlineStr">
        <is>
          <t>4060400-020 RE Tax Recovery - Prior Yr Reconciliation</t>
        </is>
      </c>
      <c r="D76" s="41" t="n">
        <v>-337524.5</v>
      </c>
      <c r="E76" s="32" t="inlineStr"/>
    </row>
    <row r="77">
      <c r="A77" s="32" t="inlineStr">
        <is>
          <t>Denver Distribution Ctr — FY2024</t>
        </is>
      </c>
      <c r="B77" s="32" t="inlineStr">
        <is>
          <t>Income</t>
        </is>
      </c>
      <c r="C77" s="32" t="inlineStr">
        <is>
          <t>4060400-030 RE Tax Recovery - CY Over/Under Billing</t>
        </is>
      </c>
      <c r="D77" s="41" t="n">
        <v>-347828.55</v>
      </c>
      <c r="E77" s="32" t="inlineStr"/>
    </row>
    <row r="78">
      <c r="A78" s="38" t="inlineStr">
        <is>
          <t>Denver Distribution Ctr — FY2024</t>
        </is>
      </c>
      <c r="B78" s="38" t="inlineStr">
        <is>
          <t>Income</t>
        </is>
      </c>
      <c r="C78" s="38" t="inlineStr">
        <is>
          <t>TOTAL INCOME</t>
        </is>
      </c>
      <c r="D78" s="39">
        <f>SUM(D67:D77)</f>
        <v/>
      </c>
      <c r="E78" s="38" t="inlineStr">
        <is>
          <t>Printed total: $5,292,302.21. Total Revenues (net commercial rental income $3,712,458.67 + recovery income $1,579,843.54). Bad debt is printed as a positive rent adjustment.</t>
        </is>
      </c>
    </row>
    <row r="79">
      <c r="A79" s="32" t="inlineStr">
        <is>
          <t>Denver Distribution Ctr — FY2024</t>
        </is>
      </c>
      <c r="B79" s="32" t="inlineStr">
        <is>
          <t>Expense</t>
        </is>
      </c>
      <c r="C79" s="32" t="inlineStr">
        <is>
          <t>5015100-010 Roof - Contract</t>
        </is>
      </c>
      <c r="D79" s="41" t="n">
        <v>1604.01</v>
      </c>
      <c r="E79" s="32" t="inlineStr"/>
    </row>
    <row r="80">
      <c r="A80" s="32" t="inlineStr">
        <is>
          <t>Denver Distribution Ctr — FY2024</t>
        </is>
      </c>
      <c r="B80" s="32" t="inlineStr">
        <is>
          <t>Expense</t>
        </is>
      </c>
      <c r="C80" s="32" t="inlineStr">
        <is>
          <t>5015100-020 Roof - R&amp;M</t>
        </is>
      </c>
      <c r="D80" s="41" t="n">
        <v>1274.85</v>
      </c>
      <c r="E80" s="32" t="inlineStr"/>
    </row>
    <row r="81">
      <c r="A81" s="32" t="inlineStr">
        <is>
          <t>Denver Distribution Ctr — FY2024</t>
        </is>
      </c>
      <c r="B81" s="32" t="inlineStr">
        <is>
          <t>Expense</t>
        </is>
      </c>
      <c r="C81" s="32" t="inlineStr">
        <is>
          <t>5030900-000 Utilities - Other</t>
        </is>
      </c>
      <c r="D81" s="41" t="n">
        <v>34</v>
      </c>
      <c r="E81" s="32" t="inlineStr"/>
    </row>
    <row r="82">
      <c r="A82" s="32" t="inlineStr">
        <is>
          <t>Denver Distribution Ctr — FY2024</t>
        </is>
      </c>
      <c r="B82" s="32" t="inlineStr">
        <is>
          <t>Expense</t>
        </is>
      </c>
      <c r="C82" s="32" t="inlineStr">
        <is>
          <t>5050100-000 Insurance - Property Insurance</t>
        </is>
      </c>
      <c r="D82" s="41" t="n">
        <v>77116.59</v>
      </c>
      <c r="E82" s="32" t="inlineStr"/>
    </row>
    <row r="83">
      <c r="A83" s="32" t="inlineStr">
        <is>
          <t>Denver Distribution Ctr — FY2024</t>
        </is>
      </c>
      <c r="B83" s="32" t="inlineStr">
        <is>
          <t>Expense</t>
        </is>
      </c>
      <c r="C83" s="32" t="inlineStr">
        <is>
          <t>5070100-000 Taxes - Real Estate</t>
        </is>
      </c>
      <c r="D83" s="41" t="n">
        <v>2060754.14</v>
      </c>
      <c r="E83" s="32" t="inlineStr"/>
    </row>
    <row r="84">
      <c r="A84" s="32" t="inlineStr">
        <is>
          <t>Denver Distribution Ctr — FY2024</t>
        </is>
      </c>
      <c r="B84" s="32" t="inlineStr">
        <is>
          <t>Expense</t>
        </is>
      </c>
      <c r="C84" s="32" t="inlineStr">
        <is>
          <t>5070900-000 Taxes - Other</t>
        </is>
      </c>
      <c r="D84" s="41" t="n">
        <v>166.65</v>
      </c>
      <c r="E84" s="32" t="inlineStr"/>
    </row>
    <row r="85">
      <c r="A85" s="32" t="inlineStr">
        <is>
          <t>Denver Distribution Ctr — FY2024</t>
        </is>
      </c>
      <c r="B85" s="32" t="inlineStr">
        <is>
          <t>Expense</t>
        </is>
      </c>
      <c r="C85" s="32" t="inlineStr">
        <is>
          <t>5080100-000 Building Admin - Management Fees</t>
        </is>
      </c>
      <c r="D85" s="41" t="n">
        <v>138053.44</v>
      </c>
      <c r="E85" s="32" t="inlineStr"/>
    </row>
    <row r="86">
      <c r="A86" s="32" t="inlineStr">
        <is>
          <t>Denver Distribution Ctr — FY2024</t>
        </is>
      </c>
      <c r="B86" s="32" t="inlineStr">
        <is>
          <t>Expense</t>
        </is>
      </c>
      <c r="C86" s="32" t="inlineStr">
        <is>
          <t>5080400-030 Building Admin - UPS/FEDEX</t>
        </is>
      </c>
      <c r="D86" s="41" t="n">
        <v>17.25</v>
      </c>
      <c r="E86" s="32" t="inlineStr"/>
    </row>
    <row r="87">
      <c r="A87" s="32" t="inlineStr">
        <is>
          <t>Denver Distribution Ctr — FY2024</t>
        </is>
      </c>
      <c r="B87" s="32" t="inlineStr">
        <is>
          <t>Expense</t>
        </is>
      </c>
      <c r="C87" s="32" t="inlineStr">
        <is>
          <t>5080510-000 Building Admin - Accounting Support</t>
        </is>
      </c>
      <c r="D87" s="41" t="n">
        <v>69026.74000000001</v>
      </c>
      <c r="E87" s="32" t="inlineStr"/>
    </row>
    <row r="88">
      <c r="A88" s="32" t="inlineStr">
        <is>
          <t>Denver Distribution Ctr — FY2024</t>
        </is>
      </c>
      <c r="B88" s="32" t="inlineStr">
        <is>
          <t>Expense</t>
        </is>
      </c>
      <c r="C88" s="32" t="inlineStr">
        <is>
          <t>5080530-000 Building Admin - Bank Fees</t>
        </is>
      </c>
      <c r="D88" s="41" t="n">
        <v>6073.59</v>
      </c>
      <c r="E88" s="32" t="inlineStr"/>
    </row>
    <row r="89">
      <c r="A89" s="32" t="inlineStr">
        <is>
          <t>Denver Distribution Ctr — FY2024</t>
        </is>
      </c>
      <c r="B89" s="32" t="inlineStr">
        <is>
          <t>Expense</t>
        </is>
      </c>
      <c r="C89" s="32" t="inlineStr">
        <is>
          <t>5080590-000 Building Admin - Licenses &amp; Fees Required</t>
        </is>
      </c>
      <c r="D89" s="41" t="n">
        <v>32.75</v>
      </c>
      <c r="E89" s="32" t="inlineStr"/>
    </row>
    <row r="90">
      <c r="A90" s="32" t="inlineStr">
        <is>
          <t>Denver Distribution Ctr — FY2024</t>
        </is>
      </c>
      <c r="B90" s="32" t="inlineStr">
        <is>
          <t>Expense</t>
        </is>
      </c>
      <c r="C90" s="32" t="inlineStr">
        <is>
          <t>5080625-010 Building Admin - Sustainability</t>
        </is>
      </c>
      <c r="D90" s="41" t="n">
        <v>453.89</v>
      </c>
      <c r="E90" s="32" t="inlineStr"/>
    </row>
    <row r="91">
      <c r="A91" s="32" t="inlineStr">
        <is>
          <t>Denver Distribution Ctr — FY2024</t>
        </is>
      </c>
      <c r="B91" s="32" t="inlineStr">
        <is>
          <t>Expense</t>
        </is>
      </c>
      <c r="C91" s="32" t="inlineStr">
        <is>
          <t>5101700-000 Marketing - Tenant Retention &amp; Incentives</t>
        </is>
      </c>
      <c r="D91" s="41" t="n">
        <v>316.98</v>
      </c>
      <c r="E91" s="32" t="inlineStr"/>
    </row>
    <row r="92">
      <c r="A92" s="32" t="inlineStr">
        <is>
          <t>Denver Distribution Ctr — FY2024</t>
        </is>
      </c>
      <c r="B92" s="32" t="inlineStr">
        <is>
          <t>Expense</t>
        </is>
      </c>
      <c r="C92" s="32" t="inlineStr">
        <is>
          <t>5132050-000 G&amp;A - Professional Fees - Other</t>
        </is>
      </c>
      <c r="D92" s="41" t="n">
        <v>100</v>
      </c>
      <c r="E92" s="32" t="inlineStr"/>
    </row>
    <row r="93">
      <c r="A93" s="32" t="inlineStr">
        <is>
          <t>Denver Distribution Ctr — FY2024</t>
        </is>
      </c>
      <c r="B93" s="32" t="inlineStr">
        <is>
          <t>Expense</t>
        </is>
      </c>
      <c r="C93" s="32" t="inlineStr">
        <is>
          <t>5139300-000 G&amp;A - R&amp;M Nonrecoverable</t>
        </is>
      </c>
      <c r="D93" s="41" t="n">
        <v>21548.5</v>
      </c>
      <c r="E93" s="32" t="inlineStr"/>
    </row>
    <row r="94">
      <c r="A94" s="38" t="inlineStr">
        <is>
          <t>Denver Distribution Ctr — FY2024</t>
        </is>
      </c>
      <c r="B94" s="38" t="inlineStr">
        <is>
          <t>Expense</t>
        </is>
      </c>
      <c r="C94" s="38" t="inlineStr">
        <is>
          <t>TOTAL EXPENSE</t>
        </is>
      </c>
      <c r="D94" s="39">
        <f>SUM(D79:D93)</f>
        <v/>
      </c>
      <c r="E94" s="38" t="inlineStr">
        <is>
          <t>Printed total: $2,376,573.38. Total Operating Expenses = recoverable $2,354,607.90 + non-recoverable $21,965.48. NOI $2,915,728.83.</t>
        </is>
      </c>
    </row>
    <row r="95">
      <c r="A95" s="32" t="inlineStr">
        <is>
          <t>Denver Distribution Ctr — FY2024</t>
        </is>
      </c>
      <c r="B95" s="32" t="inlineStr">
        <is>
          <t>Non-operating</t>
        </is>
      </c>
      <c r="C95" s="32" t="inlineStr">
        <is>
          <t>7000200-000 Interest Expense - Note Payable</t>
        </is>
      </c>
      <c r="D95" s="41" t="n">
        <v>868994.76</v>
      </c>
      <c r="E95" s="32" t="inlineStr">
        <is>
          <t>Below the NOI line.</t>
        </is>
      </c>
    </row>
    <row r="96">
      <c r="A96" s="32" t="inlineStr">
        <is>
          <t>Denver Distribution Ctr — FY2024</t>
        </is>
      </c>
      <c r="B96" s="32" t="inlineStr">
        <is>
          <t>Non-operating</t>
        </is>
      </c>
      <c r="C96" s="32" t="inlineStr">
        <is>
          <t>7011040-000 Amort Exp - Deferred Financing Costs</t>
        </is>
      </c>
      <c r="D96" s="41" t="n">
        <v>33890.64</v>
      </c>
      <c r="E96" s="32" t="inlineStr"/>
    </row>
    <row r="97">
      <c r="A97" s="38" t="inlineStr">
        <is>
          <t>Denver Distribution Ctr — FY2024</t>
        </is>
      </c>
      <c r="B97" s="38" t="inlineStr">
        <is>
          <t>Non-operating</t>
        </is>
      </c>
      <c r="C97" s="38" t="inlineStr">
        <is>
          <t>TOTAL NON-OPERATING EXPENSES</t>
        </is>
      </c>
      <c r="D97" s="39">
        <f>SUM(D95:D96)</f>
        <v/>
      </c>
      <c r="E97" s="38" t="inlineStr">
        <is>
          <t>Printed total: $902,885.40. Net income after financing: $2,012,843.43.</t>
        </is>
      </c>
    </row>
    <row r="99">
      <c r="A99" s="32" t="inlineStr">
        <is>
          <t>2780 N. Tower Rd — FY2024</t>
        </is>
      </c>
      <c r="B99" s="32" t="inlineStr">
        <is>
          <t>Income</t>
        </is>
      </c>
      <c r="C99" s="32" t="inlineStr">
        <is>
          <t>42327 - Rent Income SRO Tower Road</t>
        </is>
      </c>
      <c r="D99" s="41" t="n">
        <v>3047376</v>
      </c>
      <c r="E99" s="32" t="inlineStr"/>
    </row>
    <row r="100">
      <c r="A100" s="38" t="inlineStr">
        <is>
          <t>2780 N. Tower Rd — FY2024</t>
        </is>
      </c>
      <c r="B100" s="38" t="inlineStr">
        <is>
          <t>Income</t>
        </is>
      </c>
      <c r="C100" s="38" t="inlineStr">
        <is>
          <t>TOTAL INCOME</t>
        </is>
      </c>
      <c r="D100" s="39">
        <f>SUM(D99:D99)</f>
        <v/>
      </c>
      <c r="E100" s="38" t="inlineStr">
        <is>
          <t>Printed total: $3,047,376.00. Total Income as printed (rent only). Rent ÷ 377,729 SF = $8.07/SF.</t>
        </is>
      </c>
    </row>
    <row r="101">
      <c r="A101" s="32" t="inlineStr">
        <is>
          <t>2780 N. Tower Rd — FY2024</t>
        </is>
      </c>
      <c r="B101" s="32" t="inlineStr">
        <is>
          <t>Expense</t>
        </is>
      </c>
      <c r="C101" s="32" t="inlineStr">
        <is>
          <t>60400 - Bank Service Charges</t>
        </is>
      </c>
      <c r="D101" s="41" t="n">
        <v>207</v>
      </c>
      <c r="E101" s="32" t="inlineStr"/>
    </row>
    <row r="102">
      <c r="A102" s="32" t="inlineStr">
        <is>
          <t>2780 N. Tower Rd — FY2024</t>
        </is>
      </c>
      <c r="B102" s="32" t="inlineStr">
        <is>
          <t>Expense</t>
        </is>
      </c>
      <c r="C102" s="32" t="inlineStr">
        <is>
          <t>62500 - Dues and Subscriptions</t>
        </is>
      </c>
      <c r="D102" s="41" t="n">
        <v>839</v>
      </c>
      <c r="E102" s="32" t="inlineStr"/>
    </row>
    <row r="103">
      <c r="A103" s="32" t="inlineStr">
        <is>
          <t>2780 N. Tower Rd — FY2024</t>
        </is>
      </c>
      <c r="B103" s="32" t="inlineStr">
        <is>
          <t>Expense</t>
        </is>
      </c>
      <c r="C103" s="32" t="inlineStr">
        <is>
          <t>64900 - Office Supplies</t>
        </is>
      </c>
      <c r="D103" s="41" t="n">
        <v>0</v>
      </c>
      <c r="E103" s="32" t="inlineStr"/>
    </row>
    <row r="104">
      <c r="A104" s="32" t="inlineStr">
        <is>
          <t>2780 N. Tower Rd — FY2024</t>
        </is>
      </c>
      <c r="B104" s="32" t="inlineStr">
        <is>
          <t>Expense</t>
        </is>
      </c>
      <c r="C104" s="32" t="inlineStr">
        <is>
          <t>66700 - Professional Fees: Accounting</t>
        </is>
      </c>
      <c r="D104" s="41" t="n">
        <v>4000</v>
      </c>
      <c r="E104" s="32" t="inlineStr"/>
    </row>
    <row r="105">
      <c r="A105" s="32" t="inlineStr">
        <is>
          <t>2780 N. Tower Rd — FY2024</t>
        </is>
      </c>
      <c r="B105" s="32" t="inlineStr">
        <is>
          <t>Expense</t>
        </is>
      </c>
      <c r="C105" s="32" t="inlineStr">
        <is>
          <t>66700 - Professional Fees: Service Agreement</t>
        </is>
      </c>
      <c r="D105" s="41" t="n">
        <v>16962</v>
      </c>
      <c r="E105" s="32" t="inlineStr"/>
    </row>
    <row r="106">
      <c r="A106" s="32" t="inlineStr">
        <is>
          <t>2780 N. Tower Rd — FY2024</t>
        </is>
      </c>
      <c r="B106" s="32" t="inlineStr">
        <is>
          <t>Expense</t>
        </is>
      </c>
      <c r="C106" s="32" t="inlineStr">
        <is>
          <t>66700 - Professional Fees - Other</t>
        </is>
      </c>
      <c r="D106" s="41" t="n">
        <v>-951</v>
      </c>
      <c r="E106" s="32" t="inlineStr"/>
    </row>
    <row r="107">
      <c r="A107" s="32" t="inlineStr">
        <is>
          <t>2780 N. Tower Rd — FY2024</t>
        </is>
      </c>
      <c r="B107" s="32" t="inlineStr">
        <is>
          <t>Expense</t>
        </is>
      </c>
      <c r="C107" s="32" t="inlineStr">
        <is>
          <t>67200 - Repairs and Maintenance</t>
        </is>
      </c>
      <c r="D107" s="41" t="n">
        <v>0</v>
      </c>
      <c r="E107" s="32" t="inlineStr"/>
    </row>
    <row r="108">
      <c r="A108" s="32" t="inlineStr">
        <is>
          <t>2780 N. Tower Rd — FY2024</t>
        </is>
      </c>
      <c r="B108" s="32" t="inlineStr">
        <is>
          <t>Expense</t>
        </is>
      </c>
      <c r="C108" s="32" t="inlineStr">
        <is>
          <t>68000 - Taxes - Property</t>
        </is>
      </c>
      <c r="D108" s="41" t="n">
        <v>0</v>
      </c>
      <c r="E108" s="32" t="inlineStr"/>
    </row>
    <row r="109">
      <c r="A109" s="32" t="inlineStr">
        <is>
          <t>2780 N. Tower Rd — FY2024</t>
        </is>
      </c>
      <c r="B109" s="32" t="inlineStr">
        <is>
          <t>Expense</t>
        </is>
      </c>
      <c r="C109" s="32" t="inlineStr">
        <is>
          <t>68600 - Utilities</t>
        </is>
      </c>
      <c r="D109" s="41" t="n">
        <v>0</v>
      </c>
      <c r="E109" s="32" t="inlineStr"/>
    </row>
    <row r="110">
      <c r="A110" s="32" t="inlineStr">
        <is>
          <t>2780 N. Tower Rd — FY2024</t>
        </is>
      </c>
      <c r="B110" s="32" t="inlineStr">
        <is>
          <t>Expense</t>
        </is>
      </c>
      <c r="C110" s="32" t="inlineStr">
        <is>
          <t>74410 - Outside Services</t>
        </is>
      </c>
      <c r="D110" s="41" t="n">
        <v>14830</v>
      </c>
      <c r="E110" s="32" t="inlineStr"/>
    </row>
    <row r="111">
      <c r="A111" s="32" t="inlineStr">
        <is>
          <t>2780 N. Tower Rd — FY2024</t>
        </is>
      </c>
      <c r="B111" s="32" t="inlineStr">
        <is>
          <t>Expense</t>
        </is>
      </c>
      <c r="C111" s="32" t="inlineStr">
        <is>
          <t>75015 - Legal</t>
        </is>
      </c>
      <c r="D111" s="41" t="n">
        <v>11093</v>
      </c>
      <c r="E111" s="32" t="inlineStr"/>
    </row>
    <row r="112">
      <c r="A112" s="32" t="inlineStr">
        <is>
          <t>2780 N. Tower Rd — FY2024</t>
        </is>
      </c>
      <c r="B112" s="32" t="inlineStr">
        <is>
          <t>Expense</t>
        </is>
      </c>
      <c r="C112" s="32" t="inlineStr">
        <is>
          <t>75020 - Consulting fees</t>
        </is>
      </c>
      <c r="D112" s="41" t="n">
        <v>0</v>
      </c>
      <c r="E112" s="32" t="inlineStr"/>
    </row>
    <row r="113">
      <c r="A113" s="32" t="inlineStr">
        <is>
          <t>2780 N. Tower Rd — FY2024</t>
        </is>
      </c>
      <c r="B113" s="32" t="inlineStr">
        <is>
          <t>Expense</t>
        </is>
      </c>
      <c r="C113" s="32" t="inlineStr">
        <is>
          <t>77025 - Depreciation - Bldgs &amp; Improvement</t>
        </is>
      </c>
      <c r="D113" s="41" t="n">
        <v>456096</v>
      </c>
      <c r="E113" s="32" t="inlineStr"/>
    </row>
    <row r="114">
      <c r="A114" s="32" t="inlineStr">
        <is>
          <t>2780 N. Tower Rd — FY2024</t>
        </is>
      </c>
      <c r="B114" s="32" t="inlineStr">
        <is>
          <t>Expense</t>
        </is>
      </c>
      <c r="C114" s="32" t="inlineStr">
        <is>
          <t>77026 - Amortization</t>
        </is>
      </c>
      <c r="D114" s="41" t="n">
        <v>12124</v>
      </c>
      <c r="E114" s="32" t="inlineStr"/>
    </row>
    <row r="115">
      <c r="A115" s="38" t="inlineStr">
        <is>
          <t>2780 N. Tower Rd — FY2024</t>
        </is>
      </c>
      <c r="B115" s="38" t="inlineStr">
        <is>
          <t>Expense</t>
        </is>
      </c>
      <c r="C115" s="38" t="inlineStr">
        <is>
          <t>TOTAL EXPENSE</t>
        </is>
      </c>
      <c r="D115" s="39">
        <f>SUM(D101:D114)</f>
        <v/>
      </c>
      <c r="E115" s="38" t="inlineStr">
        <is>
          <t>Printed total: $515,200.00. Total Expense as printed. Absolute net lease — property taxes, R&amp;M and utilities are $0 to the owner. Excluding depreciation $456,096 and amortization $12,124, cash operating expense is $46,980 ($0.12/SF). Net ordinary income $2,532,176; less interest $613,282 → net income $1,918,894.</t>
        </is>
      </c>
    </row>
    <row r="116">
      <c r="A116" s="32" t="inlineStr">
        <is>
          <t>2780 N. Tower Rd — FY2024</t>
        </is>
      </c>
      <c r="B116" s="32" t="inlineStr">
        <is>
          <t>Non-operating</t>
        </is>
      </c>
      <c r="C116" s="32" t="inlineStr">
        <is>
          <t>92000 - Interest Expense - Notes</t>
        </is>
      </c>
      <c r="D116" s="41" t="n">
        <v>613282</v>
      </c>
      <c r="E116" s="32" t="inlineStr">
        <is>
          <t>Printed Total Other Expense: $613,282. Net income: $1,918,894.</t>
        </is>
      </c>
    </row>
    <row r="118">
      <c r="A118" s="32" t="inlineStr">
        <is>
          <t>2780 N. Tower Rd — FY2023</t>
        </is>
      </c>
      <c r="B118" s="32" t="inlineStr">
        <is>
          <t>Income</t>
        </is>
      </c>
      <c r="C118" s="32" t="inlineStr">
        <is>
          <t>42327 - Rent Income SRO Tower Road</t>
        </is>
      </c>
      <c r="D118" s="41" t="n">
        <v>2979661</v>
      </c>
      <c r="E118" s="32" t="inlineStr"/>
    </row>
    <row r="119">
      <c r="A119" s="38" t="inlineStr">
        <is>
          <t>2780 N. Tower Rd — FY2023</t>
        </is>
      </c>
      <c r="B119" s="38" t="inlineStr">
        <is>
          <t>Income</t>
        </is>
      </c>
      <c r="C119" s="38" t="inlineStr">
        <is>
          <t>TOTAL INCOME</t>
        </is>
      </c>
      <c r="D119" s="39">
        <f>SUM(D118:D118)</f>
        <v/>
      </c>
      <c r="E119" s="38" t="inlineStr">
        <is>
          <t>Printed total: $2,979,661.00. Total Income as printed (rent only). Rent ÷ 377,729 SF = $7.89/SF. Separately, Other Income of $18 is reported below the operating section.</t>
        </is>
      </c>
    </row>
    <row r="120">
      <c r="A120" s="32" t="inlineStr">
        <is>
          <t>2780 N. Tower Rd — FY2023</t>
        </is>
      </c>
      <c r="B120" s="32" t="inlineStr">
        <is>
          <t>Expense</t>
        </is>
      </c>
      <c r="C120" s="32" t="inlineStr">
        <is>
          <t>60400 - Bank Service Charges</t>
        </is>
      </c>
      <c r="D120" s="41" t="n">
        <v>355</v>
      </c>
      <c r="E120" s="32" t="inlineStr"/>
    </row>
    <row r="121">
      <c r="A121" s="32" t="inlineStr">
        <is>
          <t>2780 N. Tower Rd — FY2023</t>
        </is>
      </c>
      <c r="B121" s="32" t="inlineStr">
        <is>
          <t>Expense</t>
        </is>
      </c>
      <c r="C121" s="32" t="inlineStr">
        <is>
          <t>62500 - Dues and Subscriptions</t>
        </is>
      </c>
      <c r="D121" s="41" t="n">
        <v>800</v>
      </c>
      <c r="E121" s="32" t="inlineStr"/>
    </row>
    <row r="122">
      <c r="A122" s="32" t="inlineStr">
        <is>
          <t>2780 N. Tower Rd — FY2023</t>
        </is>
      </c>
      <c r="B122" s="32" t="inlineStr">
        <is>
          <t>Expense</t>
        </is>
      </c>
      <c r="C122" s="32" t="inlineStr">
        <is>
          <t>64900 - Office Supplies</t>
        </is>
      </c>
      <c r="D122" s="41" t="n">
        <v>10</v>
      </c>
      <c r="E122" s="32" t="inlineStr"/>
    </row>
    <row r="123">
      <c r="A123" s="32" t="inlineStr">
        <is>
          <t>2780 N. Tower Rd — FY2023</t>
        </is>
      </c>
      <c r="B123" s="32" t="inlineStr">
        <is>
          <t>Expense</t>
        </is>
      </c>
      <c r="C123" s="32" t="inlineStr">
        <is>
          <t>66700 - Professional Fees: Accounting</t>
        </is>
      </c>
      <c r="D123" s="41" t="n">
        <v>3855</v>
      </c>
      <c r="E123" s="32" t="inlineStr"/>
    </row>
    <row r="124">
      <c r="A124" s="32" t="inlineStr">
        <is>
          <t>2780 N. Tower Rd — FY2023</t>
        </is>
      </c>
      <c r="B124" s="32" t="inlineStr">
        <is>
          <t>Expense</t>
        </is>
      </c>
      <c r="C124" s="32" t="inlineStr">
        <is>
          <t>66700 - Professional Fees: Service Agreement</t>
        </is>
      </c>
      <c r="D124" s="41" t="n">
        <v>16596</v>
      </c>
      <c r="E124" s="32" t="inlineStr"/>
    </row>
    <row r="125">
      <c r="A125" s="32" t="inlineStr">
        <is>
          <t>2780 N. Tower Rd — FY2023</t>
        </is>
      </c>
      <c r="B125" s="32" t="inlineStr">
        <is>
          <t>Expense</t>
        </is>
      </c>
      <c r="C125" s="32" t="inlineStr">
        <is>
          <t>66700 - Professional Fees - Other</t>
        </is>
      </c>
      <c r="D125" s="41" t="n">
        <v>0</v>
      </c>
      <c r="E125" s="32" t="inlineStr"/>
    </row>
    <row r="126">
      <c r="A126" s="32" t="inlineStr">
        <is>
          <t>2780 N. Tower Rd — FY2023</t>
        </is>
      </c>
      <c r="B126" s="32" t="inlineStr">
        <is>
          <t>Expense</t>
        </is>
      </c>
      <c r="C126" s="32" t="inlineStr">
        <is>
          <t>67200 - Repairs and Maintenance</t>
        </is>
      </c>
      <c r="D126" s="41" t="n">
        <v>0</v>
      </c>
      <c r="E126" s="32" t="inlineStr"/>
    </row>
    <row r="127">
      <c r="A127" s="32" t="inlineStr">
        <is>
          <t>2780 N. Tower Rd — FY2023</t>
        </is>
      </c>
      <c r="B127" s="32" t="inlineStr">
        <is>
          <t>Expense</t>
        </is>
      </c>
      <c r="C127" s="32" t="inlineStr">
        <is>
          <t>68000 - Taxes - Property</t>
        </is>
      </c>
      <c r="D127" s="41" t="n">
        <v>0</v>
      </c>
      <c r="E127" s="32" t="inlineStr"/>
    </row>
    <row r="128">
      <c r="A128" s="32" t="inlineStr">
        <is>
          <t>2780 N. Tower Rd — FY2023</t>
        </is>
      </c>
      <c r="B128" s="32" t="inlineStr">
        <is>
          <t>Expense</t>
        </is>
      </c>
      <c r="C128" s="32" t="inlineStr">
        <is>
          <t>68600 - Utilities</t>
        </is>
      </c>
      <c r="D128" s="41" t="n">
        <v>687</v>
      </c>
      <c r="E128" s="32" t="inlineStr"/>
    </row>
    <row r="129">
      <c r="A129" s="32" t="inlineStr">
        <is>
          <t>2780 N. Tower Rd — FY2023</t>
        </is>
      </c>
      <c r="B129" s="32" t="inlineStr">
        <is>
          <t>Expense</t>
        </is>
      </c>
      <c r="C129" s="32" t="inlineStr">
        <is>
          <t>74410 - Outside Services</t>
        </is>
      </c>
      <c r="D129" s="41" t="n">
        <v>2206</v>
      </c>
      <c r="E129" s="32" t="inlineStr"/>
    </row>
    <row r="130">
      <c r="A130" s="32" t="inlineStr">
        <is>
          <t>2780 N. Tower Rd — FY2023</t>
        </is>
      </c>
      <c r="B130" s="32" t="inlineStr">
        <is>
          <t>Expense</t>
        </is>
      </c>
      <c r="C130" s="32" t="inlineStr">
        <is>
          <t>75015 - Legal</t>
        </is>
      </c>
      <c r="D130" s="41" t="n">
        <v>4730</v>
      </c>
      <c r="E130" s="32" t="inlineStr"/>
    </row>
    <row r="131">
      <c r="A131" s="32" t="inlineStr">
        <is>
          <t>2780 N. Tower Rd — FY2023</t>
        </is>
      </c>
      <c r="B131" s="32" t="inlineStr">
        <is>
          <t>Expense</t>
        </is>
      </c>
      <c r="C131" s="32" t="inlineStr">
        <is>
          <t>75020 - Consulting fees</t>
        </is>
      </c>
      <c r="D131" s="41" t="n">
        <v>0</v>
      </c>
      <c r="E131" s="32" t="inlineStr"/>
    </row>
    <row r="132">
      <c r="A132" s="32" t="inlineStr">
        <is>
          <t>2780 N. Tower Rd — FY2023</t>
        </is>
      </c>
      <c r="B132" s="32" t="inlineStr">
        <is>
          <t>Expense</t>
        </is>
      </c>
      <c r="C132" s="32" t="inlineStr">
        <is>
          <t>77025 - Depreciation - Bldgs &amp; Improvement</t>
        </is>
      </c>
      <c r="D132" s="41" t="n">
        <v>456096</v>
      </c>
      <c r="E132" s="32" t="inlineStr"/>
    </row>
    <row r="133">
      <c r="A133" s="32" t="inlineStr">
        <is>
          <t>2780 N. Tower Rd — FY2023</t>
        </is>
      </c>
      <c r="B133" s="32" t="inlineStr">
        <is>
          <t>Expense</t>
        </is>
      </c>
      <c r="C133" s="32" t="inlineStr">
        <is>
          <t>77026 - Amortization</t>
        </is>
      </c>
      <c r="D133" s="41" t="n">
        <v>12124</v>
      </c>
      <c r="E133" s="32" t="inlineStr"/>
    </row>
    <row r="134">
      <c r="A134" s="38" t="inlineStr">
        <is>
          <t>2780 N. Tower Rd — FY2023</t>
        </is>
      </c>
      <c r="B134" s="38" t="inlineStr">
        <is>
          <t>Expense</t>
        </is>
      </c>
      <c r="C134" s="38" t="inlineStr">
        <is>
          <t>TOTAL EXPENSE</t>
        </is>
      </c>
      <c r="D134" s="39">
        <f>SUM(D120:D133)</f>
        <v/>
      </c>
      <c r="E134" s="38" t="inlineStr">
        <is>
          <t>Printed total: $497,459.00. Total Expense as printed. Absolute net lease — property taxes, R&amp;M are $0 to the owner. Excluding depreciation $456,096 and amortization $12,124, cash operating expense is $29,239 ($0.08/SF). Net ordinary income $2,482,202; less interest $641,014 → net income $1,841,206.</t>
        </is>
      </c>
    </row>
    <row r="135">
      <c r="A135" s="32" t="inlineStr">
        <is>
          <t>2780 N. Tower Rd — FY2023</t>
        </is>
      </c>
      <c r="B135" s="32" t="inlineStr">
        <is>
          <t>Other income</t>
        </is>
      </c>
      <c r="C135" s="32" t="inlineStr">
        <is>
          <t>Other Income</t>
        </is>
      </c>
      <c r="D135" s="41" t="n">
        <v>18</v>
      </c>
      <c r="E135" s="32" t="inlineStr">
        <is>
          <t>Printed Total Other Income: $18.</t>
        </is>
      </c>
    </row>
    <row r="136">
      <c r="A136" s="32" t="inlineStr">
        <is>
          <t>2780 N. Tower Rd — FY2023</t>
        </is>
      </c>
      <c r="B136" s="32" t="inlineStr">
        <is>
          <t>Non-operating</t>
        </is>
      </c>
      <c r="C136" s="32" t="inlineStr">
        <is>
          <t>92000 - Interest Expense - Notes</t>
        </is>
      </c>
      <c r="D136" s="41" t="n">
        <v>641014</v>
      </c>
      <c r="E136" s="32" t="inlineStr">
        <is>
          <t>Printed Total Other Expense: $641,014. Net income: $1,841,206.</t>
        </is>
      </c>
    </row>
    <row r="138">
      <c r="A138" s="32" t="inlineStr">
        <is>
          <t>Majestic Commercenter — FY2024</t>
        </is>
      </c>
      <c r="B138" s="32" t="inlineStr">
        <is>
          <t>Income</t>
        </is>
      </c>
      <c r="C138" s="32" t="inlineStr">
        <is>
          <t>Base Rent</t>
        </is>
      </c>
      <c r="D138" s="41" t="n">
        <v>698747.99</v>
      </c>
      <c r="E138" s="32" t="inlineStr"/>
    </row>
    <row r="139">
      <c r="A139" s="32" t="inlineStr">
        <is>
          <t>Majestic Commercenter — FY2024</t>
        </is>
      </c>
      <c r="B139" s="32" t="inlineStr">
        <is>
          <t>Income</t>
        </is>
      </c>
      <c r="C139" s="32" t="inlineStr">
        <is>
          <t>Operating Exp. Recovery</t>
        </is>
      </c>
      <c r="D139" s="41" t="n">
        <v>143868</v>
      </c>
      <c r="E139" s="32" t="inlineStr"/>
    </row>
    <row r="140">
      <c r="A140" s="32" t="inlineStr">
        <is>
          <t>Majestic Commercenter — FY2024</t>
        </is>
      </c>
      <c r="B140" s="32" t="inlineStr">
        <is>
          <t>Income</t>
        </is>
      </c>
      <c r="C140" s="32" t="inlineStr">
        <is>
          <t>Tax Recovery</t>
        </is>
      </c>
      <c r="D140" s="41" t="n">
        <v>499872</v>
      </c>
      <c r="E140" s="32" t="inlineStr"/>
    </row>
    <row r="141">
      <c r="A141" s="32" t="inlineStr">
        <is>
          <t>Majestic Commercenter — FY2024</t>
        </is>
      </c>
      <c r="B141" s="32" t="inlineStr">
        <is>
          <t>Income</t>
        </is>
      </c>
      <c r="C141" s="32" t="inlineStr">
        <is>
          <t>Insurance Recovery</t>
        </is>
      </c>
      <c r="D141" s="41" t="n">
        <v>32352</v>
      </c>
      <c r="E141" s="32" t="inlineStr"/>
    </row>
    <row r="142">
      <c r="A142" s="32" t="inlineStr">
        <is>
          <t>Majestic Commercenter — FY2024</t>
        </is>
      </c>
      <c r="B142" s="32" t="inlineStr">
        <is>
          <t>Income</t>
        </is>
      </c>
      <c r="C142" s="32" t="inlineStr">
        <is>
          <t>Prior Year Reconciliations</t>
        </is>
      </c>
      <c r="D142" s="41" t="n">
        <v>-12867.2</v>
      </c>
      <c r="E142" s="32" t="inlineStr"/>
    </row>
    <row r="143">
      <c r="A143" s="38" t="inlineStr">
        <is>
          <t>Majestic Commercenter — FY2024</t>
        </is>
      </c>
      <c r="B143" s="38" t="inlineStr">
        <is>
          <t>Income</t>
        </is>
      </c>
      <c r="C143" s="38" t="inlineStr">
        <is>
          <t>TOTAL INCOME</t>
        </is>
      </c>
      <c r="D143" s="39">
        <f>SUM(D138:D142)</f>
        <v/>
      </c>
      <c r="E143" s="38" t="inlineStr">
        <is>
          <t>Printed total: $1,361,972.79. Gross Revenue as printed. Base rent ÷ 200,000 SF = $3.49/SF.</t>
        </is>
      </c>
    </row>
    <row r="144">
      <c r="A144" s="32" t="inlineStr">
        <is>
          <t>Majestic Commercenter — FY2024</t>
        </is>
      </c>
      <c r="B144" s="32" t="inlineStr">
        <is>
          <t>Expense</t>
        </is>
      </c>
      <c r="C144" s="32" t="inlineStr">
        <is>
          <t>Water/Sewer (rec)</t>
        </is>
      </c>
      <c r="D144" s="41" t="n">
        <v>24928.96</v>
      </c>
      <c r="E144" s="32" t="inlineStr"/>
    </row>
    <row r="145">
      <c r="A145" s="32" t="inlineStr">
        <is>
          <t>Majestic Commercenter — FY2024</t>
        </is>
      </c>
      <c r="B145" s="32" t="inlineStr">
        <is>
          <t>Expense</t>
        </is>
      </c>
      <c r="C145" s="32" t="inlineStr">
        <is>
          <t>Extermination (rec)</t>
        </is>
      </c>
      <c r="D145" s="41" t="n">
        <v>2310</v>
      </c>
      <c r="E145" s="32" t="inlineStr"/>
    </row>
    <row r="146">
      <c r="A146" s="32" t="inlineStr">
        <is>
          <t>Majestic Commercenter — FY2024</t>
        </is>
      </c>
      <c r="B146" s="32" t="inlineStr">
        <is>
          <t>Expense</t>
        </is>
      </c>
      <c r="C146" s="32" t="inlineStr">
        <is>
          <t>Fire Protection/Security (rec)</t>
        </is>
      </c>
      <c r="D146" s="41" t="n">
        <v>4079.61</v>
      </c>
      <c r="E146" s="32" t="inlineStr"/>
    </row>
    <row r="147">
      <c r="A147" s="32" t="inlineStr">
        <is>
          <t>Majestic Commercenter — FY2024</t>
        </is>
      </c>
      <c r="B147" s="32" t="inlineStr">
        <is>
          <t>Expense</t>
        </is>
      </c>
      <c r="C147" s="32" t="inlineStr">
        <is>
          <t>R&amp;M - Electrical (rec)</t>
        </is>
      </c>
      <c r="D147" s="41" t="n">
        <v>4433.48</v>
      </c>
      <c r="E147" s="32" t="inlineStr"/>
    </row>
    <row r="148">
      <c r="A148" s="32" t="inlineStr">
        <is>
          <t>Majestic Commercenter — FY2024</t>
        </is>
      </c>
      <c r="B148" s="32" t="inlineStr">
        <is>
          <t>Expense</t>
        </is>
      </c>
      <c r="C148" s="32" t="inlineStr">
        <is>
          <t>R&amp;M - General Building (rec)</t>
        </is>
      </c>
      <c r="D148" s="41" t="n">
        <v>310</v>
      </c>
      <c r="E148" s="32" t="inlineStr"/>
    </row>
    <row r="149">
      <c r="A149" s="32" t="inlineStr">
        <is>
          <t>Majestic Commercenter — FY2024</t>
        </is>
      </c>
      <c r="B149" s="32" t="inlineStr">
        <is>
          <t>Expense</t>
        </is>
      </c>
      <c r="C149" s="32" t="inlineStr">
        <is>
          <t>R&amp;M - Landscape/Sprinkler (rec)</t>
        </is>
      </c>
      <c r="D149" s="41" t="n">
        <v>10960.97</v>
      </c>
      <c r="E149" s="32" t="inlineStr"/>
    </row>
    <row r="150">
      <c r="A150" s="32" t="inlineStr">
        <is>
          <t>Majestic Commercenter — FY2024</t>
        </is>
      </c>
      <c r="B150" s="32" t="inlineStr">
        <is>
          <t>Expense</t>
        </is>
      </c>
      <c r="C150" s="32" t="inlineStr">
        <is>
          <t>R&amp;M - HVAC (rec)</t>
        </is>
      </c>
      <c r="D150" s="41" t="n">
        <v>5126.45</v>
      </c>
      <c r="E150" s="32" t="inlineStr"/>
    </row>
    <row r="151">
      <c r="A151" s="32" t="inlineStr">
        <is>
          <t>Majestic Commercenter — FY2024</t>
        </is>
      </c>
      <c r="B151" s="32" t="inlineStr">
        <is>
          <t>Expense</t>
        </is>
      </c>
      <c r="C151" s="32" t="inlineStr">
        <is>
          <t>R&amp;M - Parking Lot (rec)</t>
        </is>
      </c>
      <c r="D151" s="41" t="n">
        <v>14956.6</v>
      </c>
      <c r="E151" s="32" t="inlineStr"/>
    </row>
    <row r="152">
      <c r="A152" s="32" t="inlineStr">
        <is>
          <t>Majestic Commercenter — FY2024</t>
        </is>
      </c>
      <c r="B152" s="32" t="inlineStr">
        <is>
          <t>Expense</t>
        </is>
      </c>
      <c r="C152" s="32" t="inlineStr">
        <is>
          <t>R&amp;M - Parking Lot Sweeping (rec)</t>
        </is>
      </c>
      <c r="D152" s="41" t="n">
        <v>75</v>
      </c>
      <c r="E152" s="32" t="inlineStr"/>
    </row>
    <row r="153">
      <c r="A153" s="32" t="inlineStr">
        <is>
          <t>Majestic Commercenter — FY2024</t>
        </is>
      </c>
      <c r="B153" s="32" t="inlineStr">
        <is>
          <t>Expense</t>
        </is>
      </c>
      <c r="C153" s="32" t="inlineStr">
        <is>
          <t>R&amp;M - Parking Lot Snow Removal (rec)</t>
        </is>
      </c>
      <c r="D153" s="41" t="n">
        <v>12925.25</v>
      </c>
      <c r="E153" s="32" t="inlineStr"/>
    </row>
    <row r="154">
      <c r="A154" s="32" t="inlineStr">
        <is>
          <t>Majestic Commercenter — FY2024</t>
        </is>
      </c>
      <c r="B154" s="32" t="inlineStr">
        <is>
          <t>Expense</t>
        </is>
      </c>
      <c r="C154" s="32" t="inlineStr">
        <is>
          <t>Management Fees (rec)</t>
        </is>
      </c>
      <c r="D154" s="41" t="n">
        <v>43037.28</v>
      </c>
      <c r="E154" s="32" t="inlineStr"/>
    </row>
    <row r="155">
      <c r="A155" s="32" t="inlineStr">
        <is>
          <t>Majestic Commercenter — FY2024</t>
        </is>
      </c>
      <c r="B155" s="32" t="inlineStr">
        <is>
          <t>Expense</t>
        </is>
      </c>
      <c r="C155" s="32" t="inlineStr">
        <is>
          <t>Real Estate Taxes (fixed)</t>
        </is>
      </c>
      <c r="D155" s="41" t="n">
        <v>423808.38</v>
      </c>
      <c r="E155" s="32" t="inlineStr"/>
    </row>
    <row r="156">
      <c r="A156" s="32" t="inlineStr">
        <is>
          <t>Majestic Commercenter — FY2024</t>
        </is>
      </c>
      <c r="B156" s="32" t="inlineStr">
        <is>
          <t>Expense</t>
        </is>
      </c>
      <c r="C156" s="32" t="inlineStr">
        <is>
          <t>Insurance (fixed)</t>
        </is>
      </c>
      <c r="D156" s="41" t="n">
        <v>65797</v>
      </c>
      <c r="E156" s="32" t="inlineStr"/>
    </row>
    <row r="157">
      <c r="A157" s="38" t="inlineStr">
        <is>
          <t>Majestic Commercenter — FY2024</t>
        </is>
      </c>
      <c r="B157" s="38" t="inlineStr">
        <is>
          <t>Expense</t>
        </is>
      </c>
      <c r="C157" s="38" t="inlineStr">
        <is>
          <t>TOTAL EXPENSE</t>
        </is>
      </c>
      <c r="D157" s="39">
        <f>SUM(D144:D156)</f>
        <v/>
      </c>
      <c r="E157" s="38" t="inlineStr">
        <is>
          <t>Printed total: $612,748.98. Recoverable OpEx $123,143.60 + fixed $489,605.38. Income from operations $749,223.81. Below that line: G&amp;A misc $100.00 and lease commission $71,251.20 → total expenses $684,100.18, operating summary $677,872.61.</t>
        </is>
      </c>
    </row>
    <row r="159">
      <c r="A159" s="32" t="inlineStr">
        <is>
          <t>Majestic Commercenter — FY2023</t>
        </is>
      </c>
      <c r="B159" s="32" t="inlineStr">
        <is>
          <t>Income</t>
        </is>
      </c>
      <c r="C159" s="32" t="inlineStr">
        <is>
          <t>Base Rent</t>
        </is>
      </c>
      <c r="D159" s="41" t="n">
        <v>675674.6800000001</v>
      </c>
      <c r="E159" s="32" t="inlineStr"/>
    </row>
    <row r="160">
      <c r="A160" s="32" t="inlineStr">
        <is>
          <t>Majestic Commercenter — FY2023</t>
        </is>
      </c>
      <c r="B160" s="32" t="inlineStr">
        <is>
          <t>Income</t>
        </is>
      </c>
      <c r="C160" s="32" t="inlineStr">
        <is>
          <t>Operating Exp. Recovery</t>
        </is>
      </c>
      <c r="D160" s="41" t="n">
        <v>152196</v>
      </c>
      <c r="E160" s="32" t="inlineStr"/>
    </row>
    <row r="161">
      <c r="A161" s="32" t="inlineStr">
        <is>
          <t>Majestic Commercenter — FY2023</t>
        </is>
      </c>
      <c r="B161" s="32" t="inlineStr">
        <is>
          <t>Income</t>
        </is>
      </c>
      <c r="C161" s="32" t="inlineStr">
        <is>
          <t>Tax Recovery</t>
        </is>
      </c>
      <c r="D161" s="41" t="n">
        <v>506459.28</v>
      </c>
      <c r="E161" s="32" t="inlineStr"/>
    </row>
    <row r="162">
      <c r="A162" s="32" t="inlineStr">
        <is>
          <t>Majestic Commercenter — FY2023</t>
        </is>
      </c>
      <c r="B162" s="32" t="inlineStr">
        <is>
          <t>Income</t>
        </is>
      </c>
      <c r="C162" s="32" t="inlineStr">
        <is>
          <t>Insurance Recovery</t>
        </is>
      </c>
      <c r="D162" s="41" t="n">
        <v>23712</v>
      </c>
      <c r="E162" s="32" t="inlineStr"/>
    </row>
    <row r="163">
      <c r="A163" s="32" t="inlineStr">
        <is>
          <t>Majestic Commercenter — FY2023</t>
        </is>
      </c>
      <c r="B163" s="32" t="inlineStr">
        <is>
          <t>Income</t>
        </is>
      </c>
      <c r="C163" s="32" t="inlineStr">
        <is>
          <t>Prior Year Reconciliations</t>
        </is>
      </c>
      <c r="D163" s="41" t="n">
        <v>-25812.01</v>
      </c>
      <c r="E163" s="32" t="inlineStr"/>
    </row>
    <row r="164">
      <c r="A164" s="38" t="inlineStr">
        <is>
          <t>Majestic Commercenter — FY2023</t>
        </is>
      </c>
      <c r="B164" s="38" t="inlineStr">
        <is>
          <t>Income</t>
        </is>
      </c>
      <c r="C164" s="38" t="inlineStr">
        <is>
          <t>TOTAL INCOME</t>
        </is>
      </c>
      <c r="D164" s="39">
        <f>SUM(D159:D163)</f>
        <v/>
      </c>
      <c r="E164" s="38" t="inlineStr">
        <is>
          <t>Printed total: $1,332,229.95. Gross Revenue as printed. Base rent ÷ 200,000 SF = $3.38/SF.</t>
        </is>
      </c>
    </row>
    <row r="165">
      <c r="A165" s="32" t="inlineStr">
        <is>
          <t>Majestic Commercenter — FY2023</t>
        </is>
      </c>
      <c r="B165" s="32" t="inlineStr">
        <is>
          <t>Expense</t>
        </is>
      </c>
      <c r="C165" s="32" t="inlineStr">
        <is>
          <t>Water/Sewer (rec)</t>
        </is>
      </c>
      <c r="D165" s="41" t="n">
        <v>24936.52</v>
      </c>
      <c r="E165" s="32" t="inlineStr"/>
    </row>
    <row r="166">
      <c r="A166" s="32" t="inlineStr">
        <is>
          <t>Majestic Commercenter — FY2023</t>
        </is>
      </c>
      <c r="B166" s="32" t="inlineStr">
        <is>
          <t>Expense</t>
        </is>
      </c>
      <c r="C166" s="32" t="inlineStr">
        <is>
          <t>Extermination (rec)</t>
        </is>
      </c>
      <c r="D166" s="41" t="n">
        <v>2910</v>
      </c>
      <c r="E166" s="32" t="inlineStr"/>
    </row>
    <row r="167">
      <c r="A167" s="32" t="inlineStr">
        <is>
          <t>Majestic Commercenter — FY2023</t>
        </is>
      </c>
      <c r="B167" s="32" t="inlineStr">
        <is>
          <t>Expense</t>
        </is>
      </c>
      <c r="C167" s="32" t="inlineStr">
        <is>
          <t>Fire Protection/Security (rec)</t>
        </is>
      </c>
      <c r="D167" s="41" t="n">
        <v>1930</v>
      </c>
      <c r="E167" s="32" t="inlineStr"/>
    </row>
    <row r="168">
      <c r="A168" s="32" t="inlineStr">
        <is>
          <t>Majestic Commercenter — FY2023</t>
        </is>
      </c>
      <c r="B168" s="32" t="inlineStr">
        <is>
          <t>Expense</t>
        </is>
      </c>
      <c r="C168" s="32" t="inlineStr">
        <is>
          <t>R&amp;M - Electrical (rec)</t>
        </is>
      </c>
      <c r="D168" s="41" t="n">
        <v>2154.09</v>
      </c>
      <c r="E168" s="32" t="inlineStr"/>
    </row>
    <row r="169">
      <c r="A169" s="32" t="inlineStr">
        <is>
          <t>Majestic Commercenter — FY2023</t>
        </is>
      </c>
      <c r="B169" s="32" t="inlineStr">
        <is>
          <t>Expense</t>
        </is>
      </c>
      <c r="C169" s="32" t="inlineStr">
        <is>
          <t>R&amp;M - General Building (rec)</t>
        </is>
      </c>
      <c r="D169" s="41" t="n">
        <v>1317</v>
      </c>
      <c r="E169" s="32" t="inlineStr"/>
    </row>
    <row r="170">
      <c r="A170" s="32" t="inlineStr">
        <is>
          <t>Majestic Commercenter — FY2023</t>
        </is>
      </c>
      <c r="B170" s="32" t="inlineStr">
        <is>
          <t>Expense</t>
        </is>
      </c>
      <c r="C170" s="32" t="inlineStr">
        <is>
          <t>R&amp;M - Grounds (rec)</t>
        </is>
      </c>
      <c r="D170" s="41" t="n">
        <v>1295</v>
      </c>
      <c r="E170" s="32" t="inlineStr"/>
    </row>
    <row r="171">
      <c r="A171" s="32" t="inlineStr">
        <is>
          <t>Majestic Commercenter — FY2023</t>
        </is>
      </c>
      <c r="B171" s="32" t="inlineStr">
        <is>
          <t>Expense</t>
        </is>
      </c>
      <c r="C171" s="32" t="inlineStr">
        <is>
          <t>R&amp;M - Landscape/Sprinkler (rec)</t>
        </is>
      </c>
      <c r="D171" s="41" t="n">
        <v>21159.44</v>
      </c>
      <c r="E171" s="32" t="inlineStr"/>
    </row>
    <row r="172">
      <c r="A172" s="32" t="inlineStr">
        <is>
          <t>Majestic Commercenter — FY2023</t>
        </is>
      </c>
      <c r="B172" s="32" t="inlineStr">
        <is>
          <t>Expense</t>
        </is>
      </c>
      <c r="C172" s="32" t="inlineStr">
        <is>
          <t>R&amp;M - HVAC (rec)</t>
        </is>
      </c>
      <c r="D172" s="41" t="n">
        <v>19024.59</v>
      </c>
      <c r="E172" s="32" t="inlineStr"/>
    </row>
    <row r="173">
      <c r="A173" s="32" t="inlineStr">
        <is>
          <t>Majestic Commercenter — FY2023</t>
        </is>
      </c>
      <c r="B173" s="32" t="inlineStr">
        <is>
          <t>Expense</t>
        </is>
      </c>
      <c r="C173" s="32" t="inlineStr">
        <is>
          <t>R&amp;M - Parking Lot (rec)</t>
        </is>
      </c>
      <c r="D173" s="41" t="n">
        <v>44093.04</v>
      </c>
      <c r="E173" s="32" t="inlineStr"/>
    </row>
    <row r="174">
      <c r="A174" s="32" t="inlineStr">
        <is>
          <t>Majestic Commercenter — FY2023</t>
        </is>
      </c>
      <c r="B174" s="32" t="inlineStr">
        <is>
          <t>Expense</t>
        </is>
      </c>
      <c r="C174" s="32" t="inlineStr">
        <is>
          <t>R&amp;M - Parking Lot Snow Removal (rec)</t>
        </is>
      </c>
      <c r="D174" s="41" t="n">
        <v>12819.5</v>
      </c>
      <c r="E174" s="32" t="inlineStr"/>
    </row>
    <row r="175">
      <c r="A175" s="32" t="inlineStr">
        <is>
          <t>Majestic Commercenter — FY2023</t>
        </is>
      </c>
      <c r="B175" s="32" t="inlineStr">
        <is>
          <t>Expense</t>
        </is>
      </c>
      <c r="C175" s="32" t="inlineStr">
        <is>
          <t>R&amp;M - Roof (rec)</t>
        </is>
      </c>
      <c r="D175" s="41" t="n">
        <v>2667.83</v>
      </c>
      <c r="E175" s="32" t="inlineStr"/>
    </row>
    <row r="176">
      <c r="A176" s="32" t="inlineStr">
        <is>
          <t>Majestic Commercenter — FY2023</t>
        </is>
      </c>
      <c r="B176" s="32" t="inlineStr">
        <is>
          <t>Expense</t>
        </is>
      </c>
      <c r="C176" s="32" t="inlineStr">
        <is>
          <t>Management Fees (rec)</t>
        </is>
      </c>
      <c r="D176" s="41" t="n">
        <v>38009.45</v>
      </c>
      <c r="E176" s="32" t="inlineStr"/>
    </row>
    <row r="177">
      <c r="A177" s="32" t="inlineStr">
        <is>
          <t>Majestic Commercenter — FY2023</t>
        </is>
      </c>
      <c r="B177" s="32" t="inlineStr">
        <is>
          <t>Expense</t>
        </is>
      </c>
      <c r="C177" s="32" t="inlineStr">
        <is>
          <t>R&amp;M - General Building (non-recoverable)</t>
        </is>
      </c>
      <c r="D177" s="41" t="n">
        <v>825</v>
      </c>
      <c r="E177" s="32" t="inlineStr"/>
    </row>
    <row r="178">
      <c r="A178" s="32" t="inlineStr">
        <is>
          <t>Majestic Commercenter — FY2023</t>
        </is>
      </c>
      <c r="B178" s="32" t="inlineStr">
        <is>
          <t>Expense</t>
        </is>
      </c>
      <c r="C178" s="32" t="inlineStr">
        <is>
          <t>Real Estate Taxes (fixed)</t>
        </is>
      </c>
      <c r="D178" s="41" t="n">
        <v>331843.02</v>
      </c>
      <c r="E178" s="32" t="inlineStr"/>
    </row>
    <row r="179">
      <c r="A179" s="32" t="inlineStr">
        <is>
          <t>Majestic Commercenter — FY2023</t>
        </is>
      </c>
      <c r="B179" s="32" t="inlineStr">
        <is>
          <t>Expense</t>
        </is>
      </c>
      <c r="C179" s="32" t="inlineStr">
        <is>
          <t>Insurance (fixed)</t>
        </is>
      </c>
      <c r="D179" s="41" t="n">
        <v>29399</v>
      </c>
      <c r="E179" s="32" t="inlineStr"/>
    </row>
    <row r="180">
      <c r="A180" s="38" t="inlineStr">
        <is>
          <t>Majestic Commercenter — FY2023</t>
        </is>
      </c>
      <c r="B180" s="38" t="inlineStr">
        <is>
          <t>Expense</t>
        </is>
      </c>
      <c r="C180" s="38" t="inlineStr">
        <is>
          <t>TOTAL EXPENSE</t>
        </is>
      </c>
      <c r="D180" s="39">
        <f>SUM(D165:D179)</f>
        <v/>
      </c>
      <c r="E180" s="38" t="inlineStr">
        <is>
          <t>Printed total: $534,383.48. Recoverable OpEx $172,316.46 + non-recoverable $825.00 + fixed $361,242.02. Income from operations $797,846.47. Below that line: G&amp;A misc $100.00 → total expenses $534,483.48, operating summary $797,746.47.</t>
        </is>
      </c>
    </row>
    <row r="182">
      <c r="A182" s="32" t="inlineStr">
        <is>
          <t>Majestic Commercenter — FY2022</t>
        </is>
      </c>
      <c r="B182" s="32" t="inlineStr">
        <is>
          <t>Income</t>
        </is>
      </c>
      <c r="C182" s="32" t="inlineStr">
        <is>
          <t>Interest Income</t>
        </is>
      </c>
      <c r="D182" s="41" t="n">
        <v>9.25</v>
      </c>
      <c r="E182" s="32" t="inlineStr"/>
    </row>
    <row r="183">
      <c r="A183" s="32" t="inlineStr">
        <is>
          <t>Majestic Commercenter — FY2022</t>
        </is>
      </c>
      <c r="B183" s="32" t="inlineStr">
        <is>
          <t>Income</t>
        </is>
      </c>
      <c r="C183" s="32" t="inlineStr">
        <is>
          <t>Base Rent</t>
        </is>
      </c>
      <c r="D183" s="41" t="n">
        <v>652664.67</v>
      </c>
      <c r="E183" s="32" t="inlineStr"/>
    </row>
    <row r="184">
      <c r="A184" s="32" t="inlineStr">
        <is>
          <t>Majestic Commercenter — FY2022</t>
        </is>
      </c>
      <c r="B184" s="32" t="inlineStr">
        <is>
          <t>Income</t>
        </is>
      </c>
      <c r="C184" s="32" t="inlineStr">
        <is>
          <t>Operating Exp. Recovery</t>
        </is>
      </c>
      <c r="D184" s="41" t="n">
        <v>132892</v>
      </c>
      <c r="E184" s="32" t="inlineStr"/>
    </row>
    <row r="185">
      <c r="A185" s="32" t="inlineStr">
        <is>
          <t>Majestic Commercenter — FY2022</t>
        </is>
      </c>
      <c r="B185" s="32" t="inlineStr">
        <is>
          <t>Income</t>
        </is>
      </c>
      <c r="C185" s="32" t="inlineStr">
        <is>
          <t>Tax Recovery</t>
        </is>
      </c>
      <c r="D185" s="41" t="n">
        <v>378242</v>
      </c>
      <c r="E185" s="32" t="inlineStr"/>
    </row>
    <row r="186">
      <c r="A186" s="32" t="inlineStr">
        <is>
          <t>Majestic Commercenter — FY2022</t>
        </is>
      </c>
      <c r="B186" s="32" t="inlineStr">
        <is>
          <t>Income</t>
        </is>
      </c>
      <c r="C186" s="32" t="inlineStr">
        <is>
          <t>Insurance Recovery</t>
        </is>
      </c>
      <c r="D186" s="41" t="n">
        <v>18696</v>
      </c>
      <c r="E186" s="32" t="inlineStr"/>
    </row>
    <row r="187">
      <c r="A187" s="32" t="inlineStr">
        <is>
          <t>Majestic Commercenter — FY2022</t>
        </is>
      </c>
      <c r="B187" s="32" t="inlineStr">
        <is>
          <t>Income</t>
        </is>
      </c>
      <c r="C187" s="32" t="inlineStr">
        <is>
          <t>Prior Year Reconciliations</t>
        </is>
      </c>
      <c r="D187" s="41" t="n">
        <v>-23912.57</v>
      </c>
      <c r="E187" s="32" t="inlineStr"/>
    </row>
    <row r="188">
      <c r="A188" s="38" t="inlineStr">
        <is>
          <t>Majestic Commercenter — FY2022</t>
        </is>
      </c>
      <c r="B188" s="38" t="inlineStr">
        <is>
          <t>Income</t>
        </is>
      </c>
      <c r="C188" s="38" t="inlineStr">
        <is>
          <t>TOTAL INCOME</t>
        </is>
      </c>
      <c r="D188" s="39">
        <f>SUM(D182:D187)</f>
        <v/>
      </c>
      <c r="E188" s="38" t="inlineStr">
        <is>
          <t>Printed total: $1,158,591.35. Gross Revenue as printed. Base rent ÷ 200,000 SF = $3.26/SF.</t>
        </is>
      </c>
    </row>
    <row r="189">
      <c r="A189" s="32" t="inlineStr">
        <is>
          <t>Majestic Commercenter — FY2022</t>
        </is>
      </c>
      <c r="B189" s="32" t="inlineStr">
        <is>
          <t>Expense</t>
        </is>
      </c>
      <c r="C189" s="32" t="inlineStr">
        <is>
          <t>Electricity (rec)</t>
        </is>
      </c>
      <c r="D189" s="41" t="n">
        <v>216.16</v>
      </c>
      <c r="E189" s="32" t="inlineStr"/>
    </row>
    <row r="190">
      <c r="A190" s="32" t="inlineStr">
        <is>
          <t>Majestic Commercenter — FY2022</t>
        </is>
      </c>
      <c r="B190" s="32" t="inlineStr">
        <is>
          <t>Expense</t>
        </is>
      </c>
      <c r="C190" s="32" t="inlineStr">
        <is>
          <t>Water/Sewer (rec)</t>
        </is>
      </c>
      <c r="D190" s="41" t="n">
        <v>31675.08</v>
      </c>
      <c r="E190" s="32" t="inlineStr"/>
    </row>
    <row r="191">
      <c r="A191" s="32" t="inlineStr">
        <is>
          <t>Majestic Commercenter — FY2022</t>
        </is>
      </c>
      <c r="B191" s="32" t="inlineStr">
        <is>
          <t>Expense</t>
        </is>
      </c>
      <c r="C191" s="32" t="inlineStr">
        <is>
          <t>Extermination (rec)</t>
        </is>
      </c>
      <c r="D191" s="41" t="n">
        <v>2240</v>
      </c>
      <c r="E191" s="32" t="inlineStr"/>
    </row>
    <row r="192">
      <c r="A192" s="32" t="inlineStr">
        <is>
          <t>Majestic Commercenter — FY2022</t>
        </is>
      </c>
      <c r="B192" s="32" t="inlineStr">
        <is>
          <t>Expense</t>
        </is>
      </c>
      <c r="C192" s="32" t="inlineStr">
        <is>
          <t>Fire Protection/Security (rec)</t>
        </is>
      </c>
      <c r="D192" s="41" t="n">
        <v>3326</v>
      </c>
      <c r="E192" s="32" t="inlineStr"/>
    </row>
    <row r="193">
      <c r="A193" s="32" t="inlineStr">
        <is>
          <t>Majestic Commercenter — FY2022</t>
        </is>
      </c>
      <c r="B193" s="32" t="inlineStr">
        <is>
          <t>Expense</t>
        </is>
      </c>
      <c r="C193" s="32" t="inlineStr">
        <is>
          <t>R&amp;M - Electrical (rec)</t>
        </is>
      </c>
      <c r="D193" s="41" t="n">
        <v>646</v>
      </c>
      <c r="E193" s="32" t="inlineStr"/>
    </row>
    <row r="194">
      <c r="A194" s="32" t="inlineStr">
        <is>
          <t>Majestic Commercenter — FY2022</t>
        </is>
      </c>
      <c r="B194" s="32" t="inlineStr">
        <is>
          <t>Expense</t>
        </is>
      </c>
      <c r="C194" s="32" t="inlineStr">
        <is>
          <t>R&amp;M - General Building (rec)</t>
        </is>
      </c>
      <c r="D194" s="41" t="n">
        <v>510</v>
      </c>
      <c r="E194" s="32" t="inlineStr"/>
    </row>
    <row r="195">
      <c r="A195" s="32" t="inlineStr">
        <is>
          <t>Majestic Commercenter — FY2022</t>
        </is>
      </c>
      <c r="B195" s="32" t="inlineStr">
        <is>
          <t>Expense</t>
        </is>
      </c>
      <c r="C195" s="32" t="inlineStr">
        <is>
          <t>R&amp;M - Grounds (rec)</t>
        </is>
      </c>
      <c r="D195" s="41" t="n">
        <v>1665</v>
      </c>
      <c r="E195" s="32" t="inlineStr"/>
    </row>
    <row r="196">
      <c r="A196" s="32" t="inlineStr">
        <is>
          <t>Majestic Commercenter — FY2022</t>
        </is>
      </c>
      <c r="B196" s="32" t="inlineStr">
        <is>
          <t>Expense</t>
        </is>
      </c>
      <c r="C196" s="32" t="inlineStr">
        <is>
          <t>R&amp;M - Landscape/Sprinkler (rec)</t>
        </is>
      </c>
      <c r="D196" s="41" t="n">
        <v>13440.66</v>
      </c>
      <c r="E196" s="32" t="inlineStr"/>
    </row>
    <row r="197">
      <c r="A197" s="32" t="inlineStr">
        <is>
          <t>Majestic Commercenter — FY2022</t>
        </is>
      </c>
      <c r="B197" s="32" t="inlineStr">
        <is>
          <t>Expense</t>
        </is>
      </c>
      <c r="C197" s="32" t="inlineStr">
        <is>
          <t>R&amp;M - HVAC (rec)</t>
        </is>
      </c>
      <c r="D197" s="41" t="n">
        <v>1022.84</v>
      </c>
      <c r="E197" s="32" t="inlineStr"/>
    </row>
    <row r="198">
      <c r="A198" s="32" t="inlineStr">
        <is>
          <t>Majestic Commercenter — FY2022</t>
        </is>
      </c>
      <c r="B198" s="32" t="inlineStr">
        <is>
          <t>Expense</t>
        </is>
      </c>
      <c r="C198" s="32" t="inlineStr">
        <is>
          <t>R&amp;M - Parking Lot (rec)</t>
        </is>
      </c>
      <c r="D198" s="41" t="n">
        <v>19891.2</v>
      </c>
      <c r="E198" s="32" t="inlineStr"/>
    </row>
    <row r="199">
      <c r="A199" s="32" t="inlineStr">
        <is>
          <t>Majestic Commercenter — FY2022</t>
        </is>
      </c>
      <c r="B199" s="32" t="inlineStr">
        <is>
          <t>Expense</t>
        </is>
      </c>
      <c r="C199" s="32" t="inlineStr">
        <is>
          <t>R&amp;M - Parking Lot Snow Removal (rec)</t>
        </is>
      </c>
      <c r="D199" s="41" t="n">
        <v>19352.66</v>
      </c>
      <c r="E199" s="32" t="inlineStr"/>
    </row>
    <row r="200">
      <c r="A200" s="32" t="inlineStr">
        <is>
          <t>Majestic Commercenter — FY2022</t>
        </is>
      </c>
      <c r="B200" s="32" t="inlineStr">
        <is>
          <t>Expense</t>
        </is>
      </c>
      <c r="C200" s="32" t="inlineStr">
        <is>
          <t>R&amp;M - Roof (rec)</t>
        </is>
      </c>
      <c r="D200" s="41" t="n">
        <v>861.9299999999999</v>
      </c>
      <c r="E200" s="32" t="inlineStr"/>
    </row>
    <row r="201">
      <c r="A201" s="32" t="inlineStr">
        <is>
          <t>Majestic Commercenter — FY2022</t>
        </is>
      </c>
      <c r="B201" s="32" t="inlineStr">
        <is>
          <t>Expense</t>
        </is>
      </c>
      <c r="C201" s="32" t="inlineStr">
        <is>
          <t>Management Fees (rec)</t>
        </is>
      </c>
      <c r="D201" s="41" t="n">
        <v>35162.86</v>
      </c>
      <c r="E201" s="32" t="inlineStr"/>
    </row>
    <row r="202">
      <c r="A202" s="32" t="inlineStr">
        <is>
          <t>Majestic Commercenter — FY2022</t>
        </is>
      </c>
      <c r="B202" s="32" t="inlineStr">
        <is>
          <t>Expense</t>
        </is>
      </c>
      <c r="C202" s="32" t="inlineStr">
        <is>
          <t>Other Expense (rec)</t>
        </is>
      </c>
      <c r="D202" s="41" t="n">
        <v>181.59</v>
      </c>
      <c r="E202" s="32" t="inlineStr"/>
    </row>
    <row r="203">
      <c r="A203" s="32" t="inlineStr">
        <is>
          <t>Majestic Commercenter — FY2022</t>
        </is>
      </c>
      <c r="B203" s="32" t="inlineStr">
        <is>
          <t>Expense</t>
        </is>
      </c>
      <c r="C203" s="32" t="inlineStr">
        <is>
          <t>Real Estate Taxes (fixed)</t>
        </is>
      </c>
      <c r="D203" s="41" t="n">
        <v>366203.26</v>
      </c>
      <c r="E203" s="32" t="inlineStr"/>
    </row>
    <row r="204">
      <c r="A204" s="32" t="inlineStr">
        <is>
          <t>Majestic Commercenter — FY2022</t>
        </is>
      </c>
      <c r="B204" s="32" t="inlineStr">
        <is>
          <t>Expense</t>
        </is>
      </c>
      <c r="C204" s="32" t="inlineStr">
        <is>
          <t>Insurance (fixed)</t>
        </is>
      </c>
      <c r="D204" s="41" t="n">
        <v>21571</v>
      </c>
      <c r="E204" s="32" t="inlineStr"/>
    </row>
    <row r="205">
      <c r="A205" s="38" t="inlineStr">
        <is>
          <t>Majestic Commercenter — FY2022</t>
        </is>
      </c>
      <c r="B205" s="38" t="inlineStr">
        <is>
          <t>Expense</t>
        </is>
      </c>
      <c r="C205" s="38" t="inlineStr">
        <is>
          <t>TOTAL EXPENSE</t>
        </is>
      </c>
      <c r="D205" s="39">
        <f>SUM(D189:D204)</f>
        <v/>
      </c>
      <c r="E205" s="38" t="inlineStr">
        <is>
          <t>Printed total: $517,966.24. Recoverable OpEx $130,191.98 + fixed $387,774.26. Income from operations $640,625.11. Below that line: G&amp;A misc $100.00 and lease commission $24,325.08 → total expenses $542,391.32, operating summary $616,200.03.</t>
        </is>
      </c>
    </row>
    <row r="206">
      <c r="A206" s="33" t="inlineStr">
        <is>
          <t>Denver Distribution Center and Majestic Commercenter figures are accrual, year-to-date, and exclude debt service from the operating-expense totals (financing is listed separately). 2780 N. Tower Road totals follow the owner's QuickBooks P&amp;L and DO include depreciation and amortization inside Total Expense; interest is shown separately as non-operating.</t>
        </is>
      </c>
    </row>
  </sheetData>
  <mergeCells count="3">
    <mergeCell ref="A2:E2"/>
    <mergeCell ref="A1:E1"/>
    <mergeCell ref="A206:E20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North Side Gardens LLC portfolio — parcel schedule attached to the 7205 Gilpin Way (R0178308) appeal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10" ht="28" customHeight="1">
      <c r="A10" s="18" t="inlineStr">
        <is>
          <t>Highlighted row (R0178308 / 7205 Gilpin Way) is the primary appeal subject; the other three parcels are co-listed on the same authorization schedule. Appeal owner of record: Center Land Properties (signed by Ken R. Lombardi, Manager).</t>
        </is>
      </c>
      <c r="B10" s="20" t="n"/>
      <c r="C10" s="20" t="n"/>
      <c r="D10" s="20" t="n"/>
      <c r="E10" s="21" t="n"/>
    </row>
  </sheetData>
  <mergeCells count="3">
    <mergeCell ref="A2:E2"/>
    <mergeCell ref="A1:E1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2026-08-11T03:38:33Z</dcterms:modified>
</cp:coreProperties>
</file>