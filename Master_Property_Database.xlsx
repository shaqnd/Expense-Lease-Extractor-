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 Documents" sheetId="1" state="visible" r:id="rId1"/>
    <sheet xmlns:r="http://schemas.openxmlformats.org/officeDocument/2006/relationships" name="Property Master" sheetId="2" state="visible" r:id="rId2"/>
    <sheet xmlns:r="http://schemas.openxmlformats.org/officeDocument/2006/relationships" name="Tenants &amp; Leases" sheetId="3" state="visible" r:id="rId3"/>
    <sheet xmlns:r="http://schemas.openxmlformats.org/officeDocument/2006/relationships" name="Assessments &amp; Valuation" sheetId="4" state="visible" r:id="rId4"/>
    <sheet xmlns:r="http://schemas.openxmlformats.org/officeDocument/2006/relationships" name="Income-Expense Summary" sheetId="5" state="visible" r:id="rId5"/>
    <sheet xmlns:r="http://schemas.openxmlformats.org/officeDocument/2006/relationships" name="Income-Expense Detail" sheetId="6" state="visible" r:id="rId6"/>
    <sheet xmlns:r="http://schemas.openxmlformats.org/officeDocument/2006/relationships" name="Related Parcels" sheetId="7" state="visible" r:id="rId7"/>
  </sheets>
  <definedNames/>
  <calcPr calcId="124519" fullCalcOnLoad="1"/>
</workbook>
</file>

<file path=xl/styles.xml><?xml version="1.0" encoding="utf-8"?>
<styleSheet xmlns="http://schemas.openxmlformats.org/spreadsheetml/2006/main">
  <numFmts count="4">
    <numFmt numFmtId="164" formatCode="#,##0.###"/>
    <numFmt numFmtId="165" formatCode="$#,##0;($#,##0);-"/>
    <numFmt numFmtId="166" formatCode="$#,##0.00"/>
    <numFmt numFmtId="167" formatCode="$#,##0.00;($#,##0.00);-"/>
  </numFmts>
  <fonts count="9">
    <font>
      <name val="Calibri"/>
      <family val="2"/>
      <color theme="1"/>
      <sz val="11"/>
      <scheme val="minor"/>
    </font>
    <font>
      <name val="Arial"/>
      <b val="1"/>
      <color rgb="00FFFFFF"/>
      <sz val="14"/>
    </font>
    <font>
      <name val="Arial"/>
      <i val="1"/>
      <color rgb="00FFFFFF"/>
      <sz val="9"/>
    </font>
    <font>
      <name val="Arial"/>
      <b val="1"/>
      <sz val="11"/>
    </font>
    <font>
      <name val="Arial"/>
      <b val="1"/>
      <color rgb="00FFFFFF"/>
      <sz val="10"/>
    </font>
    <font>
      <name val="Arial"/>
      <sz val="10"/>
    </font>
    <font>
      <name val="Arial"/>
      <i val="1"/>
      <color rgb="00808080"/>
      <sz val="8"/>
    </font>
    <font>
      <name val="Arial"/>
      <b val="1"/>
      <sz val="10"/>
    </font>
    <font>
      <name val="Arial"/>
      <i val="1"/>
      <sz val="8"/>
    </font>
  </fonts>
  <fills count="8">
    <fill>
      <patternFill/>
    </fill>
    <fill>
      <patternFill patternType="gray125"/>
    </fill>
    <fill>
      <patternFill patternType="solid">
        <fgColor rgb="001F3864"/>
      </patternFill>
    </fill>
    <fill>
      <patternFill patternType="solid">
        <fgColor rgb="002E5496"/>
      </patternFill>
    </fill>
    <fill>
      <patternFill patternType="solid">
        <fgColor rgb="00D6E0F0"/>
      </patternFill>
    </fill>
    <fill>
      <patternFill patternType="solid">
        <fgColor rgb="00E2EFDA"/>
      </patternFill>
    </fill>
    <fill>
      <patternFill patternType="solid">
        <fgColor rgb="00DDEBF7"/>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xf>
    <xf numFmtId="0" fontId="6" fillId="0" borderId="0" applyAlignment="1" pivotButton="0" quotePrefix="0" xfId="0">
      <alignment horizontal="left" vertical="center" wrapText="1"/>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7" fillId="4" borderId="1" applyAlignment="1" pivotButton="0" quotePrefix="0" xfId="0">
      <alignment horizontal="left" vertical="center" wrapText="1"/>
    </xf>
    <xf numFmtId="0" fontId="7" fillId="0" borderId="1" applyAlignment="1" pivotButton="0" quotePrefix="0" xfId="0">
      <alignment horizontal="left" vertical="center" wrapText="1"/>
    </xf>
    <xf numFmtId="0" fontId="7" fillId="5" borderId="1" applyAlignment="1" pivotButton="0" quotePrefix="0" xfId="0">
      <alignment horizontal="left" vertical="center" wrapText="1"/>
    </xf>
    <xf numFmtId="0" fontId="5" fillId="5" borderId="1" applyAlignment="1" pivotButton="0" quotePrefix="0" xfId="0">
      <alignment horizontal="left" vertical="center" wrapText="1"/>
    </xf>
    <xf numFmtId="165" fontId="7" fillId="5" borderId="1" applyAlignment="1" pivotButton="0" quotePrefix="0" xfId="0">
      <alignment horizontal="right" vertical="center"/>
    </xf>
    <xf numFmtId="0" fontId="6" fillId="5" borderId="1" applyAlignment="1" pivotButton="0" quotePrefix="0" xfId="0">
      <alignment horizontal="left" vertical="center" wrapText="1"/>
    </xf>
    <xf numFmtId="166" fontId="5" fillId="0" borderId="1" applyAlignment="1" pivotButton="0" quotePrefix="0" xfId="0">
      <alignment horizontal="right" vertical="center"/>
    </xf>
    <xf numFmtId="0" fontId="7" fillId="4" borderId="1" pivotButton="0" quotePrefix="0" xfId="0"/>
    <xf numFmtId="0" fontId="6" fillId="0" borderId="1" applyAlignment="1" pivotButton="0" quotePrefix="0" xfId="0">
      <alignment horizontal="left" vertical="center" wrapText="1"/>
    </xf>
    <xf numFmtId="10" fontId="5" fillId="0" borderId="1" applyAlignment="1" pivotButton="0" quotePrefix="0" xfId="0">
      <alignment horizontal="center" vertical="center" wrapText="1"/>
    </xf>
    <xf numFmtId="0" fontId="0" fillId="0" borderId="4" pivotButton="0" quotePrefix="0" xfId="0"/>
    <xf numFmtId="0" fontId="0" fillId="0" borderId="5" pivotButton="0" quotePrefix="0" xfId="0"/>
    <xf numFmtId="167" fontId="5" fillId="0" borderId="1" applyAlignment="1" pivotButton="0" quotePrefix="0" xfId="0">
      <alignment horizontal="right" vertical="center"/>
    </xf>
    <xf numFmtId="167" fontId="7" fillId="5" borderId="1" applyAlignment="1" pivotButton="0" quotePrefix="0" xfId="0">
      <alignment horizontal="right" vertical="center"/>
    </xf>
    <xf numFmtId="0" fontId="7" fillId="5" borderId="1" applyAlignment="1" pivotButton="0" quotePrefix="0" xfId="0">
      <alignment horizontal="center" vertical="center" wrapText="1"/>
    </xf>
    <xf numFmtId="0" fontId="5" fillId="6" borderId="1" applyAlignment="1" pivotButton="0" quotePrefix="0" xfId="0">
      <alignment horizontal="center" vertical="center" wrapText="1"/>
    </xf>
    <xf numFmtId="0" fontId="7"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7" fillId="7" borderId="1" applyAlignment="1" pivotButton="0" quotePrefix="0" xfId="0">
      <alignment horizontal="center" vertical="center" wrapText="1"/>
    </xf>
    <xf numFmtId="3" fontId="5" fillId="0" borderId="1" applyAlignment="1" pivotButton="0" quotePrefix="0" xfId="0">
      <alignment horizontal="right" vertical="center"/>
    </xf>
    <xf numFmtId="3" fontId="7" fillId="5" borderId="1" applyAlignment="1" pivotButton="0" quotePrefix="0" xfId="0">
      <alignment horizontal="right" vertical="center"/>
    </xf>
    <xf numFmtId="166" fontId="7" fillId="5" borderId="1" applyAlignment="1" pivotButton="0" quotePrefix="0" xfId="0">
      <alignment horizontal="right" vertical="center"/>
    </xf>
    <xf numFmtId="0" fontId="8"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5" topLeftCell="A6" activePane="bottomLeft" state="frozen"/>
      <selection pane="bottomLeft" activeCell="A1" sqref="A1"/>
    </sheetView>
  </sheetViews>
  <sheetFormatPr baseColWidth="8" defaultRowHeight="15"/>
  <cols>
    <col width="4" customWidth="1" min="1" max="1"/>
    <col width="40" customWidth="1" min="2" max="2"/>
    <col width="42" customWidth="1" min="3" max="3"/>
    <col width="34" customWidth="1" min="4" max="4"/>
    <col width="20" customWidth="1" min="5" max="5"/>
    <col width="34" customWidth="1" min="6" max="6"/>
  </cols>
  <sheetData>
    <row r="1" ht="26" customHeight="1">
      <c r="A1" s="1" t="inlineStr">
        <is>
          <t>MASTER PROPERTY DATABASE  —  Lease &amp; Income/Expense Extract</t>
        </is>
      </c>
    </row>
    <row r="2" ht="14" customHeight="1">
      <c r="A2" s="2" t="inlineStr">
        <is>
          <t>Prepared for Carter Equities  |  Updated 2026-09-04  |  15 subject properties, all Adams County, Colorado</t>
        </is>
      </c>
    </row>
    <row r="4">
      <c r="A4" s="3" t="inlineStr">
        <is>
          <t>Source Documents Index</t>
        </is>
      </c>
    </row>
    <row r="5" ht="30" customHeight="1">
      <c r="A5" s="4" t="inlineStr">
        <is>
          <t>#</t>
        </is>
      </c>
      <c r="B5" s="4" t="inlineStr">
        <is>
          <t>Source File</t>
        </is>
      </c>
      <c r="C5" s="4" t="inlineStr">
        <is>
          <t>Document Type</t>
        </is>
      </c>
      <c r="D5" s="4" t="inlineStr">
        <is>
          <t>Subject / Property</t>
        </is>
      </c>
      <c r="E5" s="4" t="inlineStr">
        <is>
          <t>Period / Year</t>
        </is>
      </c>
      <c r="F5" s="4" t="inlineStr">
        <is>
          <t>Preparer / Source</t>
        </is>
      </c>
    </row>
    <row r="6">
      <c r="A6" s="5" t="n">
        <v>1</v>
      </c>
      <c r="B6" s="6" t="inlineStr">
        <is>
          <t>R0169133.pdf</t>
        </is>
      </c>
      <c r="C6" s="6" t="inlineStr">
        <is>
          <t>Tax appeal — income approach</t>
        </is>
      </c>
      <c r="D6" s="6" t="inlineStr">
        <is>
          <t>17608 E. 24th Drive, Aurora</t>
        </is>
      </c>
      <c r="E6" s="5" t="inlineStr">
        <is>
          <t>Assess. Yr 2025</t>
        </is>
      </c>
      <c r="F6" s="6" t="inlineStr">
        <is>
          <t>Ryan LLC (J. Hoffman) / CoStar</t>
        </is>
      </c>
    </row>
    <row r="7">
      <c r="A7" s="5" t="n">
        <v>2</v>
      </c>
      <c r="B7" s="6" t="inlineStr">
        <is>
          <t>R0178308.pdf</t>
        </is>
      </c>
      <c r="C7" s="6" t="inlineStr">
        <is>
          <t>Tax appeal — income approach + auth letter</t>
        </is>
      </c>
      <c r="D7" s="6" t="inlineStr">
        <is>
          <t>7205 Gilpin Way, Denver</t>
        </is>
      </c>
      <c r="E7" s="5" t="inlineStr">
        <is>
          <t>Assess. Yr 2025</t>
        </is>
      </c>
      <c r="F7" s="6" t="inlineStr">
        <is>
          <t>Ryan LLC (B. Mecom)</t>
        </is>
      </c>
    </row>
    <row r="8">
      <c r="A8" s="5" t="n">
        <v>3</v>
      </c>
      <c r="B8" s="6" t="inlineStr">
        <is>
          <t>R0103792.pdf</t>
        </is>
      </c>
      <c r="C8" s="6" t="inlineStr">
        <is>
          <t>County Commercial-Industrial Income &amp; Expense Survey</t>
        </is>
      </c>
      <c r="D8" s="6" t="inlineStr">
        <is>
          <t>2011 E 58th Ave (TempTee), Denver</t>
        </is>
      </c>
      <c r="E8" s="5" t="inlineStr">
        <is>
          <t>2023-2024</t>
        </is>
      </c>
      <c r="F8" s="6" t="inlineStr">
        <is>
          <t>Adams County Assessor / Owner</t>
        </is>
      </c>
    </row>
    <row r="9">
      <c r="A9" s="5" t="n">
        <v>4</v>
      </c>
      <c r="B9" s="6" t="inlineStr">
        <is>
          <t>5970_Marion_Drive_2024_PL_Detail.pdf / .xlsx</t>
        </is>
      </c>
      <c r="C9" s="6" t="inlineStr">
        <is>
          <t>Income statement detail (+ income-approach block in xlsx)</t>
        </is>
      </c>
      <c r="D9" s="6" t="inlineStr">
        <is>
          <t>5970 Marion Drive, Denver</t>
        </is>
      </c>
      <c r="E9" s="5" t="inlineStr">
        <is>
          <t>FY2024</t>
        </is>
      </c>
      <c r="F9" s="6" t="inlineStr">
        <is>
          <t>Deerwoods Management LLC</t>
        </is>
      </c>
    </row>
    <row r="10">
      <c r="A10" s="5" t="n">
        <v>5</v>
      </c>
      <c r="B10" s="6" t="inlineStr">
        <is>
          <t>5970_Marion_Drive_2023_Cash_Flow_Statement.pdf</t>
        </is>
      </c>
      <c r="C10" s="6" t="inlineStr">
        <is>
          <t>Cash flow statement (cash basis)</t>
        </is>
      </c>
      <c r="D10" s="6" t="inlineStr">
        <is>
          <t>5970 Marion Drive, Denver</t>
        </is>
      </c>
      <c r="E10" s="5" t="inlineStr">
        <is>
          <t>FY2023</t>
        </is>
      </c>
      <c r="F10" s="6" t="inlineStr">
        <is>
          <t>Deerwoods Management LLC</t>
        </is>
      </c>
    </row>
    <row r="11">
      <c r="A11" s="5" t="n">
        <v>6</v>
      </c>
      <c r="B11" s="6" t="inlineStr">
        <is>
          <t>5650_Washington_St.docx</t>
        </is>
      </c>
      <c r="C11" s="6" t="inlineStr">
        <is>
          <t>Restricted Appraisal Report (Industrial/Flex)</t>
        </is>
      </c>
      <c r="D11" s="6" t="inlineStr">
        <is>
          <t>5650 Washington St, Denver</t>
        </is>
      </c>
      <c r="E11" s="5" t="inlineStr">
        <is>
          <t>Tax Yr 2025 (val 6/30/2024)</t>
        </is>
      </c>
      <c r="F11" s="6" t="inlineStr">
        <is>
          <t>Jason Bennett, MAI (Adams County)</t>
        </is>
      </c>
    </row>
    <row r="12">
      <c r="A12" s="5" t="n">
        <v>7</v>
      </c>
      <c r="B12" s="6" t="inlineStr">
        <is>
          <t>R0024442.pdf</t>
        </is>
      </c>
      <c r="C12" s="6" t="inlineStr">
        <is>
          <t>Tax appeal — income approach (Valuation Protest)</t>
        </is>
      </c>
      <c r="D12" s="6" t="inlineStr">
        <is>
          <t>12260 Pennsylvania St, Thornton</t>
        </is>
      </c>
      <c r="E12" s="5" t="inlineStr">
        <is>
          <t>Assess. Yr 2025</t>
        </is>
      </c>
      <c r="F12" s="6" t="inlineStr">
        <is>
          <t>Ryan LLC (B. Mecom)</t>
        </is>
      </c>
    </row>
    <row r="13">
      <c r="A13" s="5" t="n">
        <v>8</v>
      </c>
      <c r="B13" s="6" t="inlineStr">
        <is>
          <t>R0002819.pdf</t>
        </is>
      </c>
      <c r="C13" s="6" t="inlineStr">
        <is>
          <t>Cover letter + IRS Form 8825 + Rent Roll</t>
        </is>
      </c>
      <c r="D13" s="6" t="inlineStr">
        <is>
          <t>125 Bridge St, Brighton</t>
        </is>
      </c>
      <c r="E13" s="5" t="inlineStr">
        <is>
          <t>2024 (rent roll current)</t>
        </is>
      </c>
      <c r="F13" s="6" t="inlineStr">
        <is>
          <t>Stevens &amp; Associates / Broadview LLC</t>
        </is>
      </c>
    </row>
    <row r="14">
      <c r="A14" s="5" t="n">
        <v>9</v>
      </c>
      <c r="B14" s="6" t="inlineStr">
        <is>
          <t>R0092302.pdf</t>
        </is>
      </c>
      <c r="C14" s="6" t="inlineStr">
        <is>
          <t>Appeal of Real Property Valuation — income approach</t>
        </is>
      </c>
      <c r="D14" s="6" t="inlineStr">
        <is>
          <t>6770 E. 56th Ave, Aurora</t>
        </is>
      </c>
      <c r="E14" s="5" t="inlineStr">
        <is>
          <t>Tax Yr 2026</t>
        </is>
      </c>
      <c r="F14" s="6" t="inlineStr">
        <is>
          <t>Property Tax Advisors, Inc.</t>
        </is>
      </c>
    </row>
    <row r="15">
      <c r="A15" s="5" t="n">
        <v>10</v>
      </c>
      <c r="B15" s="6" t="inlineStr">
        <is>
          <t>R0102989.pdf</t>
        </is>
      </c>
      <c r="C15" s="6" t="inlineStr">
        <is>
          <t>Tax appeal — income approach (proforma) + rent roll</t>
        </is>
      </c>
      <c r="D15" s="6" t="inlineStr">
        <is>
          <t>Simply Storage, 4911 West 58th Ave., Arvada</t>
        </is>
      </c>
      <c r="E15" s="5" t="inlineStr">
        <is>
          <t>Assess. Yr 2023 (val. 6/30/2022)</t>
        </is>
      </c>
      <c r="F15" s="6" t="inlineStr">
        <is>
          <t>Ryan LLC (B. Henkels)</t>
        </is>
      </c>
    </row>
    <row r="16" ht="26" customHeight="1">
      <c r="A16" s="5" t="n">
        <v>11</v>
      </c>
      <c r="B16" s="6" t="inlineStr">
        <is>
          <t>R0169115.pdf</t>
        </is>
      </c>
      <c r="C16" s="6" t="inlineStr">
        <is>
          <t>Tax appeal — income approach (proforma) + actual P&amp;L + NSA/Securcare auth. schedule</t>
        </is>
      </c>
      <c r="D16" s="6" t="inlineStr">
        <is>
          <t>11210 E 104th Avenue</t>
        </is>
      </c>
      <c r="E16" s="5" t="inlineStr">
        <is>
          <t>Value Yr 2025</t>
        </is>
      </c>
      <c r="F16" s="6" t="inlineStr">
        <is>
          <t>Ryan LLC (M. Poling)</t>
        </is>
      </c>
    </row>
    <row r="17" ht="26" customHeight="1">
      <c r="A17" s="5" t="n">
        <v>12</v>
      </c>
      <c r="B17" s="6" t="inlineStr">
        <is>
          <t>R0099616.pdf</t>
        </is>
      </c>
      <c r="C17" s="6" t="inlineStr">
        <is>
          <t>Protest inquiry forms + property analysis (income approach, 6-schedule economic unit)</t>
        </is>
      </c>
      <c r="D17" s="6" t="inlineStr">
        <is>
          <t>All American Mini Storage, 1777 W. 68th Ave., Denver</t>
        </is>
      </c>
      <c r="E17" s="5" t="inlineStr">
        <is>
          <t>Tax Yr 2025-2026 (val. 6/30/2024)</t>
        </is>
      </c>
      <c r="F17" s="6" t="inlineStr">
        <is>
          <t>R.H. Jacobson &amp; Co. (D. Berger)</t>
        </is>
      </c>
    </row>
    <row r="18" ht="26" customHeight="1">
      <c r="A18" s="5" t="n">
        <v>13</v>
      </c>
      <c r="B18" s="6" t="inlineStr">
        <is>
          <t>R0085523.pdf</t>
        </is>
      </c>
      <c r="C18" s="6" t="inlineStr">
        <is>
          <t>Appeal cover letter + BAA Final Agency Order + Management Summaries</t>
        </is>
      </c>
      <c r="D18" s="6" t="inlineStr">
        <is>
          <t>IN Self Storage - Fitzsimons, 1520 N Fitzsimons Pkwy, Aurora</t>
        </is>
      </c>
      <c r="E18" s="5" t="inlineStr">
        <is>
          <t>Tax Yr 2026 appeal (2023 BAA order on file)</t>
        </is>
      </c>
      <c r="F18" s="6" t="inlineStr">
        <is>
          <t>Sterling Property Tax Specialists (D. Jaramillo)</t>
        </is>
      </c>
    </row>
    <row r="20">
      <c r="A20" s="5" t="n">
        <v>14</v>
      </c>
      <c r="B20" s="6" t="inlineStr">
        <is>
          <t>R0071007.pdf</t>
        </is>
      </c>
      <c r="C20" s="6" t="inlineStr">
        <is>
          <t>SB 11-119 income/expense disclosure: cover letter + IRS Form 8825 (2023 &amp; 2024) + 2023 &amp; H1-2024 rent rolls</t>
        </is>
      </c>
      <c r="D20" s="6" t="inlineStr">
        <is>
          <t>Warehouse and Storage Building(s), N. Pecos Ave, Denver (T &amp; G Pecos LLC)</t>
        </is>
      </c>
      <c r="E20" s="5" t="inlineStr">
        <is>
          <t>2023-2024</t>
        </is>
      </c>
      <c r="F20" s="6" t="inlineStr">
        <is>
          <t>Stevens &amp; Associates</t>
        </is>
      </c>
    </row>
    <row r="21">
      <c r="A21" s="5" t="n">
        <v>15</v>
      </c>
      <c r="B21" s="6" t="inlineStr">
        <is>
          <t>R0055143.pdf</t>
        </is>
      </c>
      <c r="C21" s="6" t="inlineStr">
        <is>
          <t>Real Property Protest Form + Letter of Agency + 26-Month Rolling Income Statement + 36-Month Activity Summary</t>
        </is>
      </c>
      <c r="D21" s="6" t="inlineStr">
        <is>
          <t>8700 Devonshire Blvd, Denver (8700 Devonshire Storage LLC / CubeSmart-managed)</t>
        </is>
      </c>
      <c r="E21" s="5" t="inlineStr">
        <is>
          <t>Tax Yr 2025 (data Aug 2023-Feb 2025)</t>
        </is>
      </c>
      <c r="F21" s="6" t="inlineStr">
        <is>
          <t>National Bureau Property Advisors (Evan Lantz)</t>
        </is>
      </c>
    </row>
    <row r="22">
      <c r="A22" s="5" t="n">
        <v>16</v>
      </c>
      <c r="B22" s="6" t="inlineStr">
        <is>
          <t>R0043569.pdf</t>
        </is>
      </c>
      <c r="C22" s="6" t="inlineStr">
        <is>
          <t>Monthly P&amp;L export (Actuals)</t>
        </is>
      </c>
      <c r="D22" s="6" t="inlineStr">
        <is>
          <t>Public Storage #08214, Thornton / 104th &amp; Quivas St</t>
        </is>
      </c>
      <c r="E22" s="5" t="inlineStr">
        <is>
          <t>FY2024</t>
        </is>
      </c>
      <c r="F22" s="6" t="inlineStr">
        <is>
          <t>Public Storage (internal)</t>
        </is>
      </c>
    </row>
    <row r="24">
      <c r="A24" s="5" t="inlineStr">
        <is>
          <t>Notes: Figures transcribed from the source documents. Total / net / average cells are live formulas (SUM/AVERAGE) verified against the printed totals; they populate on open in Excel/Sheets.</t>
        </is>
      </c>
      <c r="B24" s="20" t="n"/>
      <c r="C24" s="20" t="n"/>
      <c r="D24" s="20" t="n"/>
      <c r="E24" s="20" t="n"/>
      <c r="F24" s="21" t="n"/>
    </row>
    <row r="25">
      <c r="A25" s="5" t="inlineStr">
        <is>
          <t>'in house' on the TempTee survey = owner self-performs the service (no $ reported), entered as $0. 5650 Washington St concluded value, rent-roll grid, and income proforma are embedded as EMF vector images in the DOCX and were not text-extractable; narrative figures are captured where stated. R0099616's six schedules (R0099616, R0099615, R0099617, R0180917, R0099618, R0180918) function as one economic unit per the taxpayer's analysis; combined 2025 notice value $7,659,751. R0085523's 2023 value was set at $5,200,000 by BAA Order (Docket 2023BAA2761), $200,000 allocated residential; the 2026 appeal requests $3,395,400 ($213,000 residential). R0071007 (T &amp; G Pecos LLC) is an outdoor/indoor multi-tenant storage-yard property (~90 individual bays/units, Buildings A-G) leased to a mix of individuals and small trade businesses; not enumerated tenant-by-tenant here given the count — see the Tenants &amp; Leases tab for an aggregate line and the source PDF for the full rent roll. R0055143's 26-month rolling income statement is a dense, rotated scanned table; only clearly-legible subtotals (Total Income, Total Expense, Net Operating Income, and the post-debt-service Net Profit/Loss) were transcribed — line-item categories were not, to avoid transcription error. R0043569 (Public Storage #08214) came with no cover letter/appeal — only a FY2024 monthly Actuals P&amp;L; no assessor or taxpayer opinion value is available for it in this file.</t>
        </is>
      </c>
      <c r="B25" s="20" t="n"/>
      <c r="C25" s="20" t="n"/>
      <c r="D25" s="20" t="n"/>
      <c r="E25" s="20" t="n"/>
      <c r="F25" s="21" t="n"/>
    </row>
    <row r="26">
      <c r="A26" s="5" t="inlineStr">
        <is>
          <t>5970 Marion cash-basis 'expense' includes mortgage P&amp;I and property taxes (cash flow, not NOI). R0169133 cover value ($3,408,546) differs from its schedule total ($3,114,815); both reproduced as printed. R0169115's Exhibit C authorization schedule lists ~29 other Colorado self-storage parcels under the NSA/Securcare family (see Related Parcels tab) that are NOT part of this economic unit — reproduced for reference only. R0102989 pages 6-22 (self-storage cap-rate survey / Denver market comps) and R0085523 pages 27-28 (CoStar apartment sale comps) were out of scope and skipped per extraction rules. R0071007, R0055143 and R0043569 have no assessor 'current value' or protest ask in their source files except R0055143, whose Real Property Protest Form gives a taxpayer estimate of $2,000,000 (as of 6/30) with no county notice value shown; none is added to the Assessments &amp; Valuation 'Income-Approach Proformas' section since none of the three includes a PGI/vacancy/cap-rate proforma (all are actual-P&amp;L / rent-roll documents, not income-approach appeal exhibits).</t>
        </is>
      </c>
      <c r="B26" s="20" t="n"/>
      <c r="C26" s="20" t="n"/>
      <c r="D26" s="20" t="n"/>
      <c r="E26" s="20" t="n"/>
      <c r="F26" s="21" t="n"/>
    </row>
  </sheetData>
  <mergeCells count="5">
    <mergeCell ref="A24:F24"/>
    <mergeCell ref="A2:F2"/>
    <mergeCell ref="A1:F1"/>
    <mergeCell ref="A26:F26"/>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9"/>
  <sheetViews>
    <sheetView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8" customWidth="1" min="2" max="2"/>
    <col width="18" customWidth="1" min="3" max="3"/>
    <col width="26" customWidth="1" min="4" max="4"/>
    <col width="22" customWidth="1" min="5" max="5"/>
    <col width="10" customWidth="1" min="6" max="6"/>
    <col width="5" customWidth="1" min="7" max="7"/>
    <col width="13" customWidth="1" min="8" max="8"/>
    <col width="9" customWidth="1" min="9" max="9"/>
    <col width="26" customWidth="1" min="10" max="10"/>
    <col width="26" customWidth="1" min="11" max="11"/>
    <col width="26" customWidth="1" min="12" max="12"/>
    <col width="16" customWidth="1" min="13" max="13"/>
    <col width="11" customWidth="1" min="14" max="14"/>
    <col width="11" customWidth="1" min="15" max="15"/>
    <col width="11" customWidth="1" min="16" max="16"/>
    <col width="12" customWidth="1" min="17" max="17"/>
    <col width="10" customWidth="1" min="18" max="18"/>
    <col width="10" customWidth="1" min="19" max="19"/>
    <col width="18" customWidth="1" min="20" max="20"/>
    <col width="18" customWidth="1" min="21" max="21"/>
    <col width="14" customWidth="1" min="22" max="22"/>
    <col width="18" customWidth="1" min="23" max="23"/>
    <col width="22" customWidth="1" min="24" max="24"/>
    <col width="26" customWidth="1" min="25" max="25"/>
  </cols>
  <sheetData>
    <row r="1" ht="26" customHeight="1">
      <c r="A1" s="1" t="inlineStr">
        <is>
          <t>PROPERTY MASTER</t>
        </is>
      </c>
    </row>
    <row r="2" ht="14" customHeight="1">
      <c r="A2" s="2" t="inlineStr">
        <is>
          <t>One row per subject property — identity, physical characteristics &amp; valuation summary</t>
        </is>
      </c>
    </row>
    <row r="4" ht="42" customHeight="1">
      <c r="A4" s="4" t="inlineStr">
        <is>
          <t>Property ID</t>
        </is>
      </c>
      <c r="B4" s="4" t="inlineStr">
        <is>
          <t>Account / Schedule #</t>
        </is>
      </c>
      <c r="C4" s="4" t="inlineStr">
        <is>
          <t>Parcel / Alt #</t>
        </is>
      </c>
      <c r="D4" s="4" t="inlineStr">
        <is>
          <t>Property Name</t>
        </is>
      </c>
      <c r="E4" s="4" t="inlineStr">
        <is>
          <t>Address</t>
        </is>
      </c>
      <c r="F4" s="4" t="inlineStr">
        <is>
          <t>City</t>
        </is>
      </c>
      <c r="G4" s="4" t="inlineStr">
        <is>
          <t>ST</t>
        </is>
      </c>
      <c r="H4" s="4" t="inlineStr">
        <is>
          <t>ZIP</t>
        </is>
      </c>
      <c r="I4" s="4" t="inlineStr">
        <is>
          <t>County</t>
        </is>
      </c>
      <c r="J4" s="4" t="inlineStr">
        <is>
          <t>Owner / Client</t>
        </is>
      </c>
      <c r="K4" s="4" t="inlineStr">
        <is>
          <t>Assessee (Tax Roll)</t>
        </is>
      </c>
      <c r="L4" s="4" t="inlineStr">
        <is>
          <t>Property Type / Use</t>
        </is>
      </c>
      <c r="M4" s="4" t="inlineStr">
        <is>
          <t>Tenancy</t>
        </is>
      </c>
      <c r="N4" s="4" t="inlineStr">
        <is>
          <t>Site (Acres)</t>
        </is>
      </c>
      <c r="O4" s="4" t="inlineStr">
        <is>
          <t>Site (SF)</t>
        </is>
      </c>
      <c r="P4" s="4" t="inlineStr">
        <is>
          <t>GBA (SF)</t>
        </is>
      </c>
      <c r="Q4" s="4" t="inlineStr">
        <is>
          <t>NRA / NLA (SF)</t>
        </is>
      </c>
      <c r="R4" s="4" t="inlineStr">
        <is>
          <t>Year Built</t>
        </is>
      </c>
      <c r="S4" s="4" t="inlineStr">
        <is>
          <t>Land:Bldg</t>
        </is>
      </c>
      <c r="T4" s="4" t="inlineStr">
        <is>
          <t>Occupancy</t>
        </is>
      </c>
      <c r="U4" s="4" t="inlineStr">
        <is>
          <t>Latest Assessor / County Value</t>
        </is>
      </c>
      <c r="V4" s="4" t="inlineStr">
        <is>
          <t>Assessment/Tax Yr</t>
        </is>
      </c>
      <c r="W4" s="4" t="inlineStr">
        <is>
          <t>Taxpayer / Petitioner Opinion</t>
        </is>
      </c>
      <c r="X4" s="4" t="inlineStr">
        <is>
          <t>Managed By</t>
        </is>
      </c>
      <c r="Y4" s="4" t="inlineStr">
        <is>
          <t>Source File</t>
        </is>
      </c>
    </row>
    <row r="5">
      <c r="A5" s="6" t="inlineStr">
        <is>
          <t>R0178308</t>
        </is>
      </c>
      <c r="B5" s="6" t="inlineStr">
        <is>
          <t>R0178308</t>
        </is>
      </c>
      <c r="C5" s="6" t="inlineStr">
        <is>
          <t>R0178308</t>
        </is>
      </c>
      <c r="D5" s="6" t="inlineStr">
        <is>
          <t>7205 Gilpin Way</t>
        </is>
      </c>
      <c r="E5" s="6" t="inlineStr">
        <is>
          <t>7205 Gilpin Way</t>
        </is>
      </c>
      <c r="F5" s="6" t="inlineStr">
        <is>
          <t>Denver</t>
        </is>
      </c>
      <c r="G5" s="5" t="inlineStr">
        <is>
          <t>CO</t>
        </is>
      </c>
      <c r="H5" s="6" t="inlineStr">
        <is>
          <t>80229</t>
        </is>
      </c>
      <c r="I5" s="6" t="inlineStr">
        <is>
          <t>Adams</t>
        </is>
      </c>
      <c r="J5" s="6" t="inlineStr">
        <is>
          <t>Center Land Properties</t>
        </is>
      </c>
      <c r="K5" s="6" t="inlineStr">
        <is>
          <t>North Side Gardens LLC</t>
        </is>
      </c>
      <c r="L5" s="6" t="inlineStr">
        <is>
          <t>Industrial - Warehouse</t>
        </is>
      </c>
      <c r="M5" s="6" t="inlineStr">
        <is>
          <t>Single (proforma)</t>
        </is>
      </c>
      <c r="N5" s="8" t="n">
        <v>3.33</v>
      </c>
      <c r="O5" s="8" t="n">
        <v>145055</v>
      </c>
      <c r="P5" s="6" t="n"/>
      <c r="Q5" s="8" t="n">
        <v>34228</v>
      </c>
      <c r="R5" s="6" t="n">
        <v>2013</v>
      </c>
      <c r="S5" s="6" t="inlineStr">
        <is>
          <t>4.24:1</t>
        </is>
      </c>
      <c r="T5" s="6" t="inlineStr">
        <is>
          <t>100% (proforma)</t>
        </is>
      </c>
      <c r="U5" s="9" t="n">
        <v>5150325</v>
      </c>
      <c r="V5" s="5" t="inlineStr">
        <is>
          <t>2025</t>
        </is>
      </c>
      <c r="W5" s="9" t="n">
        <v>4832500</v>
      </c>
      <c r="X5" s="6" t="inlineStr">
        <is>
          <t>—</t>
        </is>
      </c>
      <c r="Y5" s="6" t="inlineStr">
        <is>
          <t>R0178308.pdf</t>
        </is>
      </c>
    </row>
    <row r="6">
      <c r="A6" s="6" t="inlineStr">
        <is>
          <t>R0169133</t>
        </is>
      </c>
      <c r="B6" s="6" t="inlineStr">
        <is>
          <t>R0169133</t>
        </is>
      </c>
      <c r="C6" s="6" t="inlineStr">
        <is>
          <t>R0169133</t>
        </is>
      </c>
      <c r="D6" s="6" t="inlineStr">
        <is>
          <t>(7194) CO-Aurora</t>
        </is>
      </c>
      <c r="E6" s="6" t="inlineStr">
        <is>
          <t>17608 E. 24th Drive</t>
        </is>
      </c>
      <c r="F6" s="6" t="inlineStr">
        <is>
          <t>Aurora</t>
        </is>
      </c>
      <c r="G6" s="5" t="inlineStr">
        <is>
          <t>CO</t>
        </is>
      </c>
      <c r="H6" s="6" t="inlineStr">
        <is>
          <t>80011</t>
        </is>
      </c>
      <c r="I6" s="6" t="inlineStr">
        <is>
          <t>Adams</t>
        </is>
      </c>
      <c r="J6" s="6" t="inlineStr">
        <is>
          <t>ABC Supply Co., Inc.</t>
        </is>
      </c>
      <c r="K6" s="6" t="inlineStr">
        <is>
          <t>ABC Supply Co., Inc.</t>
        </is>
      </c>
      <c r="L6" s="6" t="inlineStr">
        <is>
          <t>Industrial - Distribution</t>
        </is>
      </c>
      <c r="M6" s="6" t="inlineStr">
        <is>
          <t>Single (proforma)</t>
        </is>
      </c>
      <c r="N6" s="8" t="n">
        <v>3.4</v>
      </c>
      <c r="O6" s="8" t="n">
        <v>148104</v>
      </c>
      <c r="P6" s="6" t="n"/>
      <c r="Q6" s="8" t="n">
        <v>20910</v>
      </c>
      <c r="R6" s="6" t="n">
        <v>2006</v>
      </c>
      <c r="S6" s="6" t="inlineStr">
        <is>
          <t>7.08:1</t>
        </is>
      </c>
      <c r="T6" s="6" t="inlineStr">
        <is>
          <t>(as of 06/30/2024)</t>
        </is>
      </c>
      <c r="U6" s="9" t="n">
        <v>3408546</v>
      </c>
      <c r="V6" s="5" t="inlineStr">
        <is>
          <t>2025</t>
        </is>
      </c>
      <c r="W6" s="9" t="n">
        <v>3050000</v>
      </c>
      <c r="X6" s="6" t="inlineStr">
        <is>
          <t>—</t>
        </is>
      </c>
      <c r="Y6" s="6" t="inlineStr">
        <is>
          <t>R0169133.pdf</t>
        </is>
      </c>
    </row>
    <row r="7">
      <c r="A7" s="6" t="inlineStr">
        <is>
          <t>R0103792</t>
        </is>
      </c>
      <c r="B7" s="6" t="inlineStr">
        <is>
          <t>R0103792</t>
        </is>
      </c>
      <c r="C7" s="6" t="inlineStr">
        <is>
          <t>0182511406001</t>
        </is>
      </c>
      <c r="D7" s="6" t="inlineStr">
        <is>
          <t>TempTee Brand Steaks</t>
        </is>
      </c>
      <c r="E7" s="6" t="inlineStr">
        <is>
          <t>2011 E 58th Ave</t>
        </is>
      </c>
      <c r="F7" s="6" t="inlineStr">
        <is>
          <t>Denver</t>
        </is>
      </c>
      <c r="G7" s="5" t="inlineStr">
        <is>
          <t>CO</t>
        </is>
      </c>
      <c r="H7" s="6" t="inlineStr">
        <is>
          <t>80216-1517</t>
        </is>
      </c>
      <c r="I7" s="6" t="inlineStr">
        <is>
          <t>Adams</t>
        </is>
      </c>
      <c r="J7" s="6" t="inlineStr">
        <is>
          <t>TempTee Brand Steaks Inc</t>
        </is>
      </c>
      <c r="K7" s="6" t="inlineStr">
        <is>
          <t>TempTee Brand Steaks Inc</t>
        </is>
      </c>
      <c r="L7" s="6" t="inlineStr">
        <is>
          <t>Industrial - Mfg / Food Processing</t>
        </is>
      </c>
      <c r="M7" s="6" t="inlineStr">
        <is>
          <t>Owner-occupied</t>
        </is>
      </c>
      <c r="N7" s="6" t="n"/>
      <c r="O7" s="6" t="n"/>
      <c r="P7" s="6" t="n"/>
      <c r="Q7" s="8" t="n">
        <v>17000</v>
      </c>
      <c r="R7" s="6" t="n"/>
      <c r="S7" s="6" t="inlineStr">
        <is>
          <t>—</t>
        </is>
      </c>
      <c r="T7" s="6" t="inlineStr">
        <is>
          <t>100% Owner-Occupied</t>
        </is>
      </c>
      <c r="U7" s="6" t="n"/>
      <c r="V7" s="5" t="inlineStr">
        <is>
          <t>2025</t>
        </is>
      </c>
      <c r="W7" s="6" t="inlineStr">
        <is>
          <t>—</t>
        </is>
      </c>
      <c r="X7" s="6" t="inlineStr">
        <is>
          <t>—</t>
        </is>
      </c>
      <c r="Y7" s="6" t="inlineStr">
        <is>
          <t>R0103792.pdf</t>
        </is>
      </c>
    </row>
    <row r="8">
      <c r="A8" s="6" t="inlineStr">
        <is>
          <t>5970 Marion</t>
        </is>
      </c>
      <c r="B8" s="6" t="inlineStr">
        <is>
          <t>(none)</t>
        </is>
      </c>
      <c r="C8" s="6" t="inlineStr">
        <is>
          <t>0182511303018</t>
        </is>
      </c>
      <c r="D8" s="6" t="inlineStr">
        <is>
          <t>5970 Marion Drive</t>
        </is>
      </c>
      <c r="E8" s="6" t="inlineStr">
        <is>
          <t>5970 Marion Drive</t>
        </is>
      </c>
      <c r="F8" s="6" t="inlineStr">
        <is>
          <t>Denver</t>
        </is>
      </c>
      <c r="G8" s="5" t="inlineStr">
        <is>
          <t>CO</t>
        </is>
      </c>
      <c r="H8" s="6" t="inlineStr">
        <is>
          <t>80216 (est.)</t>
        </is>
      </c>
      <c r="I8" s="6" t="inlineStr">
        <is>
          <t>Adams</t>
        </is>
      </c>
      <c r="J8" s="6" t="inlineStr">
        <is>
          <t>Ankur Kumar (owner)</t>
        </is>
      </c>
      <c r="K8" s="6" t="inlineStr">
        <is>
          <t>—</t>
        </is>
      </c>
      <c r="L8" s="6" t="inlineStr">
        <is>
          <t>Industrial - 2-unit</t>
        </is>
      </c>
      <c r="M8" s="6" t="inlineStr">
        <is>
          <t>Multi (2 units)</t>
        </is>
      </c>
      <c r="N8" s="6" t="n"/>
      <c r="O8" s="6" t="n"/>
      <c r="P8" s="6" t="n"/>
      <c r="Q8" s="8" t="n">
        <v>14400</v>
      </c>
      <c r="R8" s="6" t="n"/>
      <c r="S8" s="6" t="inlineStr">
        <is>
          <t>—</t>
        </is>
      </c>
      <c r="T8" s="6" t="inlineStr">
        <is>
          <t>100% (2 units leased)</t>
        </is>
      </c>
      <c r="U8" s="9" t="n">
        <v>2527915</v>
      </c>
      <c r="V8" s="5" t="inlineStr">
        <is>
          <t>2025 (assigned)</t>
        </is>
      </c>
      <c r="W8" s="6" t="inlineStr">
        <is>
          <t>—</t>
        </is>
      </c>
      <c r="X8" s="6" t="inlineStr">
        <is>
          <t>Deerwoods Management LLC</t>
        </is>
      </c>
      <c r="Y8" s="6" t="inlineStr">
        <is>
          <t>5970 Marion P&amp;L/CF/xlsx</t>
        </is>
      </c>
    </row>
    <row r="9">
      <c r="A9" s="6" t="inlineStr">
        <is>
          <t>R0103767</t>
        </is>
      </c>
      <c r="B9" s="6" t="inlineStr">
        <is>
          <t>R0103767</t>
        </is>
      </c>
      <c r="C9" s="6" t="inlineStr">
        <is>
          <t>R0103767</t>
        </is>
      </c>
      <c r="D9" s="6" t="inlineStr">
        <is>
          <t>Washington Business Park</t>
        </is>
      </c>
      <c r="E9" s="6" t="inlineStr">
        <is>
          <t>5650 Washington St</t>
        </is>
      </c>
      <c r="F9" s="6" t="inlineStr">
        <is>
          <t>Denver</t>
        </is>
      </c>
      <c r="G9" s="5" t="inlineStr">
        <is>
          <t>CO</t>
        </is>
      </c>
      <c r="H9" s="6" t="inlineStr">
        <is>
          <t>80216 (est.)</t>
        </is>
      </c>
      <c r="I9" s="6" t="inlineStr">
        <is>
          <t>Adams</t>
        </is>
      </c>
      <c r="J9" s="6" t="inlineStr">
        <is>
          <t>Washington Business Park Property LLC</t>
        </is>
      </c>
      <c r="K9" s="6" t="inlineStr">
        <is>
          <t>Washington Business Park Property LLC</t>
        </is>
      </c>
      <c r="L9" s="6" t="inlineStr">
        <is>
          <t>Industrial / Flex (multi-tenant)</t>
        </is>
      </c>
      <c r="M9" s="6" t="inlineStr">
        <is>
          <t>Multi-tenant</t>
        </is>
      </c>
      <c r="N9" s="8" t="n">
        <v>2.31</v>
      </c>
      <c r="O9" s="8" t="n">
        <v>100754</v>
      </c>
      <c r="P9" s="8" t="n">
        <v>35577</v>
      </c>
      <c r="Q9" s="8" t="n">
        <v>34442</v>
      </c>
      <c r="R9" s="6" t="n">
        <v>1988</v>
      </c>
      <c r="S9" s="6" t="inlineStr">
        <is>
          <t>2.83:1</t>
        </is>
      </c>
      <c r="T9" s="6" t="inlineStr">
        <is>
          <t>Multi-tenant (7% vac. assumed)</t>
        </is>
      </c>
      <c r="U9" s="6" t="n"/>
      <c r="V9" s="5" t="inlineStr">
        <is>
          <t>2025</t>
        </is>
      </c>
      <c r="W9" s="6" t="inlineStr">
        <is>
          <t>See appraisal (value in embedded image)</t>
        </is>
      </c>
      <c r="X9" s="6" t="inlineStr">
        <is>
          <t>Owner: Bryan Sperry</t>
        </is>
      </c>
      <c r="Y9" s="6" t="inlineStr">
        <is>
          <t>5650_Washington_St.docx</t>
        </is>
      </c>
    </row>
    <row r="10">
      <c r="A10" s="6" t="inlineStr">
        <is>
          <t>R0024442</t>
        </is>
      </c>
      <c r="B10" s="6" t="inlineStr">
        <is>
          <t>R0024442</t>
        </is>
      </c>
      <c r="C10" s="6" t="inlineStr">
        <is>
          <t>R0024442</t>
        </is>
      </c>
      <c r="D10" s="6" t="inlineStr">
        <is>
          <t>SGS - Pennsylvania Industrial</t>
        </is>
      </c>
      <c r="E10" s="6" t="inlineStr">
        <is>
          <t>12260 Pennsylvania St</t>
        </is>
      </c>
      <c r="F10" s="6" t="inlineStr">
        <is>
          <t>Thornton</t>
        </is>
      </c>
      <c r="G10" s="5" t="inlineStr">
        <is>
          <t>CO</t>
        </is>
      </c>
      <c r="H10" s="6" t="inlineStr">
        <is>
          <t>80241 (est.)</t>
        </is>
      </c>
      <c r="I10" s="6" t="inlineStr">
        <is>
          <t>Adams</t>
        </is>
      </c>
      <c r="J10" s="6" t="inlineStr">
        <is>
          <t>Trinity Real Estate</t>
        </is>
      </c>
      <c r="K10" s="6" t="inlineStr">
        <is>
          <t>Snyder Family Trust Et Al</t>
        </is>
      </c>
      <c r="L10" s="6" t="inlineStr">
        <is>
          <t>Industrial - Warehouse</t>
        </is>
      </c>
      <c r="M10" s="6" t="inlineStr">
        <is>
          <t>Single-tenant</t>
        </is>
      </c>
      <c r="N10" s="8" t="n">
        <v>1</v>
      </c>
      <c r="O10" s="6" t="n"/>
      <c r="P10" s="6" t="n"/>
      <c r="Q10" s="8" t="n">
        <v>23729</v>
      </c>
      <c r="R10" s="6" t="n">
        <v>1984</v>
      </c>
      <c r="S10" s="6" t="inlineStr">
        <is>
          <t>—</t>
        </is>
      </c>
      <c r="T10" s="6" t="inlineStr">
        <is>
          <t>(leased; rent $9.50/sf NNN 1/1/24)</t>
        </is>
      </c>
      <c r="U10" s="9" t="n">
        <v>3876387</v>
      </c>
      <c r="V10" s="5" t="inlineStr">
        <is>
          <t>2025</t>
        </is>
      </c>
      <c r="W10" s="9" t="n">
        <v>2837000</v>
      </c>
      <c r="X10" s="6" t="inlineStr">
        <is>
          <t>—</t>
        </is>
      </c>
      <c r="Y10" s="6" t="inlineStr">
        <is>
          <t>R0024442.pdf</t>
        </is>
      </c>
    </row>
    <row r="11">
      <c r="A11" s="6" t="inlineStr">
        <is>
          <t>R0002819</t>
        </is>
      </c>
      <c r="B11" s="6" t="inlineStr">
        <is>
          <t>R0002819</t>
        </is>
      </c>
      <c r="C11" s="6" t="inlineStr">
        <is>
          <t>01569-06-3-13-002</t>
        </is>
      </c>
      <c r="D11" s="6" t="inlineStr">
        <is>
          <t>Broadview</t>
        </is>
      </c>
      <c r="E11" s="6" t="inlineStr">
        <is>
          <t>125 Bridge St</t>
        </is>
      </c>
      <c r="F11" s="6" t="inlineStr">
        <is>
          <t>Brighton</t>
        </is>
      </c>
      <c r="G11" s="5" t="inlineStr">
        <is>
          <t>CO</t>
        </is>
      </c>
      <c r="H11" s="6" t="inlineStr">
        <is>
          <t>80602</t>
        </is>
      </c>
      <c r="I11" s="6" t="inlineStr">
        <is>
          <t>Adams</t>
        </is>
      </c>
      <c r="J11" s="6" t="inlineStr">
        <is>
          <t>Broadview LLC</t>
        </is>
      </c>
      <c r="K11" s="6" t="inlineStr">
        <is>
          <t>Broadview LLC</t>
        </is>
      </c>
      <c r="L11" s="6" t="inlineStr">
        <is>
          <t>Commercial (multi-tenant industrial)</t>
        </is>
      </c>
      <c r="M11" s="6" t="inlineStr">
        <is>
          <t>Multi-tenant</t>
        </is>
      </c>
      <c r="N11" s="6" t="n"/>
      <c r="O11" s="6" t="n"/>
      <c r="P11" s="6" t="n"/>
      <c r="Q11" s="6" t="n"/>
      <c r="R11" s="6" t="n"/>
      <c r="S11" s="6" t="inlineStr">
        <is>
          <t>—</t>
        </is>
      </c>
      <c r="T11" s="6" t="inlineStr">
        <is>
          <t>Mostly leased (1-2 units vacant)</t>
        </is>
      </c>
      <c r="U11" s="6" t="n"/>
      <c r="V11" s="5" t="inlineStr">
        <is>
          <t>—</t>
        </is>
      </c>
      <c r="W11" s="6" t="inlineStr">
        <is>
          <t>—</t>
        </is>
      </c>
      <c r="X11" s="6" t="inlineStr">
        <is>
          <t>—</t>
        </is>
      </c>
      <c r="Y11" s="6" t="inlineStr">
        <is>
          <t>R0002819.pdf</t>
        </is>
      </c>
    </row>
    <row r="12">
      <c r="A12" s="6" t="inlineStr">
        <is>
          <t>R0092302</t>
        </is>
      </c>
      <c r="B12" s="6" t="inlineStr">
        <is>
          <t>R0092302</t>
        </is>
      </c>
      <c r="C12" s="6" t="inlineStr">
        <is>
          <t>R0092302</t>
        </is>
      </c>
      <c r="D12" s="6" t="inlineStr">
        <is>
          <t>6770 E. 56th Ave</t>
        </is>
      </c>
      <c r="E12" s="6" t="inlineStr">
        <is>
          <t>6770 E. 56th Ave</t>
        </is>
      </c>
      <c r="F12" s="6" t="inlineStr">
        <is>
          <t>Aurora</t>
        </is>
      </c>
      <c r="G12" s="5" t="inlineStr">
        <is>
          <t>CO</t>
        </is>
      </c>
      <c r="H12" s="6" t="inlineStr">
        <is>
          <t>80022 (est.)</t>
        </is>
      </c>
      <c r="I12" s="6" t="inlineStr">
        <is>
          <t>Adams</t>
        </is>
      </c>
      <c r="J12" s="6" t="inlineStr">
        <is>
          <t>56th Ave. J Investments LLC et al</t>
        </is>
      </c>
      <c r="K12" s="6" t="inlineStr">
        <is>
          <t>56th Ave. J Investments LLC et al</t>
        </is>
      </c>
      <c r="L12" s="6" t="inlineStr">
        <is>
          <t>Industrial - Warehouse</t>
        </is>
      </c>
      <c r="M12" s="6" t="inlineStr">
        <is>
          <t>Single-tenant</t>
        </is>
      </c>
      <c r="N12" s="6" t="n"/>
      <c r="O12" s="8" t="n">
        <v>29620</v>
      </c>
      <c r="P12" s="8" t="n">
        <v>9652</v>
      </c>
      <c r="Q12" s="8" t="n">
        <v>9652</v>
      </c>
      <c r="R12" s="6" t="n">
        <v>1973</v>
      </c>
      <c r="S12" s="6" t="inlineStr">
        <is>
          <t>3.0:1</t>
        </is>
      </c>
      <c r="T12" s="6" t="inlineStr">
        <is>
          <t>95% (proforma)</t>
        </is>
      </c>
      <c r="U12" s="9" t="n">
        <v>1815434</v>
      </c>
      <c r="V12" s="5" t="inlineStr">
        <is>
          <t>2026</t>
        </is>
      </c>
      <c r="W12" s="9" t="n">
        <v>1493032</v>
      </c>
      <c r="X12" s="6" t="inlineStr">
        <is>
          <t>—</t>
        </is>
      </c>
      <c r="Y12" s="6" t="inlineStr">
        <is>
          <t>R0092302.pdf</t>
        </is>
      </c>
    </row>
    <row r="13">
      <c r="A13" s="6" t="inlineStr">
        <is>
          <t>R0102989</t>
        </is>
      </c>
      <c r="B13" s="6" t="inlineStr">
        <is>
          <t>R0102989</t>
        </is>
      </c>
      <c r="C13" s="6" t="inlineStr">
        <is>
          <t>R0102989</t>
        </is>
      </c>
      <c r="D13" s="6" t="inlineStr">
        <is>
          <t>Simply Storage</t>
        </is>
      </c>
      <c r="E13" s="6" t="inlineStr">
        <is>
          <t>4911 West 58th Ave.</t>
        </is>
      </c>
      <c r="F13" s="6" t="inlineStr">
        <is>
          <t>Arvada</t>
        </is>
      </c>
      <c r="G13" s="5" t="inlineStr">
        <is>
          <t>CO</t>
        </is>
      </c>
      <c r="H13" s="6" t="inlineStr">
        <is>
          <t>80002</t>
        </is>
      </c>
      <c r="I13" s="6" t="inlineStr">
        <is>
          <t>Adams</t>
        </is>
      </c>
      <c r="J13" s="6" t="inlineStr">
        <is>
          <t>MFP-Simply Storage Holdings Colorado, LLC</t>
        </is>
      </c>
      <c r="K13" s="6" t="inlineStr">
        <is>
          <t>Simply Storage Holdings Colorado LLC</t>
        </is>
      </c>
      <c r="L13" s="6" t="inlineStr">
        <is>
          <t>Self-Storage</t>
        </is>
      </c>
      <c r="M13" s="6" t="inlineStr">
        <is>
          <t>Multi (self-storage, 524 units)</t>
        </is>
      </c>
      <c r="N13" s="8" t="n">
        <v>2.44</v>
      </c>
      <c r="O13" s="8" t="n">
        <v>106286</v>
      </c>
      <c r="P13" s="6" t="n"/>
      <c r="Q13" s="8" t="n">
        <v>84687</v>
      </c>
      <c r="R13" s="6" t="n">
        <v>2014</v>
      </c>
      <c r="S13" s="6" t="inlineStr">
        <is>
          <t>1.26:1</t>
        </is>
      </c>
      <c r="T13" s="6" t="inlineStr">
        <is>
          <t>76.3% economic (as of 6/30/2022)</t>
        </is>
      </c>
      <c r="U13" s="9" t="n">
        <v>8150000</v>
      </c>
      <c r="V13" s="5" t="n">
        <v>2023</v>
      </c>
      <c r="W13" s="9" t="n">
        <v>5970000</v>
      </c>
      <c r="X13" s="6" t="inlineStr">
        <is>
          <t>Ryan LLC (Bryce Henkels)</t>
        </is>
      </c>
      <c r="Y13" s="6" t="inlineStr">
        <is>
          <t>R0102989.pdf</t>
        </is>
      </c>
    </row>
    <row r="14">
      <c r="A14" s="6" t="inlineStr">
        <is>
          <t>R0169115</t>
        </is>
      </c>
      <c r="B14" s="6" t="inlineStr">
        <is>
          <t>R0169115</t>
        </is>
      </c>
      <c r="C14" s="6" t="inlineStr">
        <is>
          <t>0172114202001</t>
        </is>
      </c>
      <c r="D14" s="6" t="inlineStr">
        <is>
          <t>Stor-n-Lock Self Storage #20</t>
        </is>
      </c>
      <c r="E14" s="6" t="inlineStr">
        <is>
          <t>11210 E 104th Avenue</t>
        </is>
      </c>
      <c r="F14" s="6" t="inlineStr">
        <is>
          <t>—</t>
        </is>
      </c>
      <c r="G14" s="5" t="inlineStr">
        <is>
          <t>CO</t>
        </is>
      </c>
      <c r="H14" s="6" t="inlineStr">
        <is>
          <t>—</t>
        </is>
      </c>
      <c r="I14" s="6" t="inlineStr">
        <is>
          <t>Adams</t>
        </is>
      </c>
      <c r="J14" s="6" t="inlineStr">
        <is>
          <t>Stor-n-lock Partners No. 20 LLC (PTA: National Storage Affiliates)</t>
        </is>
      </c>
      <c r="K14" s="6" t="inlineStr">
        <is>
          <t>Stor-n-lock Partners No. 20 LLC</t>
        </is>
      </c>
      <c r="L14" s="6" t="inlineStr">
        <is>
          <t>Self-Storage</t>
        </is>
      </c>
      <c r="M14" s="6" t="inlineStr">
        <is>
          <t>Multi (self-storage, NNN)</t>
        </is>
      </c>
      <c r="N14" s="8" t="n"/>
      <c r="O14" s="8" t="n"/>
      <c r="P14" s="6" t="n"/>
      <c r="Q14" s="8" t="n">
        <v>75430</v>
      </c>
      <c r="R14" s="6" t="n"/>
      <c r="S14" s="6" t="n"/>
      <c r="T14" s="6" t="n"/>
      <c r="U14" s="9" t="n">
        <v>7942335</v>
      </c>
      <c r="V14" s="5" t="n">
        <v>2025</v>
      </c>
      <c r="W14" s="9" t="n">
        <v>6540000</v>
      </c>
      <c r="X14" s="6" t="inlineStr">
        <is>
          <t>Ryan LLC (Matt Poling)</t>
        </is>
      </c>
      <c r="Y14" s="6" t="inlineStr">
        <is>
          <t>R0169115.pdf</t>
        </is>
      </c>
    </row>
    <row r="15">
      <c r="A15" s="6" t="inlineStr">
        <is>
          <t>R0099616</t>
        </is>
      </c>
      <c r="B15" s="6" t="inlineStr">
        <is>
          <t>R0099616 (+ R0099615, R0099617, R0180917, R0099618, R0180918)</t>
        </is>
      </c>
      <c r="C15" s="6" t="inlineStr">
        <is>
          <t>0182504223005 (+related)</t>
        </is>
      </c>
      <c r="D15" s="6" t="inlineStr">
        <is>
          <t>All American Mini Storage</t>
        </is>
      </c>
      <c r="E15" s="6" t="inlineStr">
        <is>
          <t>1777 W. 68th Avenue</t>
        </is>
      </c>
      <c r="F15" s="6" t="inlineStr">
        <is>
          <t>Denver</t>
        </is>
      </c>
      <c r="G15" s="5" t="inlineStr">
        <is>
          <t>CO</t>
        </is>
      </c>
      <c r="H15" s="6" t="inlineStr">
        <is>
          <t>80221</t>
        </is>
      </c>
      <c r="I15" s="6" t="inlineStr">
        <is>
          <t>Adams</t>
        </is>
      </c>
      <c r="J15" s="6" t="inlineStr">
        <is>
          <t>Kekake Hale LLC</t>
        </is>
      </c>
      <c r="K15" s="6" t="inlineStr">
        <is>
          <t>Kekake Hale LLC</t>
        </is>
      </c>
      <c r="L15" s="6" t="inlineStr">
        <is>
          <t>Self-Storage + Office/Residential (mixed use)</t>
        </is>
      </c>
      <c r="M15" s="6" t="inlineStr">
        <is>
          <t>Multi (self-storage + resident manager)</t>
        </is>
      </c>
      <c r="N15" s="8" t="n">
        <v>5.07</v>
      </c>
      <c r="O15" s="8" t="n">
        <v>220762</v>
      </c>
      <c r="P15" s="6" t="n">
        <v>73500</v>
      </c>
      <c r="Q15" s="8" t="n">
        <v>73500</v>
      </c>
      <c r="R15" s="6" t="inlineStr">
        <is>
          <t>1985 &amp; 2001 (two bldgs)</t>
        </is>
      </c>
      <c r="S15" s="6" t="n"/>
      <c r="T15" s="6" t="n"/>
      <c r="U15" s="9" t="n">
        <v>7659751</v>
      </c>
      <c r="V15" s="5" t="n">
        <v>2025</v>
      </c>
      <c r="W15" s="9" t="n">
        <v>6250000</v>
      </c>
      <c r="X15" s="6" t="inlineStr">
        <is>
          <t>R.H. Jacobson &amp; Co. (David G. Berger)</t>
        </is>
      </c>
      <c r="Y15" s="6" t="inlineStr">
        <is>
          <t>R0099616.pdf</t>
        </is>
      </c>
    </row>
    <row r="16">
      <c r="A16" s="6" t="inlineStr">
        <is>
          <t>R0085523</t>
        </is>
      </c>
      <c r="B16" s="6" t="inlineStr">
        <is>
          <t>R0085523</t>
        </is>
      </c>
      <c r="C16" s="6" t="inlineStr">
        <is>
          <t>R0085523</t>
        </is>
      </c>
      <c r="D16" s="6" t="inlineStr">
        <is>
          <t>IN Self Storage - Fitzsimons</t>
        </is>
      </c>
      <c r="E16" s="6" t="inlineStr">
        <is>
          <t>1520 N Fitzsimons Parkway</t>
        </is>
      </c>
      <c r="F16" s="6" t="inlineStr">
        <is>
          <t>Aurora</t>
        </is>
      </c>
      <c r="G16" s="5" t="inlineStr">
        <is>
          <t>CO</t>
        </is>
      </c>
      <c r="H16" s="6" t="inlineStr">
        <is>
          <t>80011</t>
        </is>
      </c>
      <c r="I16" s="6" t="inlineStr">
        <is>
          <t>Adams</t>
        </is>
      </c>
      <c r="J16" s="6" t="inlineStr">
        <is>
          <t>Mountain View (Fitzsimons) LLC</t>
        </is>
      </c>
      <c r="K16" s="6" t="inlineStr">
        <is>
          <t>Mountain View (Fitzsimons) LLC</t>
        </is>
      </c>
      <c r="L16" s="6" t="inlineStr">
        <is>
          <t>Self-Storage (non-climate) + Manager Residence</t>
        </is>
      </c>
      <c r="M16" s="6" t="inlineStr">
        <is>
          <t>Multi (420 units) + residential apt</t>
        </is>
      </c>
      <c r="N16" s="8" t="n">
        <v>2.53</v>
      </c>
      <c r="O16" s="8" t="n">
        <v>110350</v>
      </c>
      <c r="P16" s="6" t="n">
        <v>38423</v>
      </c>
      <c r="Q16" s="8" t="n">
        <v>38423</v>
      </c>
      <c r="R16" s="6" t="n">
        <v>1973</v>
      </c>
      <c r="S16" s="6" t="n"/>
      <c r="T16" s="6" t="inlineStr">
        <is>
          <t>85.2% units / 88.2% area (12/31/2023)</t>
        </is>
      </c>
      <c r="U16" s="9" t="n">
        <v>5200000</v>
      </c>
      <c r="V16" s="5" t="inlineStr">
        <is>
          <t>2023 (BAA Order); 2026 appeal pending</t>
        </is>
      </c>
      <c r="W16" s="9" t="n">
        <v>3395400</v>
      </c>
      <c r="X16" s="6" t="inlineStr">
        <is>
          <t>Sterling Property Tax Specialists (Darla K. Jaramillo)</t>
        </is>
      </c>
      <c r="Y16" s="6" t="inlineStr">
        <is>
          <t>R0085523.pdf</t>
        </is>
      </c>
    </row>
    <row r="17">
      <c r="A17" s="6" t="inlineStr">
        <is>
          <t>R0071007</t>
        </is>
      </c>
      <c r="B17" s="6" t="inlineStr">
        <is>
          <t>R0071007</t>
        </is>
      </c>
      <c r="C17" s="6" t="inlineStr">
        <is>
          <t>0171935302010</t>
        </is>
      </c>
      <c r="D17" s="6" t="inlineStr">
        <is>
          <t>Warehouse and Storage Building(s)</t>
        </is>
      </c>
      <c r="E17" s="6" t="inlineStr">
        <is>
          <t>N. Pecos Ave</t>
        </is>
      </c>
      <c r="F17" s="6" t="inlineStr">
        <is>
          <t>Denver</t>
        </is>
      </c>
      <c r="G17" s="5" t="inlineStr">
        <is>
          <t>CO</t>
        </is>
      </c>
      <c r="H17" s="6" t="inlineStr">
        <is>
          <t>80221</t>
        </is>
      </c>
      <c r="I17" s="6" t="inlineStr">
        <is>
          <t>Adams</t>
        </is>
      </c>
      <c r="J17" s="6" t="inlineStr">
        <is>
          <t>T &amp; G Pecos, LLC</t>
        </is>
      </c>
      <c r="K17" s="6" t="inlineStr">
        <is>
          <t>T &amp; G Pecos, LLC</t>
        </is>
      </c>
      <c r="L17" s="6" t="inlineStr">
        <is>
          <t>Industrial - Multi-Tenant Storage/Warehouse Bays</t>
        </is>
      </c>
      <c r="M17" s="6" t="inlineStr">
        <is>
          <t>Multi (~90 units/bays, Buildings A-G)</t>
        </is>
      </c>
      <c r="N17" s="8" t="n"/>
      <c r="O17" s="8" t="n"/>
      <c r="P17" s="6" t="n"/>
      <c r="Q17" s="8" t="n"/>
      <c r="R17" s="6" t="n"/>
      <c r="S17" s="6" t="n"/>
      <c r="T17" s="6" t="n"/>
      <c r="U17" s="9" t="n"/>
      <c r="V17" s="5" t="n"/>
      <c r="W17" s="9" t="n"/>
      <c r="X17" s="6" t="inlineStr">
        <is>
          <t>Stevens &amp; Associates (SB 11-119 filing agent)</t>
        </is>
      </c>
      <c r="Y17" s="6" t="inlineStr">
        <is>
          <t>R0071007.pdf</t>
        </is>
      </c>
    </row>
    <row r="18">
      <c r="A18" s="6" t="inlineStr">
        <is>
          <t>R0055143</t>
        </is>
      </c>
      <c r="B18" s="6" t="inlineStr">
        <is>
          <t>R0055143</t>
        </is>
      </c>
      <c r="C18" s="6" t="inlineStr">
        <is>
          <t>R0055143</t>
        </is>
      </c>
      <c r="D18" s="6" t="inlineStr">
        <is>
          <t>8700 Devonshire Storage</t>
        </is>
      </c>
      <c r="E18" s="6" t="inlineStr">
        <is>
          <t>8700 Devonshire Blvd</t>
        </is>
      </c>
      <c r="F18" s="6" t="inlineStr">
        <is>
          <t>Denver</t>
        </is>
      </c>
      <c r="G18" s="5" t="inlineStr">
        <is>
          <t>CO</t>
        </is>
      </c>
      <c r="H18" s="6" t="inlineStr">
        <is>
          <t>80229</t>
        </is>
      </c>
      <c r="I18" s="6" t="inlineStr">
        <is>
          <t>Adams</t>
        </is>
      </c>
      <c r="J18" s="6" t="inlineStr">
        <is>
          <t>8700 Devonshire Storage LLC (Richard Kessler / TAM Capital, Asset Mgr)</t>
        </is>
      </c>
      <c r="K18" s="6" t="inlineStr">
        <is>
          <t>8700 Devonshire Storage LLC</t>
        </is>
      </c>
      <c r="L18" s="6" t="inlineStr">
        <is>
          <t>Self-Storage</t>
        </is>
      </c>
      <c r="M18" s="6" t="inlineStr">
        <is>
          <t>Multi (self-storage, ~278-290 units)</t>
        </is>
      </c>
      <c r="N18" s="8" t="n"/>
      <c r="O18" s="8" t="n"/>
      <c r="P18" s="6" t="n"/>
      <c r="Q18" s="8" t="n"/>
      <c r="R18" s="6" t="n"/>
      <c r="S18" s="6" t="n"/>
      <c r="T18" s="6" t="inlineStr">
        <is>
          <t>68.29% units (Feb-2025) vs. 75.17% (2023), declining</t>
        </is>
      </c>
      <c r="U18" s="9" t="n"/>
      <c r="V18" s="5" t="n">
        <v>2025</v>
      </c>
      <c r="W18" s="9" t="n">
        <v>2000000</v>
      </c>
      <c r="X18" s="6" t="inlineStr">
        <is>
          <t>CubeSmart (property mgr) / National Bureau Property Advisors (Evan Lantz, tax agent)</t>
        </is>
      </c>
      <c r="Y18" s="6" t="inlineStr">
        <is>
          <t>R0055143.pdf</t>
        </is>
      </c>
    </row>
    <row r="19">
      <c r="A19" s="6" t="inlineStr">
        <is>
          <t>R0043569</t>
        </is>
      </c>
      <c r="B19" s="6" t="inlineStr">
        <is>
          <t>R0043569</t>
        </is>
      </c>
      <c r="C19" s="6" t="inlineStr">
        <is>
          <t>R0043569</t>
        </is>
      </c>
      <c r="D19" s="6" t="inlineStr">
        <is>
          <t>Public Storage #08214 - Thornton/104th &amp; Quivas</t>
        </is>
      </c>
      <c r="E19" s="6" t="inlineStr">
        <is>
          <t>104th Ave &amp; Quivas St (exact address not stated)</t>
        </is>
      </c>
      <c r="F19" s="6" t="inlineStr">
        <is>
          <t>Thornton</t>
        </is>
      </c>
      <c r="G19" s="5" t="inlineStr">
        <is>
          <t>CO</t>
        </is>
      </c>
      <c r="H19" s="6" t="n"/>
      <c r="I19" s="6" t="inlineStr">
        <is>
          <t>Adams</t>
        </is>
      </c>
      <c r="J19" s="6" t="inlineStr">
        <is>
          <t>Public Storage</t>
        </is>
      </c>
      <c r="K19" s="6" t="inlineStr">
        <is>
          <t>Public Storage</t>
        </is>
      </c>
      <c r="L19" s="6" t="inlineStr">
        <is>
          <t>Self-Storage</t>
        </is>
      </c>
      <c r="M19" s="6" t="inlineStr">
        <is>
          <t>Multi (self-storage)</t>
        </is>
      </c>
      <c r="N19" s="8" t="n"/>
      <c r="O19" s="8" t="n"/>
      <c r="P19" s="6" t="n"/>
      <c r="Q19" s="8" t="n"/>
      <c r="R19" s="6" t="n"/>
      <c r="S19" s="6" t="n"/>
      <c r="T19" s="6" t="inlineStr">
        <is>
          <t>~87-95% monthly (FY2024, avg ~91.9%)</t>
        </is>
      </c>
      <c r="U19" s="9" t="n"/>
      <c r="V19" s="5" t="n"/>
      <c r="W19" s="9" t="n"/>
      <c r="X19" s="6" t="inlineStr">
        <is>
          <t>Public Storage (internal mgmt)</t>
        </is>
      </c>
      <c r="Y19" s="6" t="inlineStr">
        <is>
          <t>R0043569.pdf</t>
        </is>
      </c>
    </row>
  </sheetData>
  <mergeCells count="2">
    <mergeCell ref="A2:Y2"/>
    <mergeCell ref="A1:Y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34" customWidth="1" min="3" max="3"/>
    <col width="22" customWidth="1" min="4" max="4"/>
    <col width="13" customWidth="1" min="5" max="5"/>
    <col width="13" customWidth="1" min="6" max="6"/>
    <col width="9" customWidth="1" min="7" max="7"/>
    <col width="11" customWidth="1" min="8" max="8"/>
    <col width="11" customWidth="1" min="9" max="9"/>
    <col width="14" customWidth="1" min="10" max="10"/>
    <col width="12" customWidth="1" min="11" max="11"/>
    <col width="10" customWidth="1" min="12" max="12"/>
    <col width="44" customWidth="1" min="13" max="13"/>
    <col width="40" customWidth="1" min="14" max="14"/>
  </cols>
  <sheetData>
    <row r="1" ht="26" customHeight="1">
      <c r="A1" s="1" t="inlineStr">
        <is>
          <t>TENANTS &amp; LEASES</t>
        </is>
      </c>
    </row>
    <row r="2" ht="14" customHeight="1">
      <c r="A2" s="2" t="inlineStr">
        <is>
          <t>Actual tenants &amp; rent rolls (125 Bridge St, 5970 Marion) and proforma lease assumptions (tax appeals)</t>
        </is>
      </c>
    </row>
    <row r="4" ht="30" customHeight="1">
      <c r="A4" s="4" t="inlineStr">
        <is>
          <t>Property</t>
        </is>
      </c>
      <c r="B4" s="4" t="inlineStr">
        <is>
          <t>Unit</t>
        </is>
      </c>
      <c r="C4" s="4" t="inlineStr">
        <is>
          <t>Tenant</t>
        </is>
      </c>
      <c r="D4" s="4" t="inlineStr">
        <is>
          <t>Basis / Lease Type</t>
        </is>
      </c>
      <c r="E4" s="4" t="inlineStr">
        <is>
          <t>Monthly Rent</t>
        </is>
      </c>
      <c r="F4" s="4" t="inlineStr">
        <is>
          <t>Annual Rent</t>
        </is>
      </c>
      <c r="G4" s="4" t="inlineStr">
        <is>
          <t>Rent PSF</t>
        </is>
      </c>
      <c r="H4" s="4" t="inlineStr">
        <is>
          <t>Lease Start</t>
        </is>
      </c>
      <c r="I4" s="4" t="inlineStr">
        <is>
          <t>Lease End</t>
        </is>
      </c>
      <c r="J4" s="4" t="inlineStr">
        <is>
          <t>Term / Option</t>
        </is>
      </c>
      <c r="K4" s="4" t="inlineStr">
        <is>
          <t>Monthly CAM</t>
        </is>
      </c>
      <c r="L4" s="4" t="inlineStr">
        <is>
          <t>Deposit</t>
        </is>
      </c>
      <c r="M4" s="4" t="inlineStr">
        <is>
          <t>Notes</t>
        </is>
      </c>
    </row>
    <row r="5">
      <c r="A5" s="10" t="inlineStr">
        <is>
          <t>125 Bridge St, Brighton (R0002819) — Broadview LLC  |  Rent Roll (monthly, current as of Jan-2024)</t>
        </is>
      </c>
      <c r="B5" s="20" t="n"/>
      <c r="C5" s="20" t="n"/>
      <c r="D5" s="20" t="n"/>
      <c r="E5" s="20" t="n"/>
      <c r="F5" s="20" t="n"/>
      <c r="G5" s="20" t="n"/>
      <c r="H5" s="20" t="n"/>
      <c r="I5" s="20" t="n"/>
      <c r="J5" s="20" t="n"/>
      <c r="K5" s="20" t="n"/>
      <c r="L5" s="20" t="n"/>
      <c r="M5" s="21" t="n"/>
    </row>
    <row r="6">
      <c r="A6" s="6" t="inlineStr">
        <is>
          <t>125 Bridge St</t>
        </is>
      </c>
      <c r="B6" s="6" t="inlineStr">
        <is>
          <t>A (Indoor)</t>
        </is>
      </c>
      <c r="C6" s="6" t="inlineStr">
        <is>
          <t>Bulldog Tires</t>
        </is>
      </c>
      <c r="D6" s="6" t="inlineStr">
        <is>
          <t>Lease</t>
        </is>
      </c>
      <c r="E6" s="9" t="n">
        <v>4414</v>
      </c>
      <c r="F6" s="6" t="n"/>
      <c r="G6" s="6" t="n"/>
      <c r="H6" s="5" t="inlineStr">
        <is>
          <t>2/15/2021</t>
        </is>
      </c>
      <c r="I6" s="5" t="inlineStr">
        <is>
          <t>9/30/2026</t>
        </is>
      </c>
      <c r="J6" s="5" t="inlineStr">
        <is>
          <t>3-yr option</t>
        </is>
      </c>
      <c r="K6" s="9" t="n">
        <v>2550</v>
      </c>
      <c r="L6" s="6" t="inlineStr">
        <is>
          <t>na</t>
        </is>
      </c>
      <c r="M6" s="6" t="inlineStr"/>
    </row>
    <row r="7">
      <c r="A7" s="6" t="inlineStr">
        <is>
          <t>125 Bridge St</t>
        </is>
      </c>
      <c r="B7" s="6" t="inlineStr">
        <is>
          <t>B (Indoor)</t>
        </is>
      </c>
      <c r="C7" s="6" t="inlineStr">
        <is>
          <t>Manny Mercado</t>
        </is>
      </c>
      <c r="D7" s="6" t="inlineStr">
        <is>
          <t>Lease</t>
        </is>
      </c>
      <c r="E7" s="9" t="n">
        <v>2425</v>
      </c>
      <c r="F7" s="6" t="n"/>
      <c r="G7" s="6" t="n"/>
      <c r="H7" s="5" t="inlineStr">
        <is>
          <t>4/1/2024</t>
        </is>
      </c>
      <c r="I7" s="5" t="inlineStr">
        <is>
          <t>3/31/2029</t>
        </is>
      </c>
      <c r="J7" s="5" t="inlineStr">
        <is>
          <t>2-yr option</t>
        </is>
      </c>
      <c r="K7" s="9" t="n">
        <v>1000</v>
      </c>
      <c r="L7" s="9" t="n">
        <v>2425</v>
      </c>
      <c r="M7" s="6" t="inlineStr"/>
    </row>
    <row r="8">
      <c r="A8" s="6" t="inlineStr">
        <is>
          <t>125 Bridge St</t>
        </is>
      </c>
      <c r="B8" s="6" t="inlineStr">
        <is>
          <t>C (Indoor)</t>
        </is>
      </c>
      <c r="C8" s="6" t="inlineStr">
        <is>
          <t>Drip and Stitch</t>
        </is>
      </c>
      <c r="D8" s="6" t="inlineStr">
        <is>
          <t>Lease</t>
        </is>
      </c>
      <c r="E8" s="9" t="n">
        <v>4000</v>
      </c>
      <c r="F8" s="6" t="n"/>
      <c r="G8" s="6" t="n"/>
      <c r="H8" s="5" t="inlineStr">
        <is>
          <t>12/15/2024</t>
        </is>
      </c>
      <c r="I8" s="5" t="inlineStr">
        <is>
          <t>11/30/2025</t>
        </is>
      </c>
      <c r="J8" s="5" t="inlineStr">
        <is>
          <t>1-yr option</t>
        </is>
      </c>
      <c r="K8" s="6" t="n"/>
      <c r="L8" s="9" t="n">
        <v>2500</v>
      </c>
      <c r="M8" s="6" t="inlineStr">
        <is>
          <t>CAM unit 'Cabinet Connections' vacated 3/31/24</t>
        </is>
      </c>
    </row>
    <row r="9">
      <c r="A9" s="6" t="inlineStr">
        <is>
          <t>125 Bridge St</t>
        </is>
      </c>
      <c r="B9" s="6" t="inlineStr">
        <is>
          <t>D (Indoor)</t>
        </is>
      </c>
      <c r="C9" s="6" t="inlineStr">
        <is>
          <t>Galaxy Greens</t>
        </is>
      </c>
      <c r="D9" s="6" t="inlineStr">
        <is>
          <t>Lease</t>
        </is>
      </c>
      <c r="E9" s="9" t="n">
        <v>6000</v>
      </c>
      <c r="F9" s="6" t="n"/>
      <c r="G9" s="6" t="n"/>
      <c r="H9" s="5" t="inlineStr">
        <is>
          <t>3/1/2024</t>
        </is>
      </c>
      <c r="I9" s="5" t="inlineStr">
        <is>
          <t>10/31/2033</t>
        </is>
      </c>
      <c r="J9" s="5" t="inlineStr">
        <is>
          <t>5-yr option</t>
        </is>
      </c>
      <c r="K9" s="9" t="n">
        <v>1450</v>
      </c>
      <c r="L9" s="6" t="n"/>
      <c r="M9" s="6" t="inlineStr"/>
    </row>
    <row r="10">
      <c r="A10" s="6" t="inlineStr">
        <is>
          <t>125 Bridge St</t>
        </is>
      </c>
      <c r="B10" s="6" t="inlineStr">
        <is>
          <t>E (Indoor)</t>
        </is>
      </c>
      <c r="C10" s="6" t="inlineStr">
        <is>
          <t>Intensive Drilling</t>
        </is>
      </c>
      <c r="D10" s="6" t="inlineStr">
        <is>
          <t>Lease</t>
        </is>
      </c>
      <c r="E10" s="9" t="n">
        <v>4500</v>
      </c>
      <c r="F10" s="6" t="n"/>
      <c r="G10" s="6" t="n"/>
      <c r="H10" s="5" t="inlineStr">
        <is>
          <t>1/1/2025</t>
        </is>
      </c>
      <c r="I10" s="5" t="inlineStr">
        <is>
          <t>12/1/2029</t>
        </is>
      </c>
      <c r="J10" s="5" t="inlineStr">
        <is>
          <t>5-yr option</t>
        </is>
      </c>
      <c r="K10" s="9" t="n">
        <v>0</v>
      </c>
      <c r="L10" s="9" t="n">
        <v>3100</v>
      </c>
      <c r="M10" s="6" t="inlineStr"/>
    </row>
    <row r="11">
      <c r="A11" s="6" t="inlineStr">
        <is>
          <t>125 Bridge St</t>
        </is>
      </c>
      <c r="B11" s="6" t="inlineStr">
        <is>
          <t>F (Indoor)</t>
        </is>
      </c>
      <c r="C11" s="6" t="inlineStr">
        <is>
          <t>Intensive Drilling</t>
        </is>
      </c>
      <c r="D11" s="6" t="inlineStr">
        <is>
          <t>Lease</t>
        </is>
      </c>
      <c r="E11" s="6" t="n"/>
      <c r="F11" s="6" t="n"/>
      <c r="G11" s="6" t="n"/>
      <c r="H11" s="5" t="inlineStr">
        <is>
          <t>—</t>
        </is>
      </c>
      <c r="I11" s="5" t="inlineStr">
        <is>
          <t>—</t>
        </is>
      </c>
      <c r="J11" s="5" t="inlineStr">
        <is>
          <t>—</t>
        </is>
      </c>
      <c r="K11" s="6" t="n"/>
      <c r="L11" s="6" t="n"/>
      <c r="M11" s="6" t="inlineStr">
        <is>
          <t>Listed; no rent shown (vacant/expansion)</t>
        </is>
      </c>
    </row>
    <row r="12">
      <c r="A12" s="6" t="inlineStr">
        <is>
          <t>125 Bridge St</t>
        </is>
      </c>
      <c r="B12" s="6" t="inlineStr">
        <is>
          <t>Outdoor</t>
        </is>
      </c>
      <c r="C12" s="6" t="inlineStr">
        <is>
          <t>ABC</t>
        </is>
      </c>
      <c r="D12" s="6" t="inlineStr">
        <is>
          <t>Lease</t>
        </is>
      </c>
      <c r="E12" s="9" t="n">
        <v>5000</v>
      </c>
      <c r="F12" s="6" t="n"/>
      <c r="G12" s="6" t="n"/>
      <c r="H12" s="5" t="inlineStr">
        <is>
          <t>—</t>
        </is>
      </c>
      <c r="I12" s="5" t="inlineStr">
        <is>
          <t>2/28/2026</t>
        </is>
      </c>
      <c r="J12" s="5" t="inlineStr">
        <is>
          <t>1-yr option</t>
        </is>
      </c>
      <c r="K12" s="6" t="n"/>
      <c r="L12" s="6" t="n"/>
      <c r="M12" s="6" t="inlineStr"/>
    </row>
    <row r="13">
      <c r="A13" s="6" t="inlineStr">
        <is>
          <t>125 Bridge St</t>
        </is>
      </c>
      <c r="B13" s="6" t="inlineStr">
        <is>
          <t>Outdoor</t>
        </is>
      </c>
      <c r="C13" s="6" t="inlineStr">
        <is>
          <t>Intensive Drilling</t>
        </is>
      </c>
      <c r="D13" s="6" t="inlineStr">
        <is>
          <t>Lease</t>
        </is>
      </c>
      <c r="E13" s="9" t="n">
        <v>4000</v>
      </c>
      <c r="F13" s="6" t="n"/>
      <c r="G13" s="6" t="n"/>
      <c r="H13" s="5" t="inlineStr">
        <is>
          <t>—</t>
        </is>
      </c>
      <c r="I13" s="5" t="inlineStr">
        <is>
          <t>as above</t>
        </is>
      </c>
      <c r="J13" s="5" t="inlineStr">
        <is>
          <t>—</t>
        </is>
      </c>
      <c r="K13" s="6" t="n"/>
      <c r="L13" s="9" t="n">
        <v>3500</v>
      </c>
      <c r="M13" s="6" t="inlineStr"/>
    </row>
    <row r="14">
      <c r="A14" s="6" t="inlineStr">
        <is>
          <t>125 Bridge St</t>
        </is>
      </c>
      <c r="B14" s="6" t="inlineStr">
        <is>
          <t>Outdoor</t>
        </is>
      </c>
      <c r="C14" s="6" t="inlineStr">
        <is>
          <t>El Tacos</t>
        </is>
      </c>
      <c r="D14" s="6" t="inlineStr">
        <is>
          <t>Lease</t>
        </is>
      </c>
      <c r="E14" s="9" t="n">
        <v>150</v>
      </c>
      <c r="F14" s="6" t="n"/>
      <c r="G14" s="6" t="n"/>
      <c r="H14" s="5" t="inlineStr">
        <is>
          <t>—</t>
        </is>
      </c>
      <c r="I14" s="5" t="inlineStr">
        <is>
          <t>9/30</t>
        </is>
      </c>
      <c r="J14" s="5" t="inlineStr">
        <is>
          <t>12 months</t>
        </is>
      </c>
      <c r="K14" s="6" t="n"/>
      <c r="L14" s="6" t="n"/>
      <c r="M14" s="6" t="inlineStr"/>
    </row>
    <row r="15">
      <c r="A15" s="6" t="inlineStr">
        <is>
          <t>125 Bridge St</t>
        </is>
      </c>
      <c r="B15" s="6" t="inlineStr">
        <is>
          <t>Outdoor</t>
        </is>
      </c>
      <c r="C15" s="6" t="inlineStr">
        <is>
          <t>Cabinet</t>
        </is>
      </c>
      <c r="D15" s="6" t="inlineStr">
        <is>
          <t>MTM</t>
        </is>
      </c>
      <c r="E15" s="9" t="n">
        <v>140</v>
      </c>
      <c r="F15" s="6" t="n"/>
      <c r="G15" s="6" t="n"/>
      <c r="H15" s="5" t="inlineStr">
        <is>
          <t>—</t>
        </is>
      </c>
      <c r="I15" s="5" t="inlineStr">
        <is>
          <t>—</t>
        </is>
      </c>
      <c r="J15" s="5" t="inlineStr">
        <is>
          <t>month-to-month</t>
        </is>
      </c>
      <c r="K15" s="6" t="n"/>
      <c r="L15" s="6" t="n"/>
      <c r="M15" s="6" t="inlineStr"/>
    </row>
    <row r="16">
      <c r="A16" s="6" t="inlineStr">
        <is>
          <t>125 Bridge St</t>
        </is>
      </c>
      <c r="B16" s="6" t="inlineStr">
        <is>
          <t>Outdoor</t>
        </is>
      </c>
      <c r="C16" s="6" t="inlineStr">
        <is>
          <t>RV Parking</t>
        </is>
      </c>
      <c r="D16" s="6" t="inlineStr">
        <is>
          <t>MTM</t>
        </is>
      </c>
      <c r="E16" s="9" t="n">
        <v>75</v>
      </c>
      <c r="F16" s="6" t="n"/>
      <c r="G16" s="6" t="n"/>
      <c r="H16" s="5" t="inlineStr">
        <is>
          <t>—</t>
        </is>
      </c>
      <c r="I16" s="5" t="inlineStr">
        <is>
          <t>—</t>
        </is>
      </c>
      <c r="J16" s="5" t="inlineStr">
        <is>
          <t>month-to-month</t>
        </is>
      </c>
      <c r="K16" s="6" t="n"/>
      <c r="L16" s="6" t="n"/>
      <c r="M16" s="6" t="inlineStr"/>
    </row>
    <row r="17">
      <c r="A17" s="11" t="inlineStr">
        <is>
          <t>125 Bridge St</t>
        </is>
      </c>
      <c r="B17" s="12" t="inlineStr">
        <is>
          <t>TOTALS</t>
        </is>
      </c>
      <c r="C17" s="12" t="inlineStr">
        <is>
          <t>Total Rental Income (monthly)</t>
        </is>
      </c>
      <c r="D17" s="13" t="inlineStr"/>
      <c r="E17" s="14">
        <f>SUM(E6:E16)</f>
        <v/>
      </c>
      <c r="F17" s="14">
        <f>E17*12</f>
        <v/>
      </c>
      <c r="G17" s="13" t="inlineStr"/>
      <c r="H17" s="13" t="inlineStr"/>
      <c r="I17" s="13" t="inlineStr"/>
      <c r="J17" s="13" t="inlineStr"/>
      <c r="K17" s="14">
        <f>SUM(K6:K16)</f>
        <v/>
      </c>
      <c r="L17" s="13" t="inlineStr"/>
      <c r="M17" s="15" t="inlineStr">
        <is>
          <t>Monthly CAM total $5,000; annualized gross scheduled income ≈ monthly total × 12. IRS Form 8825 actual 2024 gross rents were $307,817.</t>
        </is>
      </c>
    </row>
    <row r="18">
      <c r="A18" s="10" t="inlineStr">
        <is>
          <t>5970 Marion Drive (0182511303018) — actual tenants (FY2024)</t>
        </is>
      </c>
      <c r="B18" s="20" t="n"/>
      <c r="C18" s="20" t="n"/>
      <c r="D18" s="20" t="n"/>
      <c r="E18" s="20" t="n"/>
      <c r="F18" s="20" t="n"/>
      <c r="G18" s="20" t="n"/>
      <c r="H18" s="20" t="n"/>
      <c r="I18" s="20" t="n"/>
      <c r="J18" s="20" t="n"/>
      <c r="K18" s="20" t="n"/>
      <c r="L18" s="20" t="n"/>
      <c r="M18" s="21" t="n"/>
    </row>
    <row r="19">
      <c r="A19" s="6" t="inlineStr">
        <is>
          <t>5970 Marion</t>
        </is>
      </c>
      <c r="B19" s="6" t="inlineStr">
        <is>
          <t>Unit 1</t>
        </is>
      </c>
      <c r="C19" s="6" t="inlineStr">
        <is>
          <t>Whatever It Takes Transmissions &amp; Parts, Inc.</t>
        </is>
      </c>
      <c r="D19" s="6" t="inlineStr">
        <is>
          <t>Actual (NNN w/ CAM)</t>
        </is>
      </c>
      <c r="E19" s="6" t="n"/>
      <c r="F19" s="6" t="n"/>
      <c r="G19" s="6" t="n"/>
      <c r="H19" s="5" t="inlineStr">
        <is>
          <t>—</t>
        </is>
      </c>
      <c r="I19" s="5" t="inlineStr">
        <is>
          <t>—</t>
        </is>
      </c>
      <c r="J19" s="5" t="inlineStr">
        <is>
          <t>—</t>
        </is>
      </c>
      <c r="K19" s="6" t="n"/>
      <c r="L19" s="6" t="n"/>
      <c r="M19" s="6" t="inlineStr">
        <is>
          <t>2024 monthly rent ~$9,136; billed CAM escrows separately</t>
        </is>
      </c>
    </row>
    <row r="20">
      <c r="A20" s="6" t="inlineStr">
        <is>
          <t>5970 Marion</t>
        </is>
      </c>
      <c r="B20" s="6" t="inlineStr">
        <is>
          <t>Unit 2</t>
        </is>
      </c>
      <c r="C20" s="6" t="inlineStr">
        <is>
          <t>Integrated Turf Solutions LLC</t>
        </is>
      </c>
      <c r="D20" s="6" t="inlineStr">
        <is>
          <t>Actual (NNN w/ CAM)</t>
        </is>
      </c>
      <c r="E20" s="6" t="n"/>
      <c r="F20" s="6" t="n"/>
      <c r="G20" s="6" t="n"/>
      <c r="H20" s="5" t="inlineStr">
        <is>
          <t>—</t>
        </is>
      </c>
      <c r="I20" s="5" t="inlineStr">
        <is>
          <t>—</t>
        </is>
      </c>
      <c r="J20" s="5" t="inlineStr">
        <is>
          <t>—</t>
        </is>
      </c>
      <c r="K20" s="6" t="n"/>
      <c r="L20" s="6" t="n"/>
      <c r="M20" s="6" t="inlineStr">
        <is>
          <t>2024 monthly rent ranged $3,120-$6,860; billed CAM escrows</t>
        </is>
      </c>
    </row>
    <row r="21">
      <c r="A21" s="10" t="inlineStr">
        <is>
          <t>Tax-appeal proforma lease assumptions (not executed leases)</t>
        </is>
      </c>
      <c r="B21" s="20" t="n"/>
      <c r="C21" s="20" t="n"/>
      <c r="D21" s="20" t="n"/>
      <c r="E21" s="20" t="n"/>
      <c r="F21" s="20" t="n"/>
      <c r="G21" s="20" t="n"/>
      <c r="H21" s="20" t="n"/>
      <c r="I21" s="20" t="n"/>
      <c r="J21" s="20" t="n"/>
      <c r="K21" s="20" t="n"/>
      <c r="L21" s="20" t="n"/>
      <c r="M21" s="21" t="n"/>
    </row>
    <row r="22">
      <c r="A22" s="6" t="inlineStr">
        <is>
          <t>7205 Gilpin Way</t>
        </is>
      </c>
      <c r="B22" s="6" t="inlineStr">
        <is>
          <t>Whole</t>
        </is>
      </c>
      <c r="C22" s="6" t="inlineStr">
        <is>
          <t>Proforma single-tenant</t>
        </is>
      </c>
      <c r="D22" s="6" t="inlineStr">
        <is>
          <t>Proforma NNN</t>
        </is>
      </c>
      <c r="E22" s="6" t="n"/>
      <c r="F22" s="9" t="n">
        <v>359394</v>
      </c>
      <c r="G22" s="16" t="n">
        <v>10.5</v>
      </c>
      <c r="H22" s="5" t="inlineStr">
        <is>
          <t>—</t>
        </is>
      </c>
      <c r="I22" s="5" t="inlineStr">
        <is>
          <t>—</t>
        </is>
      </c>
      <c r="J22" s="5" t="inlineStr">
        <is>
          <t>—</t>
        </is>
      </c>
      <c r="K22" s="6" t="n"/>
      <c r="L22" s="6" t="n"/>
      <c r="M22" s="6" t="inlineStr">
        <is>
          <t>OpEx 8% EGI; 5% vacancy (Ryan)</t>
        </is>
      </c>
    </row>
    <row r="23">
      <c r="A23" s="6" t="inlineStr">
        <is>
          <t>17608 E. 24th Dr</t>
        </is>
      </c>
      <c r="B23" s="6" t="inlineStr">
        <is>
          <t>Whole</t>
        </is>
      </c>
      <c r="C23" s="6" t="inlineStr">
        <is>
          <t>Proforma single-tenant</t>
        </is>
      </c>
      <c r="D23" s="6" t="inlineStr">
        <is>
          <t>Proforma NNN</t>
        </is>
      </c>
      <c r="E23" s="6" t="n"/>
      <c r="F23" s="9" t="n">
        <v>209100</v>
      </c>
      <c r="G23" s="16" t="n">
        <v>10</v>
      </c>
      <c r="H23" s="5" t="inlineStr">
        <is>
          <t>—</t>
        </is>
      </c>
      <c r="I23" s="5" t="inlineStr">
        <is>
          <t>—</t>
        </is>
      </c>
      <c r="J23" s="5" t="inlineStr">
        <is>
          <t>—</t>
        </is>
      </c>
      <c r="K23" s="6" t="n"/>
      <c r="L23" s="6" t="n"/>
      <c r="M23" s="6" t="inlineStr">
        <is>
          <t>OpEx 8% EGI; 5% vacancy (Ryan)</t>
        </is>
      </c>
    </row>
    <row r="24">
      <c r="A24" s="6" t="inlineStr">
        <is>
          <t>12260 Pennsylvania St</t>
        </is>
      </c>
      <c r="B24" s="6" t="inlineStr">
        <is>
          <t>Whole</t>
        </is>
      </c>
      <c r="C24" s="6" t="inlineStr">
        <is>
          <t>Proforma single-tenant</t>
        </is>
      </c>
      <c r="D24" s="6" t="inlineStr">
        <is>
          <t>Proforma NNN</t>
        </is>
      </c>
      <c r="E24" s="6" t="n"/>
      <c r="F24" s="9" t="n">
        <v>237290</v>
      </c>
      <c r="G24" s="16" t="n">
        <v>10</v>
      </c>
      <c r="H24" s="5" t="inlineStr">
        <is>
          <t>—</t>
        </is>
      </c>
      <c r="I24" s="5" t="inlineStr">
        <is>
          <t>—</t>
        </is>
      </c>
      <c r="J24" s="5" t="inlineStr">
        <is>
          <t>—</t>
        </is>
      </c>
      <c r="K24" s="6" t="n"/>
      <c r="L24" s="6" t="n"/>
      <c r="M24" s="6" t="inlineStr">
        <is>
          <t>Face rent $10; actual tenant $9.50/sf NNN as of 1/1/24; 7% vac, 10% OpEx (Ryan)</t>
        </is>
      </c>
    </row>
    <row r="25">
      <c r="A25" s="6" t="inlineStr">
        <is>
          <t>6770 E. 56th Ave</t>
        </is>
      </c>
      <c r="B25" s="6" t="inlineStr">
        <is>
          <t>Whole</t>
        </is>
      </c>
      <c r="C25" s="6" t="inlineStr">
        <is>
          <t>Proforma single-tenant</t>
        </is>
      </c>
      <c r="D25" s="6" t="inlineStr">
        <is>
          <t>Proforma</t>
        </is>
      </c>
      <c r="E25" s="6" t="n"/>
      <c r="F25" s="9" t="n">
        <v>115824</v>
      </c>
      <c r="G25" s="16" t="n">
        <v>12</v>
      </c>
      <c r="H25" s="5" t="inlineStr">
        <is>
          <t>—</t>
        </is>
      </c>
      <c r="I25" s="5" t="inlineStr">
        <is>
          <t>—</t>
        </is>
      </c>
      <c r="J25" s="5" t="inlineStr">
        <is>
          <t>—</t>
        </is>
      </c>
      <c r="K25" s="6" t="n"/>
      <c r="L25" s="6" t="n"/>
      <c r="M25" s="6" t="inlineStr">
        <is>
          <t>$12/sf; 95% occ; 5% expenses (Property Tax Advisors)</t>
        </is>
      </c>
    </row>
    <row r="26">
      <c r="A26" s="6" t="inlineStr">
        <is>
          <t>5650 Washington St</t>
        </is>
      </c>
      <c r="B26" s="6" t="inlineStr">
        <is>
          <t>Multiple</t>
        </is>
      </c>
      <c r="C26" s="6" t="inlineStr">
        <is>
          <t>Actual multi-tenant (modified gross)</t>
        </is>
      </c>
      <c r="D26" s="6" t="inlineStr">
        <is>
          <t>Modified Gross</t>
        </is>
      </c>
      <c r="E26" s="6" t="n"/>
      <c r="F26" s="6" t="n"/>
      <c r="G26" s="6" t="n"/>
      <c r="H26" s="5" t="inlineStr">
        <is>
          <t>—</t>
        </is>
      </c>
      <c r="I26" s="5" t="inlineStr">
        <is>
          <t>—</t>
        </is>
      </c>
      <c r="J26" s="5" t="inlineStr">
        <is>
          <t>—</t>
        </is>
      </c>
      <c r="K26" s="6" t="n"/>
      <c r="L26" s="6" t="n"/>
      <c r="M26" s="6" t="inlineStr">
        <is>
          <t>Actual rents $10.28-$31.48/sf; majority $13-17/sf; $15/sf applied to vacant space. Detailed rent roll embedded as image in appraisal.</t>
        </is>
      </c>
    </row>
    <row r="27">
      <c r="A27" s="10" t="inlineStr">
        <is>
          <t>Simply Storage, 4911 W 58th Ave, Arvada (R0102989) — self-storage rent roll (full unit detail on file, 524 units, as of 6/30/2022)</t>
        </is>
      </c>
      <c r="B27" s="20" t="n"/>
      <c r="C27" s="20" t="n"/>
      <c r="D27" s="20" t="n"/>
      <c r="E27" s="20" t="n"/>
      <c r="F27" s="20" t="n"/>
      <c r="G27" s="20" t="n"/>
      <c r="H27" s="20" t="n"/>
      <c r="I27" s="20" t="n"/>
      <c r="J27" s="20" t="n"/>
      <c r="K27" s="20" t="n"/>
      <c r="L27" s="20" t="n"/>
      <c r="M27" s="21" t="n"/>
    </row>
    <row r="28">
      <c r="A28" s="6" t="inlineStr">
        <is>
          <t>Simply Storage (R0102989)</t>
        </is>
      </c>
      <c r="B28" s="6" t="inlineStr">
        <is>
          <t>ALL UNITS (524)</t>
        </is>
      </c>
      <c r="C28" s="6" t="inlineStr">
        <is>
          <t>Self-storage — multiple individual renters</t>
        </is>
      </c>
      <c r="D28" s="6" t="inlineStr">
        <is>
          <t>Self-storage / month-to-month</t>
        </is>
      </c>
      <c r="E28" s="9" t="n">
        <v>80463</v>
      </c>
      <c r="F28" s="6">
        <f>E28*12</f>
        <v/>
      </c>
      <c r="G28" s="6">
        <f>F28/84687</f>
        <v/>
      </c>
      <c r="H28" s="5" t="inlineStr">
        <is>
          <t>—</t>
        </is>
      </c>
      <c r="I28" s="5" t="inlineStr">
        <is>
          <t>—</t>
        </is>
      </c>
      <c r="J28" s="5" t="inlineStr">
        <is>
          <t>—</t>
        </is>
      </c>
      <c r="K28" s="9" t="n"/>
      <c r="L28" s="6" t="n"/>
      <c r="M28" s="6" t="inlineStr">
        <is>
          <t>Actual standard/rental totals as of 6/30/2022 rent roll (11 pages). Economic occupancy 76.3%. PGI at 100% occ. $1,209,882/yr ($14.29 PSF); standard (asking) rate total $105,477/mo.</t>
        </is>
      </c>
    </row>
    <row r="29">
      <c r="A29" s="10" t="inlineStr">
        <is>
          <t>Stor-n-Lock Self Storage #20, 11210 E 104th Ave (R0169115) — NNN self-storage, actual 2024 P&amp;L</t>
        </is>
      </c>
      <c r="B29" s="20" t="n"/>
      <c r="C29" s="20" t="n"/>
      <c r="D29" s="20" t="n"/>
      <c r="E29" s="20" t="n"/>
      <c r="F29" s="20" t="n"/>
      <c r="G29" s="20" t="n"/>
      <c r="H29" s="20" t="n"/>
      <c r="I29" s="20" t="n"/>
      <c r="J29" s="20" t="n"/>
      <c r="K29" s="20" t="n"/>
      <c r="L29" s="20" t="n"/>
      <c r="M29" s="21" t="n"/>
    </row>
    <row r="30">
      <c r="A30" s="6" t="inlineStr">
        <is>
          <t>Stor-n-Lock Partners #20 (R0169115)</t>
        </is>
      </c>
      <c r="B30" s="6" t="inlineStr">
        <is>
          <t>ALL UNITS</t>
        </is>
      </c>
      <c r="C30" s="6" t="inlineStr">
        <is>
          <t>Self-storage — multiple individual renters</t>
        </is>
      </c>
      <c r="D30" s="6" t="inlineStr">
        <is>
          <t>Self-storage NNN / month-to-month</t>
        </is>
      </c>
      <c r="E30" s="9">
        <f>F30/12</f>
        <v/>
      </c>
      <c r="F30" s="6" t="n">
        <v>1155957.87</v>
      </c>
      <c r="G30" s="6">
        <f>F30/75430</f>
        <v/>
      </c>
      <c r="H30" s="5" t="inlineStr">
        <is>
          <t>—</t>
        </is>
      </c>
      <c r="I30" s="5" t="inlineStr">
        <is>
          <t>—</t>
        </is>
      </c>
      <c r="J30" s="5" t="inlineStr">
        <is>
          <t>—</t>
        </is>
      </c>
      <c r="K30" s="9" t="n"/>
      <c r="L30" s="6" t="n"/>
      <c r="M30" s="6" t="inlineStr">
        <is>
          <t>Actual 2024 rental income (Storage/Parking Rent) per operating P&amp;L. 2025 appeal proforma: GPR $1,206,880/yr ($16.00 PSF NNN); 12% vacancy; EGI $1,062,054; indicated value $6,540,000.</t>
        </is>
      </c>
    </row>
    <row r="31">
      <c r="A31" s="10" t="inlineStr">
        <is>
          <t>All American Mini Storage, 1777 W 68th Ave, Denver (R0099616 economic unit, 6 schedules) — self-storage + resident manager</t>
        </is>
      </c>
      <c r="B31" s="20" t="n"/>
      <c r="C31" s="20" t="n"/>
      <c r="D31" s="20" t="n"/>
      <c r="E31" s="20" t="n"/>
      <c r="F31" s="20" t="n"/>
      <c r="G31" s="20" t="n"/>
      <c r="H31" s="20" t="n"/>
      <c r="I31" s="20" t="n"/>
      <c r="J31" s="20" t="n"/>
      <c r="K31" s="20" t="n"/>
      <c r="L31" s="20" t="n"/>
      <c r="M31" s="21" t="n"/>
    </row>
    <row r="32">
      <c r="A32" s="6" t="inlineStr">
        <is>
          <t>All American Mini Storage (R0099616)</t>
        </is>
      </c>
      <c r="B32" s="6" t="inlineStr">
        <is>
          <t>ALL UNITS + Office</t>
        </is>
      </c>
      <c r="C32" s="6" t="inlineStr">
        <is>
          <t>Self-storage — multiple individual renters</t>
        </is>
      </c>
      <c r="D32" s="6" t="inlineStr">
        <is>
          <t>Self-storage</t>
        </is>
      </c>
      <c r="E32" s="9" t="n"/>
      <c r="F32" s="6" t="n">
        <v>226004</v>
      </c>
      <c r="G32" s="6" t="n"/>
      <c r="H32" s="5" t="inlineStr">
        <is>
          <t>—</t>
        </is>
      </c>
      <c r="I32" s="5" t="inlineStr">
        <is>
          <t>—</t>
        </is>
      </c>
      <c r="J32" s="5" t="inlineStr">
        <is>
          <t>—</t>
        </is>
      </c>
      <c r="K32" s="9" t="n"/>
      <c r="L32" s="6" t="n"/>
      <c r="M32" s="6" t="inlineStr">
        <is>
          <t>2024 Rental Income $226,004; plus Credit Card Deposits $600,338 and Misc. Income $8,016 (Total Income per Income Analysis exhibit $834,358 — see Income-Expense tabs). Building 73,500 SF (59,000 SF built 1985 + 14,500 SF built 2001) on 220,762 SF land incl. 2 drainage parcels.</t>
        </is>
      </c>
    </row>
    <row r="33">
      <c r="A33" s="6" t="inlineStr">
        <is>
          <t>All American Mini Storage (R0099616)</t>
        </is>
      </c>
      <c r="B33" s="6" t="inlineStr">
        <is>
          <t>Office/Residence Bldg</t>
        </is>
      </c>
      <c r="C33" s="6" t="inlineStr">
        <is>
          <t>On-site manager residence + leasing office (non-rented)</t>
        </is>
      </c>
      <c r="D33" s="6" t="inlineStr">
        <is>
          <t>Owner-occupied / mixed use</t>
        </is>
      </c>
      <c r="E33" s="9" t="n"/>
      <c r="F33" s="6" t="n"/>
      <c r="G33" s="6" t="n"/>
      <c r="H33" s="5" t="inlineStr">
        <is>
          <t>—</t>
        </is>
      </c>
      <c r="I33" s="5" t="inlineStr">
        <is>
          <t>—</t>
        </is>
      </c>
      <c r="J33" s="5" t="inlineStr">
        <is>
          <t>—</t>
        </is>
      </c>
      <c r="K33" s="9" t="n"/>
      <c r="L33" s="6" t="n"/>
      <c r="M33" s="6" t="inlineStr">
        <is>
          <t>County has valued 2 of the 6 schedules as vacant/detention-pond land; taxpayer requests $1,000 minimal value each. Requested value allocated $200,000 residential / $4,515,008 commercial for R0099616.</t>
        </is>
      </c>
    </row>
    <row r="34">
      <c r="A34" s="10" t="inlineStr">
        <is>
          <t>IN Self Storage - Fitzsimons, 1520 N Fitzsimons Pkwy, Aurora (R0085523) — self-storage + manager apartment</t>
        </is>
      </c>
      <c r="B34" s="20" t="n"/>
      <c r="C34" s="20" t="n"/>
      <c r="D34" s="20" t="n"/>
      <c r="E34" s="20" t="n"/>
      <c r="F34" s="20" t="n"/>
      <c r="G34" s="20" t="n"/>
      <c r="H34" s="20" t="n"/>
      <c r="I34" s="20" t="n"/>
      <c r="J34" s="20" t="n"/>
      <c r="K34" s="20" t="n"/>
      <c r="L34" s="20" t="n"/>
      <c r="M34" s="21" t="n"/>
    </row>
    <row r="35">
      <c r="A35" s="6" t="inlineStr">
        <is>
          <t>IN Self Storage - Fitzsimons (R0085523)</t>
        </is>
      </c>
      <c r="B35" s="6" t="inlineStr">
        <is>
          <t>ALL STORAGE UNITS (420)</t>
        </is>
      </c>
      <c r="C35" s="6" t="inlineStr">
        <is>
          <t>Self-storage — multiple individual renters</t>
        </is>
      </c>
      <c r="D35" s="6" t="inlineStr">
        <is>
          <t>Self-storage / month-to-month, non-climate</t>
        </is>
      </c>
      <c r="E35" s="9">
        <f>F35/12</f>
        <v/>
      </c>
      <c r="F35" s="6" t="n">
        <v>532214.86</v>
      </c>
      <c r="G35" s="6">
        <f>F35/38423</f>
        <v/>
      </c>
      <c r="H35" s="5" t="inlineStr">
        <is>
          <t>—</t>
        </is>
      </c>
      <c r="I35" s="5" t="inlineStr">
        <is>
          <t>—</t>
        </is>
      </c>
      <c r="J35" s="5" t="inlineStr">
        <is>
          <t>—</t>
        </is>
      </c>
      <c r="K35" s="9" t="n"/>
      <c r="L35" s="6" t="n"/>
      <c r="M35" s="6" t="inlineStr">
        <is>
          <t>Actual 2024 rental income per operating P&amp;L (420 units, 9 buildings, built 1973). Occupied 82.7% of units as of 12/31/2024 vs. 85.2% as of 12/31/2023 (Management Summary).</t>
        </is>
      </c>
    </row>
    <row r="36">
      <c r="A36" s="6" t="inlineStr">
        <is>
          <t>IN Self Storage - Fitzsimons (R0085523)</t>
        </is>
      </c>
      <c r="B36" s="6" t="inlineStr">
        <is>
          <t>Manager Apartment</t>
        </is>
      </c>
      <c r="C36" s="6" t="inlineStr">
        <is>
          <t>On-site manager residence (non-rented)</t>
        </is>
      </c>
      <c r="D36" s="6" t="inlineStr">
        <is>
          <t>Owner-occupied / residential</t>
        </is>
      </c>
      <c r="E36" s="9" t="n"/>
      <c r="F36" s="6" t="n"/>
      <c r="G36" s="6" t="n"/>
      <c r="H36" s="5" t="inlineStr">
        <is>
          <t>—</t>
        </is>
      </c>
      <c r="I36" s="5" t="inlineStr">
        <is>
          <t>—</t>
        </is>
      </c>
      <c r="J36" s="5" t="inlineStr">
        <is>
          <t>—</t>
        </is>
      </c>
      <c r="K36" s="9" t="n"/>
      <c r="L36" s="6" t="n"/>
      <c r="M36" s="6" t="inlineStr">
        <is>
          <t>1,100 SF, 2BR/1BA. BAA Order (Docket 2023BAA2761/2024BAA2539) allocated $200,000 residential value within the 2023 ordered actual value of $5,200,000; 2026 appeal requests $213,000 residential allocation.</t>
        </is>
      </c>
    </row>
    <row r="37">
      <c r="A37" s="10" t="inlineStr">
        <is>
          <t>Warehouse and Storage Building(s), N. Pecos Ave, Denver (R0071007) — multi-tenant storage yard/bays, ~90 units across Buildings A-G</t>
        </is>
      </c>
      <c r="B37" s="20" t="n"/>
      <c r="C37" s="20" t="n"/>
      <c r="D37" s="20" t="n"/>
      <c r="E37" s="20" t="n"/>
      <c r="F37" s="20" t="n"/>
      <c r="G37" s="20" t="n"/>
      <c r="H37" s="20" t="n"/>
      <c r="I37" s="20" t="n"/>
      <c r="J37" s="20" t="n"/>
      <c r="K37" s="20" t="n"/>
      <c r="L37" s="20" t="n"/>
      <c r="M37" s="21" t="n"/>
    </row>
    <row r="38">
      <c r="A38" s="6" t="inlineStr">
        <is>
          <t>T &amp; G Pecos (R0071007)</t>
        </is>
      </c>
      <c r="B38" s="6" t="inlineStr">
        <is>
          <t>ALL UNITS (~90, Bldgs A-G)</t>
        </is>
      </c>
      <c r="C38" s="6" t="inlineStr">
        <is>
          <t>Mixed individuals &amp; small trade businesses (roofers, plumbers, auto repair, etc.)</t>
        </is>
      </c>
      <c r="D38" s="6" t="inlineStr">
        <is>
          <t>Storage bay / month-to-month</t>
        </is>
      </c>
      <c r="E38" s="9" t="n"/>
      <c r="F38" s="6" t="n">
        <v>1017616</v>
      </c>
      <c r="G38" s="6" t="n"/>
      <c r="H38" s="5" t="inlineStr">
        <is>
          <t>—</t>
        </is>
      </c>
      <c r="I38" s="5" t="inlineStr">
        <is>
          <t>—</t>
        </is>
      </c>
      <c r="J38" s="5" t="inlineStr">
        <is>
          <t>—</t>
        </is>
      </c>
      <c r="K38" s="9" t="n"/>
      <c r="L38" s="6" t="n"/>
      <c r="M38" s="6" t="inlineStr">
        <is>
          <t>Actual 2024 gross rents per IRS Form 8825 (= FY2024 rent roll total $502,150 for Jan-Jun annualized run-rate). FY2023 rent roll (full yr) totaled $935,480.25 (Form 8825 2023 gross rents $935,082). Full multi-page rent roll (individual unit rents, ~90 tenants) on file; not transcribed line-by-line.</t>
        </is>
      </c>
    </row>
    <row r="39">
      <c r="A39" s="10" t="inlineStr">
        <is>
          <t>8700 Devonshire Storage, 8700 Devonshire Blvd, Denver (R0055143) — CubeSmart-managed self-storage</t>
        </is>
      </c>
      <c r="B39" s="20" t="n"/>
      <c r="C39" s="20" t="n"/>
      <c r="D39" s="20" t="n"/>
      <c r="E39" s="20" t="n"/>
      <c r="F39" s="20" t="n"/>
      <c r="G39" s="20" t="n"/>
      <c r="H39" s="20" t="n"/>
      <c r="I39" s="20" t="n"/>
      <c r="J39" s="20" t="n"/>
      <c r="K39" s="20" t="n"/>
      <c r="L39" s="20" t="n"/>
      <c r="M39" s="21" t="n"/>
    </row>
    <row r="40">
      <c r="A40" s="6" t="inlineStr">
        <is>
          <t>8700 Devonshire Storage (R0055143)</t>
        </is>
      </c>
      <c r="B40" s="6" t="inlineStr">
        <is>
          <t>ALL UNITS (~278-290)</t>
        </is>
      </c>
      <c r="C40" s="6" t="inlineStr">
        <is>
          <t>Self-storage — multiple individual renters</t>
        </is>
      </c>
      <c r="D40" s="6" t="inlineStr">
        <is>
          <t>Self-storage / month-to-month</t>
        </is>
      </c>
      <c r="E40" s="9">
        <f>F40/12</f>
        <v/>
      </c>
      <c r="F40" s="6" t="n">
        <v>372108</v>
      </c>
      <c r="G40" s="6" t="n"/>
      <c r="H40" s="5" t="inlineStr">
        <is>
          <t>—</t>
        </is>
      </c>
      <c r="I40" s="5" t="inlineStr">
        <is>
          <t>—</t>
        </is>
      </c>
      <c r="J40" s="5" t="inlineStr">
        <is>
          <t>—</t>
        </is>
      </c>
      <c r="K40" s="9" t="n"/>
      <c r="L40" s="6" t="n"/>
      <c r="M40" s="6" t="inlineStr">
        <is>
          <t>Actual 2024 revenue per 26-month rolling income statement (CubeSmart). Unit occupancy declined from 75.17% (2023 year-end) to 73.87% (2024 year-end) to 68.29% (Feb-2025) — cited basis for the taxpayer's $2,000,000 protest value. SQFT occupancy followed a similar trend (91.62%→85.46%→73.48%).</t>
        </is>
      </c>
    </row>
    <row r="41">
      <c r="A41" s="10" t="inlineStr">
        <is>
          <t>Public Storage #08214, Thornton / 104th &amp; Quivas St (R0043569) — self-storage, actual FY2024 monthly P&amp;L</t>
        </is>
      </c>
      <c r="B41" s="20" t="n"/>
      <c r="C41" s="20" t="n"/>
      <c r="D41" s="20" t="n"/>
      <c r="E41" s="20" t="n"/>
      <c r="F41" s="20" t="n"/>
      <c r="G41" s="20" t="n"/>
      <c r="H41" s="20" t="n"/>
      <c r="I41" s="20" t="n"/>
      <c r="J41" s="20" t="n"/>
      <c r="K41" s="20" t="n"/>
      <c r="L41" s="20" t="n"/>
      <c r="M41" s="21" t="n"/>
    </row>
    <row r="42">
      <c r="A42" s="6" t="inlineStr">
        <is>
          <t>Public Storage #08214 (R0043569)</t>
        </is>
      </c>
      <c r="B42" s="6" t="inlineStr">
        <is>
          <t>ALL UNITS</t>
        </is>
      </c>
      <c r="C42" s="6" t="inlineStr">
        <is>
          <t>Self-storage — multiple individual renters</t>
        </is>
      </c>
      <c r="D42" s="6" t="inlineStr">
        <is>
          <t>Self-storage / month-to-month</t>
        </is>
      </c>
      <c r="E42" s="9">
        <f>F42/12</f>
        <v/>
      </c>
      <c r="F42" s="6" t="n">
        <v>685146</v>
      </c>
      <c r="G42" s="6" t="n"/>
      <c r="H42" s="5" t="inlineStr">
        <is>
          <t>—</t>
        </is>
      </c>
      <c r="I42" s="5" t="inlineStr">
        <is>
          <t>—</t>
        </is>
      </c>
      <c r="J42" s="5" t="inlineStr">
        <is>
          <t>—</t>
        </is>
      </c>
      <c r="K42" s="9" t="n"/>
      <c r="L42" s="6" t="n"/>
      <c r="M42" s="6" t="inlineStr">
        <is>
          <t>Actual FY2024 self-storage rental revenue (excl. $30,919 late/lien/admin fees; total revenue incl. fees $716,065). Monthly occupancy ranged 87.9%-95.1% during 2024 (avg ~91.9%). No commercial rental revenue.</t>
        </is>
      </c>
    </row>
  </sheetData>
  <mergeCells count="12">
    <mergeCell ref="A1:M1"/>
    <mergeCell ref="A5:M5"/>
    <mergeCell ref="A37:M37"/>
    <mergeCell ref="A27:M27"/>
    <mergeCell ref="A31:M31"/>
    <mergeCell ref="A34:M34"/>
    <mergeCell ref="A18:M18"/>
    <mergeCell ref="A21:M21"/>
    <mergeCell ref="A39:M39"/>
    <mergeCell ref="A29:M29"/>
    <mergeCell ref="A41:M4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1"/>
  <sheetViews>
    <sheetView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3" customWidth="1" min="4" max="4"/>
    <col width="14" customWidth="1" min="5" max="5"/>
    <col width="14" customWidth="1" min="6" max="6"/>
    <col width="10" customWidth="1" min="7" max="7"/>
    <col width="15" customWidth="1" min="8" max="8"/>
  </cols>
  <sheetData>
    <row r="1" ht="26" customHeight="1">
      <c r="A1" s="1" t="inlineStr">
        <is>
          <t>ASSESSMENTS &amp; VALUATION</t>
        </is>
      </c>
    </row>
    <row r="2" ht="14" customHeight="1">
      <c r="A2" s="2" t="inlineStr">
        <is>
          <t>Assessed/county values and income-approach proformas across the tax-appeal &amp; appraisal documents</t>
        </is>
      </c>
    </row>
    <row r="4">
      <c r="A4" s="17" t="inlineStr">
        <is>
          <t>A. Assessed / County Values</t>
        </is>
      </c>
      <c r="B4" s="20" t="n"/>
      <c r="C4" s="20" t="n"/>
      <c r="D4" s="20" t="n"/>
      <c r="E4" s="20" t="n"/>
      <c r="F4" s="20" t="n"/>
      <c r="G4" s="20" t="n"/>
      <c r="H4" s="21" t="n"/>
    </row>
    <row r="5" ht="30" customHeight="1">
      <c r="A5" s="4" t="inlineStr">
        <is>
          <t>Property</t>
        </is>
      </c>
      <c r="B5" s="4" t="inlineStr">
        <is>
          <t>Assess/Tax Yr</t>
        </is>
      </c>
      <c r="C5" s="4" t="inlineStr">
        <is>
          <t>Assessor / County Value</t>
        </is>
      </c>
      <c r="D5" s="4" t="inlineStr">
        <is>
          <t>Value PSF</t>
        </is>
      </c>
      <c r="E5" s="4" t="inlineStr">
        <is>
          <t>Taxpayer / Petitioner Opinion</t>
        </is>
      </c>
      <c r="F5" s="4" t="inlineStr">
        <is>
          <t>Opinion PSF</t>
        </is>
      </c>
      <c r="G5" s="4" t="inlineStr">
        <is>
          <t>Prior-Yr Value</t>
        </is>
      </c>
      <c r="H5" s="4" t="inlineStr">
        <is>
          <t>Source</t>
        </is>
      </c>
    </row>
    <row r="6">
      <c r="A6" s="6" t="inlineStr">
        <is>
          <t>7205 Gilpin Way (R0178308)</t>
        </is>
      </c>
      <c r="B6" s="5" t="inlineStr">
        <is>
          <t>2025</t>
        </is>
      </c>
      <c r="C6" s="9" t="n">
        <v>5150325</v>
      </c>
      <c r="D6" s="16" t="n">
        <v>150.47</v>
      </c>
      <c r="E6" s="9" t="n">
        <v>4832500</v>
      </c>
      <c r="F6" s="16" t="n">
        <v>141.19</v>
      </c>
      <c r="G6" s="9" t="n">
        <v>4999770</v>
      </c>
      <c r="H6" s="6" t="inlineStr">
        <is>
          <t>R0178308</t>
        </is>
      </c>
    </row>
    <row r="7">
      <c r="A7" s="6" t="inlineStr">
        <is>
          <t>17608 E. 24th Dr (R0169133)</t>
        </is>
      </c>
      <c r="B7" s="5" t="inlineStr">
        <is>
          <t>2025</t>
        </is>
      </c>
      <c r="C7" s="9" t="n">
        <v>3408546</v>
      </c>
      <c r="D7" s="16" t="n"/>
      <c r="E7" s="9" t="n">
        <v>3050000</v>
      </c>
      <c r="F7" s="16" t="n">
        <v>145.86</v>
      </c>
      <c r="G7" s="9" t="n">
        <v>2900000</v>
      </c>
      <c r="H7" s="6" t="inlineStr">
        <is>
          <t>R0169133 (cover)</t>
        </is>
      </c>
    </row>
    <row r="8">
      <c r="A8" s="6" t="inlineStr">
        <is>
          <t>12260 Pennsylvania St (R0024442)</t>
        </is>
      </c>
      <c r="B8" s="5" t="inlineStr">
        <is>
          <t>2025</t>
        </is>
      </c>
      <c r="C8" s="9" t="n">
        <v>3876387</v>
      </c>
      <c r="D8" s="16" t="n">
        <v>163.36</v>
      </c>
      <c r="E8" s="9" t="n">
        <v>2837000</v>
      </c>
      <c r="F8" s="16" t="n">
        <v>119.56</v>
      </c>
      <c r="G8" s="9" t="n">
        <v>2000000</v>
      </c>
      <c r="H8" s="6" t="inlineStr">
        <is>
          <t>R0024442</t>
        </is>
      </c>
    </row>
    <row r="9">
      <c r="A9" s="6" t="inlineStr">
        <is>
          <t>6770 E. 56th Ave (R0092302)</t>
        </is>
      </c>
      <c r="B9" s="5" t="inlineStr">
        <is>
          <t>2026</t>
        </is>
      </c>
      <c r="C9" s="9" t="n">
        <v>1815434</v>
      </c>
      <c r="D9" s="16" t="n">
        <v>188.09</v>
      </c>
      <c r="E9" s="9" t="n">
        <v>1493032</v>
      </c>
      <c r="F9" s="16" t="n">
        <v>154.69</v>
      </c>
      <c r="G9" s="9" t="n"/>
      <c r="H9" s="6" t="inlineStr">
        <is>
          <t>R0092302</t>
        </is>
      </c>
    </row>
    <row r="10">
      <c r="A10" s="6" t="inlineStr">
        <is>
          <t>5970 Marion Drive</t>
        </is>
      </c>
      <c r="B10" s="5" t="inlineStr">
        <is>
          <t>2025 (assigned)</t>
        </is>
      </c>
      <c r="C10" s="9" t="n">
        <v>2527915</v>
      </c>
      <c r="D10" s="16" t="n">
        <v>175.55</v>
      </c>
      <c r="E10" s="9" t="n">
        <v>2460577</v>
      </c>
      <c r="F10" s="16" t="n"/>
      <c r="G10" s="9" t="n"/>
      <c r="H10" s="6" t="inlineStr">
        <is>
          <t>5970 Marion xlsx (income block)</t>
        </is>
      </c>
    </row>
    <row r="12" ht="28" customHeight="1">
      <c r="A12" s="6" t="inlineStr">
        <is>
          <t>4911 West 58th Ave (Simply Storage) (R0102989)</t>
        </is>
      </c>
      <c r="B12" s="5" t="n">
        <v>2023</v>
      </c>
      <c r="C12" s="9" t="n">
        <v>8150000</v>
      </c>
      <c r="D12" s="16" t="n">
        <v>96.23999999999999</v>
      </c>
      <c r="E12" s="9" t="n">
        <v>5970000</v>
      </c>
      <c r="F12" s="16" t="n">
        <v>70.48999999999999</v>
      </c>
      <c r="G12" s="9" t="n">
        <v>6251900</v>
      </c>
      <c r="H12" s="6" t="inlineStr">
        <is>
          <t>R0102989</t>
        </is>
      </c>
    </row>
    <row r="13">
      <c r="A13" s="6" t="inlineStr">
        <is>
          <t>11210 E 104th Ave (Stor-n-Lock #20) (R0169115)</t>
        </is>
      </c>
      <c r="B13" s="5" t="n">
        <v>2025</v>
      </c>
      <c r="C13" s="9" t="n">
        <v>7942335</v>
      </c>
      <c r="D13" s="16" t="n">
        <v>105.28</v>
      </c>
      <c r="E13" s="9" t="n">
        <v>6540000</v>
      </c>
      <c r="F13" s="16" t="n">
        <v>87</v>
      </c>
      <c r="G13" s="9" t="n"/>
      <c r="H13" s="6" t="inlineStr">
        <is>
          <t>R0169115</t>
        </is>
      </c>
    </row>
    <row r="14">
      <c r="A14" s="6" t="inlineStr">
        <is>
          <t>1777 W 68th Ave (All American Mini Storage) (R0099616, 6-schedule econ. unit)</t>
        </is>
      </c>
      <c r="B14" s="5" t="n">
        <v>2025</v>
      </c>
      <c r="C14" s="9" t="n">
        <v>7659751</v>
      </c>
      <c r="D14" s="16" t="n">
        <v>104.22</v>
      </c>
      <c r="E14" s="9" t="n">
        <v>6250000</v>
      </c>
      <c r="F14" s="16" t="n">
        <v>85.03</v>
      </c>
      <c r="G14" s="9" t="n"/>
      <c r="H14" s="6" t="inlineStr">
        <is>
          <t>R0099616 (+5 related schedules)</t>
        </is>
      </c>
    </row>
    <row r="15" ht="30" customHeight="1">
      <c r="A15" s="6" t="inlineStr">
        <is>
          <t>1520 N Fitzsimons Pkwy (IN Self Storage-Fitzsimons) (R0085523)</t>
        </is>
      </c>
      <c r="B15" s="5" t="inlineStr">
        <is>
          <t>2023 (BAA)</t>
        </is>
      </c>
      <c r="C15" s="9" t="n">
        <v>5200000</v>
      </c>
      <c r="D15" s="16" t="n">
        <v>135.36</v>
      </c>
      <c r="E15" s="9" t="n">
        <v>3395400</v>
      </c>
      <c r="F15" s="16" t="n">
        <v>88.38</v>
      </c>
      <c r="G15" s="9" t="n">
        <v>6998300</v>
      </c>
      <c r="H15" s="6" t="inlineStr">
        <is>
          <t>R0085523</t>
        </is>
      </c>
    </row>
    <row r="16">
      <c r="A16" s="6" t="inlineStr">
        <is>
          <t>8700 Devonshire Blvd (8700 Devonshire Storage) (R0055143)</t>
        </is>
      </c>
      <c r="B16" s="5" t="n">
        <v>2025</v>
      </c>
      <c r="C16" s="9" t="n"/>
      <c r="D16" s="16" t="n"/>
      <c r="E16" s="9" t="n">
        <v>2000000</v>
      </c>
      <c r="F16" s="16" t="n"/>
      <c r="G16" s="9" t="n"/>
      <c r="H16" s="6" t="inlineStr">
        <is>
          <t>R0055143</t>
        </is>
      </c>
    </row>
    <row r="17">
      <c r="A17" s="18" t="inlineStr">
        <is>
          <t>Historical detail — R0178308: 2025 Land $1,125,150 / Imp $4,025,175 / Total $5,150,325; 2024 Total $4,999,770.  R0169133: 2025 Land $992,519 / Imp $2,122,296 / schedule Total $3,114,815 (cover shows $3,408,546); 2024 Total $2,900,000.  R0024442: 2024 County $2,000,000 → 2025 $3,876,387 (+93.8%).  R0102989: 2023 Assessor $8,150,000 ($96.24/SF) vs. 2022 $6,251,900 ($73.82/SF), +30.36%. R0169115: 2025 Assessor $7,942,335. R0099616 economic unit (6 schedules): current 2025 total $7,659,751 = R0099616 $5,637,471 + R0099615 $375,616 + R0099617 $518,976 + R0180917 $638,400 + R0099618 $300,384 (drainage) + R0180918 $188,904 (drainage); requested $6,250,000 allocated $200,000 residential / $4,515,008 commercial to R0099616, with the 2 drainage parcels reduced to $1,000 each. R0085523: 2023 CBOE value $6,998,300 reduced to $5,200,000 by BAA Order (Docket 2023BAA2761), $200,000 of which allocated residential (Order 2024BAA2539); 2026 appeal requests $3,395,400 ($213,000 residential / $3,182,400 commercial).  R0055143: no county assessor notice value is shown in the source Real Property Protest Form; only the taxpayer's own $2,000,000 estimate of value as of 6/30 is given, based on declining unit occupancy (87% → 77% by 6/30/2024 → 68% by Feb-2025, per the petitioner's stated basis). R0071007 and R0043569 have no assessor value or taxpayer opinion in their source files (income/expense disclosures and an internal P&amp;L only, not appeal packages) and are not listed in this section.</t>
        </is>
      </c>
      <c r="B17" s="20" t="n"/>
      <c r="C17" s="20" t="n"/>
      <c r="D17" s="20" t="n"/>
      <c r="E17" s="20" t="n"/>
      <c r="F17" s="20" t="n"/>
      <c r="G17" s="20" t="n"/>
      <c r="H17" s="21" t="n"/>
    </row>
    <row r="19">
      <c r="A19" s="17" t="inlineStr">
        <is>
          <t>B. Income-Approach Proformas</t>
        </is>
      </c>
      <c r="B19" s="20" t="n"/>
      <c r="C19" s="20" t="n"/>
      <c r="D19" s="20" t="n"/>
      <c r="E19" s="20" t="n"/>
      <c r="F19" s="20" t="n"/>
      <c r="G19" s="20" t="n"/>
      <c r="H19" s="21" t="n"/>
    </row>
    <row r="20">
      <c r="A20" s="4" t="inlineStr">
        <is>
          <t>Property</t>
        </is>
      </c>
      <c r="B20" s="4" t="inlineStr">
        <is>
          <t>PGI</t>
        </is>
      </c>
      <c r="C20" s="4" t="inlineStr">
        <is>
          <t>Vacancy</t>
        </is>
      </c>
      <c r="D20" s="4" t="inlineStr">
        <is>
          <t>EGI</t>
        </is>
      </c>
      <c r="E20" s="4" t="inlineStr">
        <is>
          <t>Operating Exp</t>
        </is>
      </c>
      <c r="F20" s="4" t="inlineStr">
        <is>
          <t>NOI</t>
        </is>
      </c>
      <c r="G20" s="4" t="inlineStr">
        <is>
          <t>Cap Rate</t>
        </is>
      </c>
      <c r="H20" s="4" t="inlineStr">
        <is>
          <t>Indicated Value</t>
        </is>
      </c>
    </row>
    <row r="21">
      <c r="A21" s="6" t="inlineStr">
        <is>
          <t>7205 Gilpin Way</t>
        </is>
      </c>
      <c r="B21" s="9" t="n">
        <v>359394</v>
      </c>
      <c r="C21" s="9" t="n">
        <v>-17970</v>
      </c>
      <c r="D21" s="9" t="n">
        <v>341424</v>
      </c>
      <c r="E21" s="9" t="n">
        <v>-27314</v>
      </c>
      <c r="F21" s="14" t="n">
        <v>314110</v>
      </c>
      <c r="G21" s="19" t="n">
        <v>0.065</v>
      </c>
      <c r="H21" s="14" t="n">
        <v>4832500</v>
      </c>
    </row>
    <row r="22" ht="28" customHeight="1">
      <c r="A22" s="6" t="inlineStr">
        <is>
          <t>17608 E. 24th Dr</t>
        </is>
      </c>
      <c r="B22" s="9" t="n">
        <v>209100</v>
      </c>
      <c r="C22" s="9" t="n">
        <v>-10455</v>
      </c>
      <c r="D22" s="9" t="n">
        <v>198645</v>
      </c>
      <c r="E22" s="9" t="n">
        <v>-15892</v>
      </c>
      <c r="F22" s="14" t="n">
        <v>182753</v>
      </c>
      <c r="G22" s="19" t="n">
        <v>0.06</v>
      </c>
      <c r="H22" s="14" t="n">
        <v>3050000</v>
      </c>
    </row>
    <row r="23">
      <c r="A23" s="6" t="inlineStr">
        <is>
          <t>12260 Pennsylvania St</t>
        </is>
      </c>
      <c r="B23" s="9" t="n">
        <v>237290</v>
      </c>
      <c r="C23" s="9" t="n">
        <v>-16610</v>
      </c>
      <c r="D23" s="9" t="n">
        <v>220680</v>
      </c>
      <c r="E23" s="9" t="n">
        <v>-22068</v>
      </c>
      <c r="F23" s="14" t="n">
        <v>198612</v>
      </c>
      <c r="G23" s="19" t="n">
        <v>0.07000000000000001</v>
      </c>
      <c r="H23" s="14" t="n">
        <v>2837000</v>
      </c>
    </row>
    <row r="24">
      <c r="A24" s="6" t="inlineStr">
        <is>
          <t>6770 E. 56th Ave</t>
        </is>
      </c>
      <c r="B24" s="9" t="n">
        <v>115824</v>
      </c>
      <c r="C24" s="9" t="n">
        <v>-5791</v>
      </c>
      <c r="D24" s="9" t="n">
        <v>110033</v>
      </c>
      <c r="E24" s="9" t="n">
        <v>-5502</v>
      </c>
      <c r="F24" s="14" t="n">
        <v>104531</v>
      </c>
      <c r="G24" s="19" t="n">
        <v>0.07000000000000001</v>
      </c>
      <c r="H24" s="14" t="n">
        <v>1493302</v>
      </c>
    </row>
    <row r="25">
      <c r="A25" s="6" t="inlineStr">
        <is>
          <t>5970 Marion Drive (mkt)</t>
        </is>
      </c>
      <c r="B25" s="9" t="n">
        <v>172800</v>
      </c>
      <c r="C25" s="9" t="n">
        <v>-8640</v>
      </c>
      <c r="D25" s="9" t="n">
        <v>164160</v>
      </c>
      <c r="E25" s="9" t="n">
        <v>-4223</v>
      </c>
      <c r="F25" s="14" t="n">
        <v>159937</v>
      </c>
      <c r="G25" s="19" t="n">
        <v>0.065</v>
      </c>
      <c r="H25" s="14" t="n">
        <v>2460577</v>
      </c>
    </row>
    <row r="27">
      <c r="A27" s="6" t="inlineStr">
        <is>
          <t>Simply Storage (R0102989)</t>
        </is>
      </c>
      <c r="B27" s="9" t="n">
        <v>1209882</v>
      </c>
      <c r="C27" s="9" t="n">
        <v>-286984</v>
      </c>
      <c r="D27" s="9" t="n">
        <v>922898</v>
      </c>
      <c r="E27" s="9" t="n">
        <v>-369159</v>
      </c>
      <c r="F27" s="14" t="n">
        <v>553739</v>
      </c>
      <c r="G27" s="19" t="n">
        <v>0.09279999999999999</v>
      </c>
      <c r="H27" s="14" t="n">
        <v>5970000</v>
      </c>
    </row>
    <row r="28">
      <c r="A28" s="6" t="inlineStr">
        <is>
          <t>Stor-n-Lock #20 (R0169115)</t>
        </is>
      </c>
      <c r="B28" s="9" t="n">
        <v>1206880</v>
      </c>
      <c r="C28" s="9" t="n">
        <v>-144826</v>
      </c>
      <c r="D28" s="9" t="n">
        <v>1062054</v>
      </c>
      <c r="E28" s="9" t="n">
        <v>-637233</v>
      </c>
      <c r="F28" s="14" t="n">
        <v>424822</v>
      </c>
      <c r="G28" s="19" t="n">
        <v>0.065</v>
      </c>
      <c r="H28" s="14" t="n">
        <v>6540000</v>
      </c>
    </row>
    <row r="29">
      <c r="A29" s="6" t="inlineStr">
        <is>
          <t>All American Mini Storage (R0099616, stabilized)</t>
        </is>
      </c>
      <c r="B29" s="9" t="n">
        <v>800000</v>
      </c>
      <c r="C29" s="9" t="n"/>
      <c r="D29" s="9" t="n">
        <v>800000</v>
      </c>
      <c r="E29" s="9" t="n">
        <v>-165000</v>
      </c>
      <c r="F29" s="14" t="n">
        <v>635000</v>
      </c>
      <c r="G29" s="19" t="n">
        <v>0.1023</v>
      </c>
      <c r="H29" s="14" t="n">
        <v>6094050</v>
      </c>
    </row>
    <row r="30">
      <c r="A30" s="6" t="inlineStr">
        <is>
          <t>IN Self Storage-Fitzsimons (R0085523, avg 2023-24 actual)</t>
        </is>
      </c>
      <c r="B30" s="9" t="n"/>
      <c r="C30" s="9" t="n"/>
      <c r="D30" s="9" t="n">
        <v>539835.5</v>
      </c>
      <c r="E30" s="9" t="n">
        <v>-200300</v>
      </c>
      <c r="F30" s="14" t="n">
        <v>339535</v>
      </c>
      <c r="G30" s="19" t="n">
        <v>0.1</v>
      </c>
      <c r="H30" s="14" t="n">
        <v>3395400</v>
      </c>
    </row>
    <row r="31">
      <c r="A31" s="18" t="inlineStr">
        <is>
          <t>Proforma vacancy/EGI figures as reported by each preparer (Ryan, Property Tax Advisors, or owner's analysis). 5970 Marion figures are from the owner's income-approach block in the 2024 P&amp;L workbook (PGI $172,800, 95% occ, NOI $159,938, 6.5% cap → $2,460,577; assigned $2,527,915).  R0102989 (Simply Storage): NOI is capitalized at a loaded overall rate of 9.28% (6.00% base cap rate + 3.28% effective tax rate load) rather than being taxed separately; PGI/EGI reflect actual 2022 economic occupancy (76.28%). R0169115 (Stor-n-Lock #20): NNN proforma, 12% vacancy, 60% non-reimbursable expense ratio. R0099616 (All American Mini Storage): stabilized column from the taxpayer's 4-year income analysis (2021-2024 actual), 10.23% loaded cap rate (7.00% + 3.23% ETR); value shown excludes taxes from the expense line (taxes loaded into the rate) — an alternate calc with taxes as an expense (7.00% flat rate) gives $6,571,429. R0085523 (IN Self Storage-Fitzsimons): NOI is the average of actual 2023 ($384,712) and 2024 ($294,359) adjusted NOI (actual EGI less actual expenses net of property tax, plus a 3% capital-replacement reserve, per Sterling Property Tax Specialists' 2026 appeal); loaded rate 10.00% (7.00% cap + 3.00% ETR).</t>
        </is>
      </c>
      <c r="B31" s="20" t="n"/>
      <c r="C31" s="20" t="n"/>
      <c r="D31" s="20" t="n"/>
      <c r="E31" s="20" t="n"/>
      <c r="F31" s="20" t="n"/>
      <c r="G31" s="20" t="n"/>
      <c r="H31" s="21" t="n"/>
    </row>
  </sheetData>
  <mergeCells count="6">
    <mergeCell ref="A4:H4"/>
    <mergeCell ref="A2:H2"/>
    <mergeCell ref="A19:H19"/>
    <mergeCell ref="A1:H1"/>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
    </sheetView>
  </sheetViews>
  <sheetFormatPr baseColWidth="8" defaultRowHeight="15"/>
  <cols>
    <col width="36" customWidth="1" min="1" max="1"/>
    <col width="16" customWidth="1" min="2" max="2"/>
    <col width="16" customWidth="1" min="3" max="3"/>
    <col width="18" customWidth="1" min="4" max="4"/>
    <col width="50" customWidth="1" min="5" max="5"/>
  </cols>
  <sheetData>
    <row r="1" ht="26" customHeight="1">
      <c r="A1" s="1" t="inlineStr">
        <is>
          <t>INCOME &amp; EXPENSE SUMMARY</t>
        </is>
      </c>
    </row>
    <row r="2" ht="14" customHeight="1">
      <c r="A2" s="2" t="inlineStr">
        <is>
          <t>Operating income, expense &amp; net by property and year (cash/tax basis as noted)</t>
        </is>
      </c>
    </row>
    <row r="4" ht="28" customHeight="1">
      <c r="A4" s="4" t="inlineStr">
        <is>
          <t>Property / Year</t>
        </is>
      </c>
      <c r="B4" s="4" t="inlineStr">
        <is>
          <t>Total Income</t>
        </is>
      </c>
      <c r="C4" s="4" t="inlineStr">
        <is>
          <t>Total Expense</t>
        </is>
      </c>
      <c r="D4" s="4" t="inlineStr">
        <is>
          <t>Net Income / (Loss)</t>
        </is>
      </c>
      <c r="E4" s="4" t="inlineStr">
        <is>
          <t>Basis / Source</t>
        </is>
      </c>
    </row>
    <row r="5">
      <c r="A5" s="11" t="inlineStr">
        <is>
          <t>5970 Marion Drive — FY2024</t>
        </is>
      </c>
      <c r="B5" s="22" t="n">
        <v>249672.2</v>
      </c>
      <c r="C5" s="22" t="n">
        <v>162774.36</v>
      </c>
      <c r="D5" s="23">
        <f>B5-C5</f>
        <v/>
      </c>
      <c r="E5" s="6" t="inlineStr">
        <is>
          <t>5970_Marion 2024 P&amp;L (cash; incl. debt svc &amp; taxes)</t>
        </is>
      </c>
    </row>
    <row r="6">
      <c r="A6" s="11" t="inlineStr">
        <is>
          <t>5970 Marion Drive — FY2023</t>
        </is>
      </c>
      <c r="B6" s="22" t="n">
        <v>247311.55</v>
      </c>
      <c r="C6" s="22" t="n">
        <v>188635.46</v>
      </c>
      <c r="D6" s="23">
        <f>B6-C6</f>
        <v/>
      </c>
      <c r="E6" s="6" t="inlineStr">
        <is>
          <t>2023 Cash Flow (cash; incl. debt svc &amp; taxes)</t>
        </is>
      </c>
    </row>
    <row r="7">
      <c r="A7" s="11" t="inlineStr">
        <is>
          <t>2011 E 58th (TempTee) — 2024 survey</t>
        </is>
      </c>
      <c r="B7" s="22" t="n"/>
      <c r="C7" s="22" t="n">
        <v>138050</v>
      </c>
      <c r="D7" s="24" t="inlineStr">
        <is>
          <t>—</t>
        </is>
      </c>
      <c r="E7" s="6" t="inlineStr">
        <is>
          <t>Owner-occupied; reported OpEx only ('in house' items = $0)</t>
        </is>
      </c>
    </row>
    <row r="8">
      <c r="A8" s="11" t="inlineStr">
        <is>
          <t>125 Bridge St (Broadview) — Form 8825</t>
        </is>
      </c>
      <c r="B8" s="22" t="n">
        <v>307817</v>
      </c>
      <c r="C8" s="22" t="n">
        <v>316181</v>
      </c>
      <c r="D8" s="23">
        <f>B8-C8</f>
        <v/>
      </c>
      <c r="E8" s="6" t="inlineStr">
        <is>
          <t>IRS Form 8825 (tax basis; incl. depreciation, amort. &amp; interest)</t>
        </is>
      </c>
    </row>
    <row r="9">
      <c r="A9" s="11" t="inlineStr">
        <is>
          <t>Simply Storage (R0102989) — Actual 2022</t>
        </is>
      </c>
      <c r="B9" s="22" t="n">
        <v>922898</v>
      </c>
      <c r="C9" s="22" t="n">
        <v>677550</v>
      </c>
      <c r="D9" s="23">
        <f>B9-C9</f>
        <v/>
      </c>
      <c r="E9" s="6" t="inlineStr">
        <is>
          <t>Ryan appeal notes (2022 P&amp;L not included in file); NOI $245,348 stated directly, expense derived as EGI−NOI (incl. property tax)</t>
        </is>
      </c>
    </row>
    <row r="10" ht="28" customHeight="1">
      <c r="A10" s="11" t="inlineStr">
        <is>
          <t>Stor-n-Lock #20 (R0169115) — Actual 2024 P&amp;L</t>
        </is>
      </c>
      <c r="B10" s="22" t="n">
        <v>1206603.08</v>
      </c>
      <c r="C10" s="22" t="n">
        <v>688345.26</v>
      </c>
      <c r="D10" s="23">
        <f>B10-C10</f>
        <v/>
      </c>
      <c r="E10" s="6" t="inlineStr">
        <is>
          <t>Operating P&amp;L (cash basis); excludes interest income, mortgage interest &amp; depreciation (see Detail tab for those)</t>
        </is>
      </c>
    </row>
    <row r="11">
      <c r="A11" s="11" t="inlineStr">
        <is>
          <t>All American Mini Storage (R0099616 econ. unit) — Actual 2024</t>
        </is>
      </c>
      <c r="B11" s="22" t="n">
        <v>834358</v>
      </c>
      <c r="C11" s="22" t="n">
        <v>388298</v>
      </c>
      <c r="D11" s="23">
        <f>B11-C11</f>
        <v/>
      </c>
      <c r="E11" s="6" t="inlineStr">
        <is>
          <t>Income Analysis exhibit; income incl. credit card deposits; expense incl. RE taxes $176,136</t>
        </is>
      </c>
    </row>
    <row r="12">
      <c r="A12" s="11" t="inlineStr">
        <is>
          <t>All American Mini Storage (R0099616 econ. unit) — Actual 2023</t>
        </is>
      </c>
      <c r="B12" s="22" t="n">
        <v>750575</v>
      </c>
      <c r="C12" s="22" t="n">
        <v>317929</v>
      </c>
      <c r="D12" s="23">
        <f>B12-C12</f>
        <v/>
      </c>
      <c r="E12" s="6" t="inlineStr">
        <is>
          <t>Income Analysis exhibit; income incl. credit card deposits; expense incl. RE taxes $171,843</t>
        </is>
      </c>
    </row>
    <row r="13">
      <c r="A13" s="11" t="inlineStr">
        <is>
          <t>IN Self Storage-Fitzsimons (R0085523) — Actual 2024 P&amp;L</t>
        </is>
      </c>
      <c r="B13" s="22" t="n">
        <v>532214.86</v>
      </c>
      <c r="C13" s="22" t="n">
        <v>371033.04</v>
      </c>
      <c r="D13" s="23">
        <f>B13-C13</f>
        <v/>
      </c>
      <c r="E13" s="6" t="inlineStr">
        <is>
          <t>Operating P&amp;L (cash basis); excludes debt-service interest &amp; member distributions (see Detail tab)</t>
        </is>
      </c>
    </row>
    <row r="14">
      <c r="A14" s="11" t="inlineStr">
        <is>
          <t>IN Self Storage-Fitzsimons (R0085523) — Actual 2023 P&amp;L</t>
        </is>
      </c>
      <c r="B14" s="22" t="n">
        <v>547455.6800000001</v>
      </c>
      <c r="C14" s="22" t="n">
        <v>297826.34</v>
      </c>
      <c r="D14" s="23">
        <f>B14-C14</f>
        <v/>
      </c>
      <c r="E14" s="6" t="inlineStr">
        <is>
          <t>Operating P&amp;L (cash basis); excludes debt-service interest (see Detail tab)</t>
        </is>
      </c>
    </row>
    <row r="15">
      <c r="A15" s="11" t="inlineStr">
        <is>
          <t>T &amp; G Pecos (R0071007) — Actual 2023 (Form 8825)</t>
        </is>
      </c>
      <c r="B15" s="22" t="n">
        <v>935082</v>
      </c>
      <c r="C15" s="22" t="n">
        <v>702088</v>
      </c>
      <c r="D15" s="23">
        <f>B15-C15</f>
        <v/>
      </c>
      <c r="E15" s="6" t="inlineStr">
        <is>
          <t>IRS Form 8825; net rental RE income line 21 was $274,019, incl. a $41,025 gain on disposition (Form 4797) not reflected here</t>
        </is>
      </c>
    </row>
    <row r="16">
      <c r="A16" s="11" t="inlineStr">
        <is>
          <t>T &amp; G Pecos (R0071007) — Actual 2024 (Form 8825)</t>
        </is>
      </c>
      <c r="B16" s="22" t="n">
        <v>1017616</v>
      </c>
      <c r="C16" s="22" t="n">
        <v>744009</v>
      </c>
      <c r="D16" s="23">
        <f>B16-C16</f>
        <v/>
      </c>
      <c r="E16" s="6" t="inlineStr">
        <is>
          <t>IRS Form 8825; tax basis, incl. depreciation &amp; interest</t>
        </is>
      </c>
    </row>
    <row r="17">
      <c r="A17" s="11" t="inlineStr">
        <is>
          <t>8700 Devonshire Storage (R0055143) — Actual 2024</t>
        </is>
      </c>
      <c r="B17" s="22" t="n">
        <v>372108</v>
      </c>
      <c r="C17" s="22" t="n">
        <v>174922</v>
      </c>
      <c r="D17" s="23">
        <f>B17-C17</f>
        <v/>
      </c>
      <c r="E17" s="6" t="inlineStr">
        <is>
          <t>CubeSmart 26-month rolling income statement (operating only); post-debt-service Net Profit/(Loss) for 2024 was $(46,199) (not reflected here — see Notes)</t>
        </is>
      </c>
    </row>
    <row r="18">
      <c r="A18" s="11" t="inlineStr">
        <is>
          <t>8700 Devonshire Storage (R0055143) — Actual Aug-Dec 2023 (partial yr)</t>
        </is>
      </c>
      <c r="B18" s="22" t="n">
        <v>132003</v>
      </c>
      <c r="C18" s="22" t="n">
        <v>58888</v>
      </c>
      <c r="D18" s="23">
        <f>B18-C18</f>
        <v/>
      </c>
      <c r="E18" s="6" t="inlineStr">
        <is>
          <t>CubeSmart rolling statement; data begins Aug-2023, so this is a 5-month partial year, not a full calendar year</t>
        </is>
      </c>
    </row>
    <row r="19">
      <c r="A19" s="11" t="inlineStr">
        <is>
          <t>Public Storage #08214 (R0043569) — Actual FY2024</t>
        </is>
      </c>
      <c r="B19" s="22" t="n">
        <v>716065</v>
      </c>
      <c r="C19" s="22" t="n">
        <v>365314</v>
      </c>
      <c r="D19" s="23">
        <f>B19-C19</f>
        <v/>
      </c>
      <c r="E19" s="6" t="inlineStr">
        <is>
          <t>Public Storage internal monthly Actuals P&amp;L; NOI basis (no debt service shown)</t>
        </is>
      </c>
    </row>
    <row r="20">
      <c r="A20" s="32" t="inlineStr">
        <is>
          <t>Net = Total Income − Total Expense as printed. Bases differ: 5970 Marion &amp; Broadview totals include financing/depreciation, so they are cash-flow / tax figures, not NOI. TempTee reported operating expenses only. See 'Assessments &amp; Valuation' tab for stabilized NOI proformas. R0102989/R0169115/R0099616/R0085523 add self-storage tax-appeal properties. R0169115 &amp; R0085523 totals are operating-only (excl. financing/depreciation, cash basis); R0099616 totals include RE taxes as an expense per the taxpayer's own Income Analysis exhibit. R0071007, R0055143 &amp; R0043569 add self-storage/storage-yard properties without a formal tax-appeal income proforma; figures here are actual historical P&amp;L only. R0055143's 2024 Total Expense of $174,922 and Net Operating Income are summed from its monthly rolling statement and are approximate (dense rotated-scan table); its post-debt-service cash result was a loss due to a large one-time April-2024 capitalized asphalt project ($182,832) and lender credits, not a recurring result.</t>
        </is>
      </c>
      <c r="B20" s="20" t="n"/>
      <c r="C20" s="20" t="n"/>
      <c r="D20" s="20" t="n"/>
      <c r="E20" s="21" t="n"/>
    </row>
  </sheetData>
  <mergeCells count="3">
    <mergeCell ref="A2:E2"/>
    <mergeCell ref="A1:E1"/>
    <mergeCell ref="A20:E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7"/>
  <sheetViews>
    <sheetView workbookViewId="0">
      <pane ySplit="4" topLeftCell="A5" activePane="bottomLeft" state="frozen"/>
      <selection pane="bottomLeft" activeCell="A1" sqref="A1"/>
    </sheetView>
  </sheetViews>
  <sheetFormatPr baseColWidth="8" defaultRowHeight="15"/>
  <cols>
    <col width="32" customWidth="1" min="1" max="1"/>
    <col width="12" customWidth="1" min="2" max="2"/>
    <col width="34" customWidth="1" min="3" max="3"/>
    <col width="16" customWidth="1" min="4" max="4"/>
    <col width="46" customWidth="1" min="5" max="5"/>
  </cols>
  <sheetData>
    <row r="1" ht="26" customHeight="1">
      <c r="A1" s="1" t="inlineStr">
        <is>
          <t>INCOME &amp; EXPENSE DETAIL</t>
        </is>
      </c>
    </row>
    <row r="2" ht="14" customHeight="1">
      <c r="A2" s="2" t="inlineStr">
        <is>
          <t>Line-item detail by property/year. Totals use =SUM to cross-check printed figures.</t>
        </is>
      </c>
    </row>
    <row r="4" ht="28" customHeight="1">
      <c r="A4" s="4" t="inlineStr">
        <is>
          <t>Property / Year</t>
        </is>
      </c>
      <c r="B4" s="4" t="inlineStr">
        <is>
          <t>Category</t>
        </is>
      </c>
      <c r="C4" s="4" t="inlineStr">
        <is>
          <t>Line Item / Account</t>
        </is>
      </c>
      <c r="D4" s="4" t="inlineStr">
        <is>
          <t>Amount</t>
        </is>
      </c>
      <c r="E4" s="4" t="inlineStr">
        <is>
          <t>Notes</t>
        </is>
      </c>
    </row>
    <row r="5">
      <c r="A5" s="6" t="inlineStr">
        <is>
          <t>5970 Marion Drive — FY2024</t>
        </is>
      </c>
      <c r="B5" s="25" t="inlineStr">
        <is>
          <t>Income</t>
        </is>
      </c>
      <c r="C5" s="6" t="inlineStr">
        <is>
          <t>4001 - Rent (Units 1 &amp; 2)</t>
        </is>
      </c>
      <c r="D5" s="22" t="n">
        <v>168399.6</v>
      </c>
      <c r="E5" s="6" t="inlineStr">
        <is>
          <t>Whatever It Takes Transmissions + Integrated Turf Solutions</t>
        </is>
      </c>
    </row>
    <row r="6">
      <c r="A6" s="6" t="inlineStr">
        <is>
          <t>5970 Marion Drive — FY2024</t>
        </is>
      </c>
      <c r="B6" s="25" t="inlineStr">
        <is>
          <t>Income</t>
        </is>
      </c>
      <c r="C6" s="6" t="inlineStr">
        <is>
          <t>4200 - CAM Escrows</t>
        </is>
      </c>
      <c r="D6" s="22" t="n">
        <v>81272.60000000001</v>
      </c>
      <c r="E6" s="6" t="inlineStr">
        <is>
          <t>CAM recoveries</t>
        </is>
      </c>
    </row>
    <row r="7">
      <c r="A7" s="11" t="inlineStr">
        <is>
          <t>5970 Marion Drive — FY2024</t>
        </is>
      </c>
      <c r="B7" s="26" t="inlineStr">
        <is>
          <t>Income</t>
        </is>
      </c>
      <c r="C7" s="12" t="inlineStr">
        <is>
          <t>TOTAL INCOME</t>
        </is>
      </c>
      <c r="D7" s="23">
        <f>SUM(D5:D6)</f>
        <v/>
      </c>
      <c r="E7" s="18" t="inlineStr">
        <is>
          <t>Printed total: $249,672.20.</t>
        </is>
      </c>
    </row>
    <row r="8">
      <c r="A8" s="6" t="inlineStr">
        <is>
          <t>5970 Marion Drive — FY2024</t>
        </is>
      </c>
      <c r="B8" s="27" t="inlineStr">
        <is>
          <t>Expense</t>
        </is>
      </c>
      <c r="C8" s="6" t="inlineStr">
        <is>
          <t>Utilities - Water</t>
        </is>
      </c>
      <c r="D8" s="22" t="n">
        <v>2175.55</v>
      </c>
      <c r="E8" s="6" t="inlineStr"/>
    </row>
    <row r="9">
      <c r="A9" s="6" t="inlineStr">
        <is>
          <t>5970 Marion Drive — FY2024</t>
        </is>
      </c>
      <c r="B9" s="27" t="inlineStr">
        <is>
          <t>Expense</t>
        </is>
      </c>
      <c r="C9" s="6" t="inlineStr">
        <is>
          <t>Utilities - Sewer</t>
        </is>
      </c>
      <c r="D9" s="22" t="n">
        <v>394.3</v>
      </c>
      <c r="E9" s="6" t="inlineStr"/>
    </row>
    <row r="10">
      <c r="A10" s="6" t="inlineStr">
        <is>
          <t>5970 Marion Drive — FY2024</t>
        </is>
      </c>
      <c r="B10" s="27" t="inlineStr">
        <is>
          <t>Expense</t>
        </is>
      </c>
      <c r="C10" s="6" t="inlineStr">
        <is>
          <t>Inspection &amp; Compliance</t>
        </is>
      </c>
      <c r="D10" s="22" t="n">
        <v>100</v>
      </c>
      <c r="E10" s="6" t="inlineStr"/>
    </row>
    <row r="11">
      <c r="A11" s="6" t="inlineStr">
        <is>
          <t>5970 Marion Drive — FY2024</t>
        </is>
      </c>
      <c r="B11" s="27" t="inlineStr">
        <is>
          <t>Expense</t>
        </is>
      </c>
      <c r="C11" s="6" t="inlineStr">
        <is>
          <t>Snow Removal</t>
        </is>
      </c>
      <c r="D11" s="22" t="n">
        <v>927.47</v>
      </c>
      <c r="E11" s="6" t="inlineStr"/>
    </row>
    <row r="12">
      <c r="A12" s="6" t="inlineStr">
        <is>
          <t>5970 Marion Drive — FY2024</t>
        </is>
      </c>
      <c r="B12" s="27" t="inlineStr">
        <is>
          <t>Expense</t>
        </is>
      </c>
      <c r="C12" s="6" t="inlineStr">
        <is>
          <t>Common Area Clean</t>
        </is>
      </c>
      <c r="D12" s="22" t="n">
        <v>200</v>
      </c>
      <c r="E12" s="6" t="inlineStr"/>
    </row>
    <row r="13">
      <c r="A13" s="6" t="inlineStr">
        <is>
          <t>5970 Marion Drive — FY2024</t>
        </is>
      </c>
      <c r="B13" s="27" t="inlineStr">
        <is>
          <t>Expense</t>
        </is>
      </c>
      <c r="C13" s="6" t="inlineStr">
        <is>
          <t>Property Management</t>
        </is>
      </c>
      <c r="D13" s="22" t="n">
        <v>6000</v>
      </c>
      <c r="E13" s="6" t="inlineStr">
        <is>
          <t>Deerwoods</t>
        </is>
      </c>
    </row>
    <row r="14">
      <c r="A14" s="6" t="inlineStr">
        <is>
          <t>5970 Marion Drive — FY2024</t>
        </is>
      </c>
      <c r="B14" s="27" t="inlineStr">
        <is>
          <t>Expense</t>
        </is>
      </c>
      <c r="C14" s="6" t="inlineStr">
        <is>
          <t>Eviction Fees</t>
        </is>
      </c>
      <c r="D14" s="22" t="n">
        <v>0</v>
      </c>
      <c r="E14" s="6" t="inlineStr">
        <is>
          <t>net $0</t>
        </is>
      </c>
    </row>
    <row r="15">
      <c r="A15" s="6" t="inlineStr">
        <is>
          <t>5970 Marion Drive — FY2024</t>
        </is>
      </c>
      <c r="B15" s="27" t="inlineStr">
        <is>
          <t>Expense</t>
        </is>
      </c>
      <c r="C15" s="6" t="inlineStr">
        <is>
          <t>Insurance</t>
        </is>
      </c>
      <c r="D15" s="22" t="n">
        <v>10241.26</v>
      </c>
      <c r="E15" s="6" t="inlineStr">
        <is>
          <t>Farmers</t>
        </is>
      </c>
    </row>
    <row r="16">
      <c r="A16" s="6" t="inlineStr">
        <is>
          <t>5970 Marion Drive — FY2024</t>
        </is>
      </c>
      <c r="B16" s="27" t="inlineStr">
        <is>
          <t>Expense</t>
        </is>
      </c>
      <c r="C16" s="6" t="inlineStr">
        <is>
          <t>Taxes - Real Property</t>
        </is>
      </c>
      <c r="D16" s="22" t="n">
        <v>62852.62</v>
      </c>
      <c r="E16" s="6" t="inlineStr">
        <is>
          <t>Adams Co.</t>
        </is>
      </c>
    </row>
    <row r="17">
      <c r="A17" s="6" t="inlineStr">
        <is>
          <t>5970 Marion Drive — FY2024</t>
        </is>
      </c>
      <c r="B17" s="27" t="inlineStr">
        <is>
          <t>Expense</t>
        </is>
      </c>
      <c r="C17" s="6" t="inlineStr">
        <is>
          <t>Taxes Other</t>
        </is>
      </c>
      <c r="D17" s="22" t="n">
        <v>800</v>
      </c>
      <c r="E17" s="6" t="inlineStr"/>
    </row>
    <row r="18">
      <c r="A18" s="6" t="inlineStr">
        <is>
          <t>5970 Marion Drive — FY2024</t>
        </is>
      </c>
      <c r="B18" s="27" t="inlineStr">
        <is>
          <t>Expense</t>
        </is>
      </c>
      <c r="C18" s="6" t="inlineStr">
        <is>
          <t>Mortgage Principal</t>
        </is>
      </c>
      <c r="D18" s="22" t="n">
        <v>27586.31</v>
      </c>
      <c r="E18" s="6" t="inlineStr">
        <is>
          <t>Alpine Bank</t>
        </is>
      </c>
    </row>
    <row r="19">
      <c r="A19" s="6" t="inlineStr">
        <is>
          <t>5970 Marion Drive — FY2024</t>
        </is>
      </c>
      <c r="B19" s="27" t="inlineStr">
        <is>
          <t>Expense</t>
        </is>
      </c>
      <c r="C19" s="6" t="inlineStr">
        <is>
          <t>Mortgage Interest</t>
        </is>
      </c>
      <c r="D19" s="22" t="n">
        <v>50738.17</v>
      </c>
      <c r="E19" s="6" t="inlineStr">
        <is>
          <t>Alpine Bank</t>
        </is>
      </c>
    </row>
    <row r="20">
      <c r="A20" s="6" t="inlineStr">
        <is>
          <t>5970 Marion Drive — FY2024</t>
        </is>
      </c>
      <c r="B20" s="27" t="inlineStr">
        <is>
          <t>Expense</t>
        </is>
      </c>
      <c r="C20" s="6" t="inlineStr">
        <is>
          <t>Legal &amp; Professional</t>
        </is>
      </c>
      <c r="D20" s="22" t="n">
        <v>465</v>
      </c>
      <c r="E20" s="6" t="inlineStr"/>
    </row>
    <row r="21">
      <c r="A21" s="6" t="inlineStr">
        <is>
          <t>5970 Marion Drive — FY2024</t>
        </is>
      </c>
      <c r="B21" s="27" t="inlineStr">
        <is>
          <t>Expense</t>
        </is>
      </c>
      <c r="C21" s="6" t="inlineStr">
        <is>
          <t>Other</t>
        </is>
      </c>
      <c r="D21" s="22" t="n">
        <v>293.68</v>
      </c>
      <c r="E21" s="6" t="inlineStr"/>
    </row>
    <row r="22">
      <c r="A22" s="11" t="inlineStr">
        <is>
          <t>5970 Marion Drive — FY2024</t>
        </is>
      </c>
      <c r="B22" s="28" t="inlineStr">
        <is>
          <t>Expense</t>
        </is>
      </c>
      <c r="C22" s="12" t="inlineStr">
        <is>
          <t>TOTAL EXPENSE</t>
        </is>
      </c>
      <c r="D22" s="23">
        <f>SUM(D8:D21)</f>
        <v/>
      </c>
      <c r="E22" s="18" t="inlineStr">
        <is>
          <t>Printed total: $162,774.36. cash basis; incl. debt service &amp; property taxes</t>
        </is>
      </c>
    </row>
    <row r="23">
      <c r="A23" s="6" t="inlineStr">
        <is>
          <t>5970 Marion Drive — FY2023</t>
        </is>
      </c>
      <c r="B23" s="25" t="inlineStr">
        <is>
          <t>Income</t>
        </is>
      </c>
      <c r="C23" s="6" t="inlineStr">
        <is>
          <t>CAM Escrows</t>
        </is>
      </c>
      <c r="D23" s="22" t="n">
        <v>89143.03999999999</v>
      </c>
      <c r="E23" s="6" t="inlineStr"/>
    </row>
    <row r="24">
      <c r="A24" s="6" t="inlineStr">
        <is>
          <t>5970 Marion Drive — FY2023</t>
        </is>
      </c>
      <c r="B24" s="25" t="inlineStr">
        <is>
          <t>Income</t>
        </is>
      </c>
      <c r="C24" s="6" t="inlineStr">
        <is>
          <t>Prior Year CAM</t>
        </is>
      </c>
      <c r="D24" s="22" t="n">
        <v>523.01</v>
      </c>
      <c r="E24" s="6" t="inlineStr"/>
    </row>
    <row r="25">
      <c r="A25" s="6" t="inlineStr">
        <is>
          <t>5970 Marion Drive — FY2023</t>
        </is>
      </c>
      <c r="B25" s="25" t="inlineStr">
        <is>
          <t>Income</t>
        </is>
      </c>
      <c r="C25" s="6" t="inlineStr">
        <is>
          <t>Tenant Admin Fees</t>
        </is>
      </c>
      <c r="D25" s="22" t="n">
        <v>500</v>
      </c>
      <c r="E25" s="6" t="inlineStr"/>
    </row>
    <row r="26">
      <c r="A26" s="6" t="inlineStr">
        <is>
          <t>5970 Marion Drive — FY2023</t>
        </is>
      </c>
      <c r="B26" s="25" t="inlineStr">
        <is>
          <t>Income</t>
        </is>
      </c>
      <c r="C26" s="6" t="inlineStr">
        <is>
          <t>Rent Income</t>
        </is>
      </c>
      <c r="D26" s="22" t="n">
        <v>157145.5</v>
      </c>
      <c r="E26" s="6" t="inlineStr"/>
    </row>
    <row r="27">
      <c r="A27" s="11" t="inlineStr">
        <is>
          <t>5970 Marion Drive — FY2023</t>
        </is>
      </c>
      <c r="B27" s="26" t="inlineStr">
        <is>
          <t>Income</t>
        </is>
      </c>
      <c r="C27" s="12" t="inlineStr">
        <is>
          <t>TOTAL INCOME</t>
        </is>
      </c>
      <c r="D27" s="23">
        <f>SUM(D23:D26)</f>
        <v/>
      </c>
      <c r="E27" s="18" t="inlineStr">
        <is>
          <t>Printed total: $247,311.55.</t>
        </is>
      </c>
    </row>
    <row r="28">
      <c r="A28" s="6" t="inlineStr">
        <is>
          <t>5970 Marion Drive — FY2023</t>
        </is>
      </c>
      <c r="B28" s="27" t="inlineStr">
        <is>
          <t>Expense</t>
        </is>
      </c>
      <c r="C28" s="6" t="inlineStr">
        <is>
          <t>Electrical Repairs &amp; Lighting</t>
        </is>
      </c>
      <c r="D28" s="22" t="n">
        <v>1550</v>
      </c>
      <c r="E28" s="6" t="inlineStr"/>
    </row>
    <row r="29">
      <c r="A29" s="6" t="inlineStr">
        <is>
          <t>5970 Marion Drive — FY2023</t>
        </is>
      </c>
      <c r="B29" s="27" t="inlineStr">
        <is>
          <t>Expense</t>
        </is>
      </c>
      <c r="C29" s="6" t="inlineStr">
        <is>
          <t>Roofing Repairs</t>
        </is>
      </c>
      <c r="D29" s="22" t="n">
        <v>47000</v>
      </c>
      <c r="E29" s="6" t="inlineStr"/>
    </row>
    <row r="30">
      <c r="A30" s="6" t="inlineStr">
        <is>
          <t>5970 Marion Drive — FY2023</t>
        </is>
      </c>
      <c r="B30" s="27" t="inlineStr">
        <is>
          <t>Expense</t>
        </is>
      </c>
      <c r="C30" s="6" t="inlineStr">
        <is>
          <t>Drywall Repairs</t>
        </is>
      </c>
      <c r="D30" s="22" t="n">
        <v>810</v>
      </c>
      <c r="E30" s="6" t="inlineStr"/>
    </row>
    <row r="31">
      <c r="A31" s="6" t="inlineStr">
        <is>
          <t>5970 Marion Drive — FY2023</t>
        </is>
      </c>
      <c r="B31" s="27" t="inlineStr">
        <is>
          <t>Expense</t>
        </is>
      </c>
      <c r="C31" s="6" t="inlineStr">
        <is>
          <t>Snow Removal</t>
        </is>
      </c>
      <c r="D31" s="22" t="n">
        <v>1016.31</v>
      </c>
      <c r="E31" s="6" t="inlineStr"/>
    </row>
    <row r="32">
      <c r="A32" s="6" t="inlineStr">
        <is>
          <t>5970 Marion Drive — FY2023</t>
        </is>
      </c>
      <c r="B32" s="27" t="inlineStr">
        <is>
          <t>Expense</t>
        </is>
      </c>
      <c r="C32" s="6" t="inlineStr">
        <is>
          <t>Utilities - Water</t>
        </is>
      </c>
      <c r="D32" s="22" t="n">
        <v>2157.08</v>
      </c>
      <c r="E32" s="6" t="inlineStr"/>
    </row>
    <row r="33">
      <c r="A33" s="6" t="inlineStr">
        <is>
          <t>5970 Marion Drive — FY2023</t>
        </is>
      </c>
      <c r="B33" s="27" t="inlineStr">
        <is>
          <t>Expense</t>
        </is>
      </c>
      <c r="C33" s="6" t="inlineStr">
        <is>
          <t>Trash</t>
        </is>
      </c>
      <c r="D33" s="22" t="n">
        <v>151.01</v>
      </c>
      <c r="E33" s="6" t="inlineStr"/>
    </row>
    <row r="34">
      <c r="A34" s="6" t="inlineStr">
        <is>
          <t>5970 Marion Drive — FY2023</t>
        </is>
      </c>
      <c r="B34" s="27" t="inlineStr">
        <is>
          <t>Expense</t>
        </is>
      </c>
      <c r="C34" s="6" t="inlineStr">
        <is>
          <t>Inspection &amp; Compliance</t>
        </is>
      </c>
      <c r="D34" s="22" t="n">
        <v>110</v>
      </c>
      <c r="E34" s="6" t="inlineStr"/>
    </row>
    <row r="35">
      <c r="A35" s="6" t="inlineStr">
        <is>
          <t>5970 Marion Drive — FY2023</t>
        </is>
      </c>
      <c r="B35" s="27" t="inlineStr">
        <is>
          <t>Expense</t>
        </is>
      </c>
      <c r="C35" s="6" t="inlineStr">
        <is>
          <t>Property Management</t>
        </is>
      </c>
      <c r="D35" s="22" t="n">
        <v>6000</v>
      </c>
      <c r="E35" s="6" t="inlineStr"/>
    </row>
    <row r="36">
      <c r="A36" s="6" t="inlineStr">
        <is>
          <t>5970 Marion Drive — FY2023</t>
        </is>
      </c>
      <c r="B36" s="27" t="inlineStr">
        <is>
          <t>Expense</t>
        </is>
      </c>
      <c r="C36" s="6" t="inlineStr">
        <is>
          <t>Bank fees</t>
        </is>
      </c>
      <c r="D36" s="22" t="n">
        <v>180</v>
      </c>
      <c r="E36" s="6" t="inlineStr"/>
    </row>
    <row r="37">
      <c r="A37" s="6" t="inlineStr">
        <is>
          <t>5970 Marion Drive — FY2023</t>
        </is>
      </c>
      <c r="B37" s="27" t="inlineStr">
        <is>
          <t>Expense</t>
        </is>
      </c>
      <c r="C37" s="6" t="inlineStr">
        <is>
          <t>Insurance</t>
        </is>
      </c>
      <c r="D37" s="22" t="n">
        <v>8640.99</v>
      </c>
      <c r="E37" s="6" t="inlineStr"/>
    </row>
    <row r="38">
      <c r="A38" s="6" t="inlineStr">
        <is>
          <t>5970 Marion Drive — FY2023</t>
        </is>
      </c>
      <c r="B38" s="27" t="inlineStr">
        <is>
          <t>Expense</t>
        </is>
      </c>
      <c r="C38" s="6" t="inlineStr">
        <is>
          <t>Taxes - Real Property</t>
        </is>
      </c>
      <c r="D38" s="22" t="n">
        <v>37726.76</v>
      </c>
      <c r="E38" s="6" t="inlineStr"/>
    </row>
    <row r="39">
      <c r="A39" s="6" t="inlineStr">
        <is>
          <t>5970 Marion Drive — FY2023</t>
        </is>
      </c>
      <c r="B39" s="27" t="inlineStr">
        <is>
          <t>Expense</t>
        </is>
      </c>
      <c r="C39" s="6" t="inlineStr">
        <is>
          <t>Taxes Other</t>
        </is>
      </c>
      <c r="D39" s="22" t="n">
        <v>4968.83</v>
      </c>
      <c r="E39" s="6" t="inlineStr"/>
    </row>
    <row r="40">
      <c r="A40" s="6" t="inlineStr">
        <is>
          <t>5970 Marion Drive — FY2023</t>
        </is>
      </c>
      <c r="B40" s="27" t="inlineStr">
        <is>
          <t>Expense</t>
        </is>
      </c>
      <c r="C40" s="6" t="inlineStr">
        <is>
          <t>Mortgage Principal</t>
        </is>
      </c>
      <c r="D40" s="22" t="n">
        <v>26699.59</v>
      </c>
      <c r="E40" s="6" t="inlineStr"/>
    </row>
    <row r="41">
      <c r="A41" s="6" t="inlineStr">
        <is>
          <t>5970 Marion Drive — FY2023</t>
        </is>
      </c>
      <c r="B41" s="27" t="inlineStr">
        <is>
          <t>Expense</t>
        </is>
      </c>
      <c r="C41" s="6" t="inlineStr">
        <is>
          <t>Mortgage Interest</t>
        </is>
      </c>
      <c r="D41" s="22" t="n">
        <v>51624.89</v>
      </c>
      <c r="E41" s="6" t="inlineStr"/>
    </row>
    <row r="42">
      <c r="A42" s="11" t="inlineStr">
        <is>
          <t>5970 Marion Drive — FY2023</t>
        </is>
      </c>
      <c r="B42" s="28" t="inlineStr">
        <is>
          <t>Expense</t>
        </is>
      </c>
      <c r="C42" s="12" t="inlineStr">
        <is>
          <t>TOTAL EXPENSE</t>
        </is>
      </c>
      <c r="D42" s="23">
        <f>SUM(D28:D41)</f>
        <v/>
      </c>
      <c r="E42" s="18" t="inlineStr">
        <is>
          <t>Printed total: $188,635.46. cash basis; Owner Draw $100,000 (financing) excluded</t>
        </is>
      </c>
    </row>
    <row r="43">
      <c r="A43" s="6" t="inlineStr">
        <is>
          <t>2011 E 58th (TempTee) — 2024</t>
        </is>
      </c>
      <c r="B43" s="27" t="inlineStr">
        <is>
          <t>Expense</t>
        </is>
      </c>
      <c r="C43" s="6" t="inlineStr">
        <is>
          <t>Advertising (leasing)</t>
        </is>
      </c>
      <c r="D43" s="22" t="n">
        <v>0</v>
      </c>
      <c r="E43" s="6" t="inlineStr"/>
    </row>
    <row r="44">
      <c r="A44" s="6" t="inlineStr">
        <is>
          <t>2011 E 58th (TempTee) — 2024</t>
        </is>
      </c>
      <c r="B44" s="27" t="inlineStr">
        <is>
          <t>Expense</t>
        </is>
      </c>
      <c r="C44" s="6" t="inlineStr">
        <is>
          <t>Building Insurance</t>
        </is>
      </c>
      <c r="D44" s="22" t="n">
        <v>14050</v>
      </c>
      <c r="E44" s="6" t="inlineStr"/>
    </row>
    <row r="45">
      <c r="A45" s="6" t="inlineStr">
        <is>
          <t>2011 E 58th (TempTee) — 2024</t>
        </is>
      </c>
      <c r="B45" s="27" t="inlineStr">
        <is>
          <t>Expense</t>
        </is>
      </c>
      <c r="C45" s="6" t="inlineStr">
        <is>
          <t>Building Repair &amp; Maintenance</t>
        </is>
      </c>
      <c r="D45" s="22" t="n">
        <v>10000</v>
      </c>
      <c r="E45" s="6" t="inlineStr"/>
    </row>
    <row r="46">
      <c r="A46" s="6" t="inlineStr">
        <is>
          <t>2011 E 58th (TempTee) — 2024</t>
        </is>
      </c>
      <c r="B46" s="27" t="inlineStr">
        <is>
          <t>Expense</t>
        </is>
      </c>
      <c r="C46" s="6" t="inlineStr">
        <is>
          <t>Ground Maintenance</t>
        </is>
      </c>
      <c r="D46" s="22" t="n">
        <v>0</v>
      </c>
      <c r="E46" s="6" t="inlineStr">
        <is>
          <t>'in house'</t>
        </is>
      </c>
    </row>
    <row r="47">
      <c r="A47" s="6" t="inlineStr">
        <is>
          <t>2011 E 58th (TempTee) — 2024</t>
        </is>
      </c>
      <c r="B47" s="27" t="inlineStr">
        <is>
          <t>Expense</t>
        </is>
      </c>
      <c r="C47" s="6" t="inlineStr">
        <is>
          <t>Janitorial</t>
        </is>
      </c>
      <c r="D47" s="22" t="n">
        <v>0</v>
      </c>
      <c r="E47" s="6" t="inlineStr">
        <is>
          <t>'in house'</t>
        </is>
      </c>
    </row>
    <row r="48">
      <c r="A48" s="6" t="inlineStr">
        <is>
          <t>2011 E 58th (TempTee) — 2024</t>
        </is>
      </c>
      <c r="B48" s="27" t="inlineStr">
        <is>
          <t>Expense</t>
        </is>
      </c>
      <c r="C48" s="6" t="inlineStr">
        <is>
          <t>Leasing Commissions</t>
        </is>
      </c>
      <c r="D48" s="22" t="n">
        <v>0</v>
      </c>
      <c r="E48" s="6" t="inlineStr"/>
    </row>
    <row r="49">
      <c r="A49" s="6" t="inlineStr">
        <is>
          <t>2011 E 58th (TempTee) — 2024</t>
        </is>
      </c>
      <c r="B49" s="27" t="inlineStr">
        <is>
          <t>Expense</t>
        </is>
      </c>
      <c r="C49" s="6" t="inlineStr">
        <is>
          <t>Management</t>
        </is>
      </c>
      <c r="D49" s="22" t="n">
        <v>0</v>
      </c>
      <c r="E49" s="6" t="inlineStr"/>
    </row>
    <row r="50">
      <c r="A50" s="6" t="inlineStr">
        <is>
          <t>2011 E 58th (TempTee) — 2024</t>
        </is>
      </c>
      <c r="B50" s="27" t="inlineStr">
        <is>
          <t>Expense</t>
        </is>
      </c>
      <c r="C50" s="6" t="inlineStr">
        <is>
          <t>Snow/Trash Removal</t>
        </is>
      </c>
      <c r="D50" s="22" t="n">
        <v>12000</v>
      </c>
      <c r="E50" s="6" t="inlineStr"/>
    </row>
    <row r="51">
      <c r="A51" s="6" t="inlineStr">
        <is>
          <t>2011 E 58th (TempTee) — 2024</t>
        </is>
      </c>
      <c r="B51" s="27" t="inlineStr">
        <is>
          <t>Expense</t>
        </is>
      </c>
      <c r="C51" s="6" t="inlineStr">
        <is>
          <t>Utilities</t>
        </is>
      </c>
      <c r="D51" s="22" t="n">
        <v>102000</v>
      </c>
      <c r="E51" s="6" t="inlineStr"/>
    </row>
    <row r="52">
      <c r="A52" s="11" t="inlineStr">
        <is>
          <t>2011 E 58th (TempTee) — 2024</t>
        </is>
      </c>
      <c r="B52" s="28" t="inlineStr">
        <is>
          <t>Expense</t>
        </is>
      </c>
      <c r="C52" s="12" t="inlineStr">
        <is>
          <t>TOTAL EXPENSE</t>
        </is>
      </c>
      <c r="D52" s="23">
        <f>SUM(D43:D51)</f>
        <v/>
      </c>
      <c r="E52" s="18" t="inlineStr">
        <is>
          <t>Printed total: $138,050.00. Adams Co. survey; 100% owner-occupied (~17,000 SF); 'in house' items = $0</t>
        </is>
      </c>
    </row>
    <row r="53">
      <c r="A53" s="6" t="inlineStr">
        <is>
          <t>125 Bridge St (Broadview) — Form 8825</t>
        </is>
      </c>
      <c r="B53" s="25" t="inlineStr">
        <is>
          <t>Income</t>
        </is>
      </c>
      <c r="C53" s="6" t="inlineStr">
        <is>
          <t>Gross rents</t>
        </is>
      </c>
      <c r="D53" s="22" t="n">
        <v>307817</v>
      </c>
      <c r="E53" s="6" t="inlineStr">
        <is>
          <t>IRS Form 8825, Property A (125 Bridge St, COMMERCIAL)</t>
        </is>
      </c>
    </row>
    <row r="54">
      <c r="A54" s="11" t="inlineStr">
        <is>
          <t>125 Bridge St (Broadview) — Form 8825</t>
        </is>
      </c>
      <c r="B54" s="26" t="inlineStr">
        <is>
          <t>Income</t>
        </is>
      </c>
      <c r="C54" s="12" t="inlineStr">
        <is>
          <t>TOTAL INCOME</t>
        </is>
      </c>
      <c r="D54" s="23">
        <f>SUM(D53:D53)</f>
        <v/>
      </c>
      <c r="E54" s="18" t="inlineStr">
        <is>
          <t>Printed total: $307,817.00.</t>
        </is>
      </c>
    </row>
    <row r="55">
      <c r="A55" s="6" t="inlineStr">
        <is>
          <t>125 Bridge St (Broadview) — Form 8825</t>
        </is>
      </c>
      <c r="B55" s="27" t="inlineStr">
        <is>
          <t>Expense</t>
        </is>
      </c>
      <c r="C55" s="6" t="inlineStr">
        <is>
          <t>Advertising</t>
        </is>
      </c>
      <c r="D55" s="22" t="n">
        <v>776</v>
      </c>
      <c r="E55" s="6" t="inlineStr"/>
    </row>
    <row r="56">
      <c r="A56" s="6" t="inlineStr">
        <is>
          <t>125 Bridge St (Broadview) — Form 8825</t>
        </is>
      </c>
      <c r="B56" s="27" t="inlineStr">
        <is>
          <t>Expense</t>
        </is>
      </c>
      <c r="C56" s="6" t="inlineStr">
        <is>
          <t>Insurance</t>
        </is>
      </c>
      <c r="D56" s="22" t="n">
        <v>12004</v>
      </c>
      <c r="E56" s="6" t="inlineStr"/>
    </row>
    <row r="57">
      <c r="A57" s="6" t="inlineStr">
        <is>
          <t>125 Bridge St (Broadview) — Form 8825</t>
        </is>
      </c>
      <c r="B57" s="27" t="inlineStr">
        <is>
          <t>Expense</t>
        </is>
      </c>
      <c r="C57" s="6" t="inlineStr">
        <is>
          <t>Legal &amp; professional fees</t>
        </is>
      </c>
      <c r="D57" s="22" t="n">
        <v>10211</v>
      </c>
      <c r="E57" s="6" t="inlineStr"/>
    </row>
    <row r="58">
      <c r="A58" s="6" t="inlineStr">
        <is>
          <t>125 Bridge St (Broadview) — Form 8825</t>
        </is>
      </c>
      <c r="B58" s="27" t="inlineStr">
        <is>
          <t>Expense</t>
        </is>
      </c>
      <c r="C58" s="6" t="inlineStr">
        <is>
          <t>Interest</t>
        </is>
      </c>
      <c r="D58" s="22" t="n">
        <v>98058</v>
      </c>
      <c r="E58" s="6" t="inlineStr"/>
    </row>
    <row r="59">
      <c r="A59" s="6" t="inlineStr">
        <is>
          <t>125 Bridge St (Broadview) — Form 8825</t>
        </is>
      </c>
      <c r="B59" s="27" t="inlineStr">
        <is>
          <t>Expense</t>
        </is>
      </c>
      <c r="C59" s="6" t="inlineStr">
        <is>
          <t>Repairs</t>
        </is>
      </c>
      <c r="D59" s="22" t="n">
        <v>100279</v>
      </c>
      <c r="E59" s="6" t="inlineStr"/>
    </row>
    <row r="60">
      <c r="A60" s="6" t="inlineStr">
        <is>
          <t>125 Bridge St (Broadview) — Form 8825</t>
        </is>
      </c>
      <c r="B60" s="27" t="inlineStr">
        <is>
          <t>Expense</t>
        </is>
      </c>
      <c r="C60" s="6" t="inlineStr">
        <is>
          <t>Utilities</t>
        </is>
      </c>
      <c r="D60" s="22" t="n">
        <v>4731</v>
      </c>
      <c r="E60" s="6" t="inlineStr"/>
    </row>
    <row r="61">
      <c r="A61" s="6" t="inlineStr">
        <is>
          <t>125 Bridge St (Broadview) — Form 8825</t>
        </is>
      </c>
      <c r="B61" s="27" t="inlineStr">
        <is>
          <t>Expense</t>
        </is>
      </c>
      <c r="C61" s="6" t="inlineStr">
        <is>
          <t>Depreciation</t>
        </is>
      </c>
      <c r="D61" s="22" t="n">
        <v>47109</v>
      </c>
      <c r="E61" s="6" t="inlineStr"/>
    </row>
    <row r="62">
      <c r="A62" s="6" t="inlineStr">
        <is>
          <t>125 Bridge St (Broadview) — Form 8825</t>
        </is>
      </c>
      <c r="B62" s="27" t="inlineStr">
        <is>
          <t>Expense</t>
        </is>
      </c>
      <c r="C62" s="6" t="inlineStr">
        <is>
          <t>Meals - 100%</t>
        </is>
      </c>
      <c r="D62" s="22" t="n">
        <v>1080</v>
      </c>
      <c r="E62" s="6" t="inlineStr"/>
    </row>
    <row r="63">
      <c r="A63" s="6" t="inlineStr">
        <is>
          <t>125 Bridge St (Broadview) — Form 8825</t>
        </is>
      </c>
      <c r="B63" s="27" t="inlineStr">
        <is>
          <t>Expense</t>
        </is>
      </c>
      <c r="C63" s="6" t="inlineStr">
        <is>
          <t>Amortization</t>
        </is>
      </c>
      <c r="D63" s="22" t="n">
        <v>2166</v>
      </c>
      <c r="E63" s="6" t="inlineStr"/>
    </row>
    <row r="64">
      <c r="A64" s="6" t="inlineStr">
        <is>
          <t>125 Bridge St (Broadview) — Form 8825</t>
        </is>
      </c>
      <c r="B64" s="27" t="inlineStr">
        <is>
          <t>Expense</t>
        </is>
      </c>
      <c r="C64" s="6" t="inlineStr">
        <is>
          <t>Other (Statement #8A)</t>
        </is>
      </c>
      <c r="D64" s="22" t="n">
        <v>39767</v>
      </c>
      <c r="E64" s="6" t="inlineStr"/>
    </row>
    <row r="65">
      <c r="A65" s="11" t="inlineStr">
        <is>
          <t>125 Bridge St (Broadview) — Form 8825</t>
        </is>
      </c>
      <c r="B65" s="28" t="inlineStr">
        <is>
          <t>Expense</t>
        </is>
      </c>
      <c r="C65" s="12" t="inlineStr">
        <is>
          <t>TOTAL EXPENSE</t>
        </is>
      </c>
      <c r="D65" s="23">
        <f>SUM(D55:D64)</f>
        <v/>
      </c>
      <c r="E65" s="18" t="inlineStr">
        <is>
          <t>Printed total: $316,181.00. IRS Form 8825; net rental loss $(8,364). Tax basis (incl. depreciation, amortization &amp; interest).</t>
        </is>
      </c>
    </row>
    <row r="66">
      <c r="A66" s="6" t="inlineStr">
        <is>
          <t>Simply Storage (R0102989) — Actual 2022</t>
        </is>
      </c>
      <c r="B66" s="25" t="inlineStr">
        <is>
          <t>Income</t>
        </is>
      </c>
      <c r="C66" s="6" t="inlineStr">
        <is>
          <t>Effective Gross Income (actual, net of refunds)</t>
        </is>
      </c>
      <c r="D66" s="22" t="n">
        <v>922898</v>
      </c>
      <c r="E66" s="6" t="inlineStr">
        <is>
          <t>Per Ryan appeal proforma notes; source 2022 P&amp;L not included in this file</t>
        </is>
      </c>
    </row>
    <row r="67">
      <c r="A67" s="6" t="inlineStr">
        <is>
          <t>Simply Storage (R0102989) — Actual 2022</t>
        </is>
      </c>
      <c r="B67" s="25" t="inlineStr">
        <is>
          <t>Income</t>
        </is>
      </c>
      <c r="C67" s="6" t="inlineStr">
        <is>
          <t>TOTAL INCOME</t>
        </is>
      </c>
      <c r="D67" s="22">
        <f>SUM(D66:D66)</f>
        <v/>
      </c>
      <c r="E67" s="6" t="inlineStr">
        <is>
          <t>Printed as EGI $922,898</t>
        </is>
      </c>
    </row>
    <row r="68">
      <c r="A68" s="6" t="inlineStr">
        <is>
          <t>Simply Storage (R0102989) — Actual 2022</t>
        </is>
      </c>
      <c r="B68" s="25" t="inlineStr">
        <is>
          <t>Expense</t>
        </is>
      </c>
      <c r="C68" s="6" t="inlineStr">
        <is>
          <t>Total Operating Expenses (incl. property tax)</t>
        </is>
      </c>
      <c r="D68" s="22" t="n">
        <v>677550</v>
      </c>
      <c r="E68" s="6" t="inlineStr">
        <is>
          <t>Derived: EGI $922,898 − stated NOI $245,348</t>
        </is>
      </c>
    </row>
    <row r="69">
      <c r="A69" s="6" t="inlineStr">
        <is>
          <t>Simply Storage (R0102989) — Actual 2022</t>
        </is>
      </c>
      <c r="B69" s="25" t="inlineStr">
        <is>
          <t>Expense</t>
        </is>
      </c>
      <c r="C69" s="6" t="inlineStr">
        <is>
          <t>TOTAL EXPENSE</t>
        </is>
      </c>
      <c r="D69" s="22">
        <f>SUM(D68:D68)</f>
        <v/>
      </c>
      <c r="E69" s="6" t="inlineStr">
        <is>
          <t>Derived, not printed directly</t>
        </is>
      </c>
    </row>
    <row r="70">
      <c r="A70" s="6" t="inlineStr">
        <is>
          <t>Simply Storage (R0102989) — Actual 2022</t>
        </is>
      </c>
      <c r="B70" s="25" t="inlineStr">
        <is>
          <t>Memo</t>
        </is>
      </c>
      <c r="C70" s="6" t="inlineStr">
        <is>
          <t>NOI (as stated, incl. property tax)</t>
        </is>
      </c>
      <c r="D70" s="22" t="n">
        <v>245348</v>
      </c>
      <c r="E70" s="6" t="inlineStr">
        <is>
          <t>Actual YE2022</t>
        </is>
      </c>
    </row>
    <row r="71">
      <c r="A71" s="6" t="inlineStr">
        <is>
          <t>Simply Storage (R0102989) — Actual 2022</t>
        </is>
      </c>
      <c r="B71" s="25" t="inlineStr">
        <is>
          <t>Memo</t>
        </is>
      </c>
      <c r="C71" s="6" t="inlineStr">
        <is>
          <t>NOI excl. property tax</t>
        </is>
      </c>
      <c r="D71" s="22" t="n">
        <v>403718.35</v>
      </c>
      <c r="E71" s="6" t="inlineStr">
        <is>
          <t>Actual YE2022</t>
        </is>
      </c>
    </row>
    <row r="72">
      <c r="A72" s="6" t="inlineStr">
        <is>
          <t>Simply Storage (R0102989) — Actual 2022</t>
        </is>
      </c>
      <c r="B72" s="25" t="inlineStr">
        <is>
          <t>Memo</t>
        </is>
      </c>
      <c r="C72" s="6" t="inlineStr">
        <is>
          <t>NOI excl. property tax &amp; Taxes-Escrow line</t>
        </is>
      </c>
      <c r="D72" s="22" t="n">
        <v>508528.9</v>
      </c>
      <c r="E72" s="6" t="inlineStr">
        <is>
          <t>Actual YE2022</t>
        </is>
      </c>
    </row>
    <row r="73">
      <c r="A73" s="6" t="inlineStr">
        <is>
          <t>Stor-n-Lock #20 (R0169115) — Actual 2024 P&amp;L</t>
        </is>
      </c>
      <c r="B73" s="25" t="inlineStr">
        <is>
          <t>Income</t>
        </is>
      </c>
      <c r="C73" s="6" t="inlineStr">
        <is>
          <t>Rental Income</t>
        </is>
      </c>
      <c r="D73" s="22" t="n">
        <v>1155957.87</v>
      </c>
      <c r="E73" s="6" t="n"/>
    </row>
    <row r="74">
      <c r="A74" s="6" t="inlineStr">
        <is>
          <t>Stor-n-Lock #20 (R0169115) — Actual 2024 P&amp;L</t>
        </is>
      </c>
      <c r="B74" s="25" t="inlineStr">
        <is>
          <t>Income</t>
        </is>
      </c>
      <c r="C74" s="6" t="inlineStr">
        <is>
          <t>Late Fee Income</t>
        </is>
      </c>
      <c r="D74" s="22" t="n">
        <v>24921.03</v>
      </c>
      <c r="E74" s="6" t="n"/>
    </row>
    <row r="75">
      <c r="A75" s="6" t="inlineStr">
        <is>
          <t>Stor-n-Lock #20 (R0169115) — Actual 2024 P&amp;L</t>
        </is>
      </c>
      <c r="B75" s="25" t="inlineStr">
        <is>
          <t>Income</t>
        </is>
      </c>
      <c r="C75" s="6" t="inlineStr">
        <is>
          <t>Locks &amp; Misc Income</t>
        </is>
      </c>
      <c r="D75" s="22" t="n">
        <v>3947.95</v>
      </c>
      <c r="E75" s="6" t="n"/>
    </row>
    <row r="76">
      <c r="A76" s="6" t="inlineStr">
        <is>
          <t>Stor-n-Lock #20 (R0169115) — Actual 2024 P&amp;L</t>
        </is>
      </c>
      <c r="B76" s="25" t="inlineStr">
        <is>
          <t>Income</t>
        </is>
      </c>
      <c r="C76" s="6" t="inlineStr">
        <is>
          <t>Administrative Income</t>
        </is>
      </c>
      <c r="D76" s="22" t="n">
        <v>5980</v>
      </c>
      <c r="E76" s="6" t="n"/>
    </row>
    <row r="77">
      <c r="A77" s="6" t="inlineStr">
        <is>
          <t>Stor-n-Lock #20 (R0169115) — Actual 2024 P&amp;L</t>
        </is>
      </c>
      <c r="B77" s="25" t="inlineStr">
        <is>
          <t>Income</t>
        </is>
      </c>
      <c r="C77" s="6" t="inlineStr">
        <is>
          <t>Other Property Income</t>
        </is>
      </c>
      <c r="D77" s="22" t="n">
        <v>15796.23</v>
      </c>
      <c r="E77" s="6" t="n"/>
    </row>
    <row r="78">
      <c r="A78" s="6" t="inlineStr">
        <is>
          <t>Stor-n-Lock #20 (R0169115) — Actual 2024 P&amp;L</t>
        </is>
      </c>
      <c r="B78" s="25" t="inlineStr">
        <is>
          <t>Income</t>
        </is>
      </c>
      <c r="C78" s="6" t="inlineStr">
        <is>
          <t>TOTAL INCOME</t>
        </is>
      </c>
      <c r="D78" s="22">
        <f>SUM(D73:D77)</f>
        <v/>
      </c>
      <c r="E78" s="6" t="inlineStr">
        <is>
          <t>Printed total: $1,206,603.08</t>
        </is>
      </c>
    </row>
    <row r="79">
      <c r="A79" s="6" t="inlineStr">
        <is>
          <t>Stor-n-Lock #20 (R0169115) — Actual 2024 P&amp;L</t>
        </is>
      </c>
      <c r="B79" s="25" t="inlineStr">
        <is>
          <t>Expense</t>
        </is>
      </c>
      <c r="C79" s="6" t="inlineStr">
        <is>
          <t>Employment Expenses (salaries, payroll tax, benefits)</t>
        </is>
      </c>
      <c r="D79" s="22" t="n">
        <v>106696.02</v>
      </c>
      <c r="E79" s="6" t="n"/>
    </row>
    <row r="80">
      <c r="A80" s="6" t="inlineStr">
        <is>
          <t>Stor-n-Lock #20 (R0169115) — Actual 2024 P&amp;L</t>
        </is>
      </c>
      <c r="B80" s="25" t="inlineStr">
        <is>
          <t>Expense</t>
        </is>
      </c>
      <c r="C80" s="6" t="inlineStr">
        <is>
          <t>Office &amp; Site Expenses</t>
        </is>
      </c>
      <c r="D80" s="22" t="n">
        <v>34608.63</v>
      </c>
      <c r="E80" s="6" t="n"/>
    </row>
    <row r="81">
      <c r="A81" s="6" t="inlineStr">
        <is>
          <t>Stor-n-Lock #20 (R0169115) — Actual 2024 P&amp;L</t>
        </is>
      </c>
      <c r="B81" s="25" t="inlineStr">
        <is>
          <t>Expense</t>
        </is>
      </c>
      <c r="C81" s="6" t="inlineStr">
        <is>
          <t>Maintenance</t>
        </is>
      </c>
      <c r="D81" s="22" t="n">
        <v>18344.37</v>
      </c>
      <c r="E81" s="6" t="n"/>
    </row>
    <row r="82">
      <c r="A82" s="6" t="inlineStr">
        <is>
          <t>Stor-n-Lock #20 (R0169115) — Actual 2024 P&amp;L</t>
        </is>
      </c>
      <c r="B82" s="25" t="inlineStr">
        <is>
          <t>Expense</t>
        </is>
      </c>
      <c r="C82" s="6" t="inlineStr">
        <is>
          <t>Security</t>
        </is>
      </c>
      <c r="D82" s="22" t="n">
        <v>1927.8</v>
      </c>
      <c r="E82" s="6" t="n"/>
    </row>
    <row r="83">
      <c r="A83" s="6" t="inlineStr">
        <is>
          <t>Stor-n-Lock #20 (R0169115) — Actual 2024 P&amp;L</t>
        </is>
      </c>
      <c r="B83" s="25" t="inlineStr">
        <is>
          <t>Expense</t>
        </is>
      </c>
      <c r="C83" s="6" t="inlineStr">
        <is>
          <t>Utilities</t>
        </is>
      </c>
      <c r="D83" s="22" t="n">
        <v>16957</v>
      </c>
      <c r="E83" s="6" t="n"/>
    </row>
    <row r="84">
      <c r="A84" s="6" t="inlineStr">
        <is>
          <t>Stor-n-Lock #20 (R0169115) — Actual 2024 P&amp;L</t>
        </is>
      </c>
      <c r="B84" s="25" t="inlineStr">
        <is>
          <t>Expense</t>
        </is>
      </c>
      <c r="C84" s="6" t="inlineStr">
        <is>
          <t>Snow Removal</t>
        </is>
      </c>
      <c r="D84" s="22" t="n">
        <v>7653.04</v>
      </c>
      <c r="E84" s="6" t="n"/>
    </row>
    <row r="85">
      <c r="A85" s="6" t="inlineStr">
        <is>
          <t>Stor-n-Lock #20 (R0169115) — Actual 2024 P&amp;L</t>
        </is>
      </c>
      <c r="B85" s="25" t="inlineStr">
        <is>
          <t>Expense</t>
        </is>
      </c>
      <c r="C85" s="6" t="inlineStr">
        <is>
          <t>Administrative Expenses (legal, mgmt fee, dues)</t>
        </is>
      </c>
      <c r="D85" s="22" t="n">
        <v>87155.08</v>
      </c>
      <c r="E85" s="6" t="n"/>
    </row>
    <row r="86">
      <c r="A86" s="6" t="inlineStr">
        <is>
          <t>Stor-n-Lock #20 (R0169115) — Actual 2024 P&amp;L</t>
        </is>
      </c>
      <c r="B86" s="25" t="inlineStr">
        <is>
          <t>Expense</t>
        </is>
      </c>
      <c r="C86" s="6" t="inlineStr">
        <is>
          <t>Advertising</t>
        </is>
      </c>
      <c r="D86" s="22" t="n">
        <v>13024.73</v>
      </c>
      <c r="E86" s="6" t="n"/>
    </row>
    <row r="87">
      <c r="A87" s="6" t="inlineStr">
        <is>
          <t>Stor-n-Lock #20 (R0169115) — Actual 2024 P&amp;L</t>
        </is>
      </c>
      <c r="B87" s="25" t="inlineStr">
        <is>
          <t>Expense</t>
        </is>
      </c>
      <c r="C87" s="6" t="inlineStr">
        <is>
          <t>Property Expenses (Taxes $389,500.16 + Insurance $12,478.43)</t>
        </is>
      </c>
      <c r="D87" s="22" t="n">
        <v>401978.59</v>
      </c>
      <c r="E87" s="6" t="n"/>
    </row>
    <row r="88">
      <c r="A88" s="6" t="inlineStr">
        <is>
          <t>Stor-n-Lock #20 (R0169115) — Actual 2024 P&amp;L</t>
        </is>
      </c>
      <c r="B88" s="25" t="inlineStr">
        <is>
          <t>Expense</t>
        </is>
      </c>
      <c r="C88" s="6" t="inlineStr">
        <is>
          <t>TOTAL EXPENSE</t>
        </is>
      </c>
      <c r="D88" s="22">
        <f>SUM(D79:D87)</f>
        <v/>
      </c>
      <c r="E88" s="6" t="inlineStr">
        <is>
          <t>Printed total: $688,345.26</t>
        </is>
      </c>
    </row>
    <row r="89">
      <c r="A89" s="6" t="inlineStr">
        <is>
          <t>Stor-n-Lock #20 (R0169115) — Actual 2024 P&amp;L</t>
        </is>
      </c>
      <c r="B89" s="25" t="inlineStr">
        <is>
          <t>Memo</t>
        </is>
      </c>
      <c r="C89" s="6" t="inlineStr">
        <is>
          <t>Net Ordinary Income (operating)</t>
        </is>
      </c>
      <c r="D89" s="22" t="n">
        <v>518257.82</v>
      </c>
      <c r="E89" s="6" t="n"/>
    </row>
    <row r="90">
      <c r="A90" s="6" t="inlineStr">
        <is>
          <t>Stor-n-Lock #20 (R0169115) — Actual 2024 P&amp;L</t>
        </is>
      </c>
      <c r="B90" s="25" t="inlineStr">
        <is>
          <t>Other Income</t>
        </is>
      </c>
      <c r="C90" s="6" t="inlineStr">
        <is>
          <t>Interest Earned</t>
        </is>
      </c>
      <c r="D90" s="22" t="n">
        <v>13497.86</v>
      </c>
      <c r="E90" s="6" t="n"/>
    </row>
    <row r="91">
      <c r="A91" s="6" t="inlineStr">
        <is>
          <t>Stor-n-Lock #20 (R0169115) — Actual 2024 P&amp;L</t>
        </is>
      </c>
      <c r="B91" s="25" t="inlineStr">
        <is>
          <t>Other Expense</t>
        </is>
      </c>
      <c r="C91" s="6" t="inlineStr">
        <is>
          <t>Maintenance - Other</t>
        </is>
      </c>
      <c r="D91" s="22" t="n">
        <v>28640.65</v>
      </c>
      <c r="E91" s="6" t="n"/>
    </row>
    <row r="92">
      <c r="A92" s="6" t="inlineStr">
        <is>
          <t>Stor-n-Lock #20 (R0169115) — Actual 2024 P&amp;L</t>
        </is>
      </c>
      <c r="B92" s="25" t="inlineStr">
        <is>
          <t>Other Expense</t>
        </is>
      </c>
      <c r="C92" s="6" t="inlineStr">
        <is>
          <t>Mortgage Interest</t>
        </is>
      </c>
      <c r="D92" s="22" t="n">
        <v>134793.9</v>
      </c>
      <c r="E92" s="6" t="n"/>
    </row>
    <row r="93">
      <c r="A93" s="6" t="inlineStr">
        <is>
          <t>Stor-n-Lock #20 (R0169115) — Actual 2024 P&amp;L</t>
        </is>
      </c>
      <c r="B93" s="25" t="inlineStr">
        <is>
          <t>Other Expense</t>
        </is>
      </c>
      <c r="C93" s="6" t="inlineStr">
        <is>
          <t>Depreciation/Amortization</t>
        </is>
      </c>
      <c r="D93" s="22" t="n">
        <v>54137</v>
      </c>
      <c r="E93" s="6" t="n"/>
    </row>
    <row r="94">
      <c r="A94" s="6" t="inlineStr">
        <is>
          <t>Stor-n-Lock #20 (R0169115) — Actual 2024 P&amp;L</t>
        </is>
      </c>
      <c r="B94" s="25" t="inlineStr">
        <is>
          <t>Memo</t>
        </is>
      </c>
      <c r="C94" s="6" t="inlineStr">
        <is>
          <t>Net Income (all-in)</t>
        </is>
      </c>
      <c r="D94" s="22" t="n">
        <v>314184.13</v>
      </c>
      <c r="E94" s="6" t="inlineStr">
        <is>
          <t>Printed total</t>
        </is>
      </c>
    </row>
    <row r="95">
      <c r="A95" s="6" t="inlineStr">
        <is>
          <t>All American Mini Storage (R0099616 econ. unit) — Actual 2024</t>
        </is>
      </c>
      <c r="B95" s="25" t="inlineStr">
        <is>
          <t>Income</t>
        </is>
      </c>
      <c r="C95" s="6" t="inlineStr">
        <is>
          <t>Rental Income</t>
        </is>
      </c>
      <c r="D95" s="22" t="n">
        <v>226004</v>
      </c>
      <c r="E95" s="6" t="n"/>
    </row>
    <row r="96">
      <c r="A96" s="6" t="inlineStr">
        <is>
          <t>All American Mini Storage (R0099616 econ. unit) — Actual 2024</t>
        </is>
      </c>
      <c r="B96" s="25" t="inlineStr">
        <is>
          <t>Income</t>
        </is>
      </c>
      <c r="C96" s="6" t="inlineStr">
        <is>
          <t>Credit Card Deposits</t>
        </is>
      </c>
      <c r="D96" s="22" t="n">
        <v>600338</v>
      </c>
      <c r="E96" s="6" t="n"/>
    </row>
    <row r="97">
      <c r="A97" s="6" t="inlineStr">
        <is>
          <t>All American Mini Storage (R0099616 econ. unit) — Actual 2024</t>
        </is>
      </c>
      <c r="B97" s="25" t="inlineStr">
        <is>
          <t>Income</t>
        </is>
      </c>
      <c r="C97" s="6" t="inlineStr">
        <is>
          <t>Miscellaneous Income</t>
        </is>
      </c>
      <c r="D97" s="22" t="n">
        <v>8016</v>
      </c>
      <c r="E97" s="6" t="n"/>
    </row>
    <row r="98">
      <c r="A98" s="6" t="inlineStr">
        <is>
          <t>All American Mini Storage (R0099616 econ. unit) — Actual 2024</t>
        </is>
      </c>
      <c r="B98" s="25" t="inlineStr">
        <is>
          <t>Income</t>
        </is>
      </c>
      <c r="C98" s="6" t="inlineStr">
        <is>
          <t>TOTAL INCOME</t>
        </is>
      </c>
      <c r="D98" s="22">
        <f>SUM(D95:D97)</f>
        <v/>
      </c>
      <c r="E98" s="6" t="inlineStr">
        <is>
          <t>Printed total: $834,358</t>
        </is>
      </c>
    </row>
    <row r="99">
      <c r="A99" s="6" t="inlineStr">
        <is>
          <t>All American Mini Storage (R0099616 econ. unit) — Actual 2024</t>
        </is>
      </c>
      <c r="B99" s="25" t="inlineStr">
        <is>
          <t>Expense</t>
        </is>
      </c>
      <c r="C99" s="6" t="inlineStr">
        <is>
          <t>Insurance</t>
        </is>
      </c>
      <c r="D99" s="22" t="n">
        <v>18408</v>
      </c>
      <c r="E99" s="6" t="n"/>
    </row>
    <row r="100">
      <c r="A100" s="6" t="inlineStr">
        <is>
          <t>All American Mini Storage (R0099616 econ. unit) — Actual 2024</t>
        </is>
      </c>
      <c r="B100" s="25" t="inlineStr">
        <is>
          <t>Expense</t>
        </is>
      </c>
      <c r="C100" s="6" t="inlineStr">
        <is>
          <t>Accounting</t>
        </is>
      </c>
      <c r="D100" s="22" t="n">
        <v>3590</v>
      </c>
      <c r="E100" s="6" t="n"/>
    </row>
    <row r="101">
      <c r="A101" s="6" t="inlineStr">
        <is>
          <t>All American Mini Storage (R0099616 econ. unit) — Actual 2024</t>
        </is>
      </c>
      <c r="B101" s="25" t="inlineStr">
        <is>
          <t>Expense</t>
        </is>
      </c>
      <c r="C101" s="6" t="inlineStr">
        <is>
          <t>Credit Card Fees</t>
        </is>
      </c>
      <c r="D101" s="22" t="n">
        <v>16172</v>
      </c>
      <c r="E101" s="6" t="n"/>
    </row>
    <row r="102">
      <c r="A102" s="6" t="inlineStr">
        <is>
          <t>All American Mini Storage (R0099616 econ. unit) — Actual 2024</t>
        </is>
      </c>
      <c r="B102" s="25" t="inlineStr">
        <is>
          <t>Expense</t>
        </is>
      </c>
      <c r="C102" s="6" t="inlineStr">
        <is>
          <t>Bank Charges</t>
        </is>
      </c>
      <c r="D102" s="22" t="n">
        <v>287</v>
      </c>
      <c r="E102" s="6" t="n"/>
    </row>
    <row r="103">
      <c r="A103" s="6" t="inlineStr">
        <is>
          <t>All American Mini Storage (R0099616 econ. unit) — Actual 2024</t>
        </is>
      </c>
      <c r="B103" s="25" t="inlineStr">
        <is>
          <t>Expense</t>
        </is>
      </c>
      <c r="C103" s="6" t="inlineStr">
        <is>
          <t>Management</t>
        </is>
      </c>
      <c r="D103" s="22" t="n">
        <v>23000</v>
      </c>
      <c r="E103" s="6" t="n"/>
    </row>
    <row r="104">
      <c r="A104" s="6" t="inlineStr">
        <is>
          <t>All American Mini Storage (R0099616 econ. unit) — Actual 2024</t>
        </is>
      </c>
      <c r="B104" s="25" t="inlineStr">
        <is>
          <t>Expense</t>
        </is>
      </c>
      <c r="C104" s="6" t="inlineStr">
        <is>
          <t>Medical Insurance</t>
        </is>
      </c>
      <c r="D104" s="22" t="n">
        <v>8685</v>
      </c>
      <c r="E104" s="6" t="n"/>
    </row>
    <row r="105">
      <c r="A105" s="6" t="inlineStr">
        <is>
          <t>All American Mini Storage (R0099616 econ. unit) — Actual 2024</t>
        </is>
      </c>
      <c r="B105" s="25" t="inlineStr">
        <is>
          <t>Expense</t>
        </is>
      </c>
      <c r="C105" s="6" t="inlineStr">
        <is>
          <t>Federal Taxes Withholding</t>
        </is>
      </c>
      <c r="D105" s="22" t="n">
        <v>2685</v>
      </c>
      <c r="E105" s="6" t="n"/>
    </row>
    <row r="106">
      <c r="A106" s="6" t="inlineStr">
        <is>
          <t>All American Mini Storage (R0099616 econ. unit) — Actual 2024</t>
        </is>
      </c>
      <c r="B106" s="25" t="inlineStr">
        <is>
          <t>Expense</t>
        </is>
      </c>
      <c r="C106" s="6" t="inlineStr">
        <is>
          <t>State Taxes Withholding</t>
        </is>
      </c>
      <c r="D106" s="22" t="n">
        <v>390</v>
      </c>
      <c r="E106" s="6" t="n"/>
    </row>
    <row r="107">
      <c r="A107" s="6" t="inlineStr">
        <is>
          <t>All American Mini Storage (R0099616 econ. unit) — Actual 2024</t>
        </is>
      </c>
      <c r="B107" s="25" t="inlineStr">
        <is>
          <t>Expense</t>
        </is>
      </c>
      <c r="C107" s="6" t="inlineStr">
        <is>
          <t>Unemployment Tax</t>
        </is>
      </c>
      <c r="D107" s="22" t="n">
        <v>533</v>
      </c>
      <c r="E107" s="6" t="n"/>
    </row>
    <row r="108">
      <c r="A108" s="6" t="inlineStr">
        <is>
          <t>All American Mini Storage (R0099616 econ. unit) — Actual 2024</t>
        </is>
      </c>
      <c r="B108" s="25" t="inlineStr">
        <is>
          <t>Expense</t>
        </is>
      </c>
      <c r="C108" s="6" t="inlineStr">
        <is>
          <t>Workman's Compensation</t>
        </is>
      </c>
      <c r="D108" s="22" t="n">
        <v>1472</v>
      </c>
      <c r="E108" s="6" t="n"/>
    </row>
    <row r="109">
      <c r="A109" s="6" t="inlineStr">
        <is>
          <t>All American Mini Storage (R0099616 econ. unit) — Actual 2024</t>
        </is>
      </c>
      <c r="B109" s="25" t="inlineStr">
        <is>
          <t>Expense</t>
        </is>
      </c>
      <c r="C109" s="6" t="inlineStr">
        <is>
          <t>Payroll</t>
        </is>
      </c>
      <c r="D109" s="22" t="n">
        <v>41277</v>
      </c>
      <c r="E109" s="6" t="n"/>
    </row>
    <row r="110">
      <c r="A110" s="6" t="inlineStr">
        <is>
          <t>All American Mini Storage (R0099616 econ. unit) — Actual 2024</t>
        </is>
      </c>
      <c r="B110" s="25" t="inlineStr">
        <is>
          <t>Expense</t>
        </is>
      </c>
      <c r="C110" s="6" t="inlineStr">
        <is>
          <t>Advertising</t>
        </is>
      </c>
      <c r="D110" s="22" t="n">
        <v>168</v>
      </c>
      <c r="E110" s="6" t="n"/>
    </row>
    <row r="111">
      <c r="A111" s="6" t="inlineStr">
        <is>
          <t>All American Mini Storage (R0099616 econ. unit) — Actual 2024</t>
        </is>
      </c>
      <c r="B111" s="25" t="inlineStr">
        <is>
          <t>Expense</t>
        </is>
      </c>
      <c r="C111" s="6" t="inlineStr">
        <is>
          <t>IT / Phone</t>
        </is>
      </c>
      <c r="D111" s="22" t="n">
        <v>3925</v>
      </c>
      <c r="E111" s="6" t="n"/>
    </row>
    <row r="112">
      <c r="A112" s="6" t="inlineStr">
        <is>
          <t>All American Mini Storage (R0099616 econ. unit) — Actual 2024</t>
        </is>
      </c>
      <c r="B112" s="25" t="inlineStr">
        <is>
          <t>Expense</t>
        </is>
      </c>
      <c r="C112" s="6" t="inlineStr">
        <is>
          <t>Supplies</t>
        </is>
      </c>
      <c r="D112" s="22" t="n">
        <v>828</v>
      </c>
      <c r="E112" s="6" t="n"/>
    </row>
    <row r="113">
      <c r="A113" s="6" t="inlineStr">
        <is>
          <t>All American Mini Storage (R0099616 econ. unit) — Actual 2024</t>
        </is>
      </c>
      <c r="B113" s="25" t="inlineStr">
        <is>
          <t>Expense</t>
        </is>
      </c>
      <c r="C113" s="6" t="inlineStr">
        <is>
          <t>Utilities</t>
        </is>
      </c>
      <c r="D113" s="22" t="n">
        <v>6434</v>
      </c>
      <c r="E113" s="6" t="n"/>
    </row>
    <row r="114">
      <c r="A114" s="6" t="inlineStr">
        <is>
          <t>All American Mini Storage (R0099616 econ. unit) — Actual 2024</t>
        </is>
      </c>
      <c r="B114" s="25" t="inlineStr">
        <is>
          <t>Expense</t>
        </is>
      </c>
      <c r="C114" s="6" t="inlineStr">
        <is>
          <t>Water / Sewer</t>
        </is>
      </c>
      <c r="D114" s="22" t="n">
        <v>2126</v>
      </c>
      <c r="E114" s="6" t="n"/>
    </row>
    <row r="115">
      <c r="A115" s="6" t="inlineStr">
        <is>
          <t>All American Mini Storage (R0099616 econ. unit) — Actual 2024</t>
        </is>
      </c>
      <c r="B115" s="25" t="inlineStr">
        <is>
          <t>Expense</t>
        </is>
      </c>
      <c r="C115" s="6" t="inlineStr">
        <is>
          <t>Trash</t>
        </is>
      </c>
      <c r="D115" s="22" t="n">
        <v>4770</v>
      </c>
      <c r="E115" s="6" t="n"/>
    </row>
    <row r="116">
      <c r="A116" s="6" t="inlineStr">
        <is>
          <t>All American Mini Storage (R0099616 econ. unit) — Actual 2024</t>
        </is>
      </c>
      <c r="B116" s="25" t="inlineStr">
        <is>
          <t>Expense</t>
        </is>
      </c>
      <c r="C116" s="6" t="inlineStr">
        <is>
          <t>Landscape</t>
        </is>
      </c>
      <c r="D116" s="22" t="n">
        <v>3382</v>
      </c>
      <c r="E116" s="6" t="n"/>
    </row>
    <row r="117">
      <c r="A117" s="6" t="inlineStr">
        <is>
          <t>All American Mini Storage (R0099616 econ. unit) — Actual 2024</t>
        </is>
      </c>
      <c r="B117" s="25" t="inlineStr">
        <is>
          <t>Expense</t>
        </is>
      </c>
      <c r="C117" s="6" t="inlineStr">
        <is>
          <t>Building Maintenance</t>
        </is>
      </c>
      <c r="D117" s="22" t="n">
        <v>24753</v>
      </c>
      <c r="E117" s="6" t="n"/>
    </row>
    <row r="118">
      <c r="A118" s="6" t="inlineStr">
        <is>
          <t>All American Mini Storage (R0099616 econ. unit) — Actual 2024</t>
        </is>
      </c>
      <c r="B118" s="25" t="inlineStr">
        <is>
          <t>Expense</t>
        </is>
      </c>
      <c r="C118" s="6" t="inlineStr">
        <is>
          <t>Fire / Security</t>
        </is>
      </c>
      <c r="D118" s="22" t="n">
        <v>497</v>
      </c>
      <c r="E118" s="6" t="n"/>
    </row>
    <row r="119">
      <c r="A119" s="6" t="inlineStr">
        <is>
          <t>All American Mini Storage (R0099616 econ. unit) — Actual 2024</t>
        </is>
      </c>
      <c r="B119" s="25" t="inlineStr">
        <is>
          <t>Expense</t>
        </is>
      </c>
      <c r="C119" s="6" t="inlineStr">
        <is>
          <t>Miscellaneous (3 lines)</t>
        </is>
      </c>
      <c r="D119" s="22" t="n">
        <v>48780</v>
      </c>
      <c r="E119" s="6" t="n"/>
    </row>
    <row r="120">
      <c r="A120" s="6" t="inlineStr">
        <is>
          <t>All American Mini Storage (R0099616 econ. unit) — Actual 2024</t>
        </is>
      </c>
      <c r="B120" s="25" t="inlineStr">
        <is>
          <t>Expense</t>
        </is>
      </c>
      <c r="C120" s="6" t="inlineStr">
        <is>
          <t>Subtotal Operating Expenses (excl. RE taxes)</t>
        </is>
      </c>
      <c r="D120" s="22">
        <f>SUM(D99:D119)</f>
        <v/>
      </c>
      <c r="E120" s="6" t="inlineStr">
        <is>
          <t>Printed total: $212,162</t>
        </is>
      </c>
    </row>
    <row r="121">
      <c r="A121" s="6" t="inlineStr">
        <is>
          <t>All American Mini Storage (R0099616 econ. unit) — Actual 2024</t>
        </is>
      </c>
      <c r="B121" s="25" t="inlineStr">
        <is>
          <t>Expense</t>
        </is>
      </c>
      <c r="C121" s="6" t="inlineStr">
        <is>
          <t>Real Estate Taxes</t>
        </is>
      </c>
      <c r="D121" s="22" t="n">
        <v>176136</v>
      </c>
      <c r="E121" s="6" t="n"/>
    </row>
    <row r="122">
      <c r="A122" s="6" t="inlineStr">
        <is>
          <t>All American Mini Storage (R0099616 econ. unit) — Actual 2024</t>
        </is>
      </c>
      <c r="B122" s="25" t="inlineStr">
        <is>
          <t>Expense</t>
        </is>
      </c>
      <c r="C122" s="6" t="inlineStr">
        <is>
          <t>TOTAL EXPENSE (incl. RE taxes)</t>
        </is>
      </c>
      <c r="D122" s="22">
        <f>D120+D121</f>
        <v/>
      </c>
      <c r="E122" s="6" t="inlineStr">
        <is>
          <t>Printed total: $388,298</t>
        </is>
      </c>
    </row>
    <row r="123">
      <c r="A123" s="6" t="inlineStr">
        <is>
          <t>All American Mini Storage (R0099616 econ. unit) — Actual 2024</t>
        </is>
      </c>
      <c r="B123" s="25" t="inlineStr">
        <is>
          <t>Memo</t>
        </is>
      </c>
      <c r="C123" s="6" t="inlineStr">
        <is>
          <t>NOI excl. RE taxes</t>
        </is>
      </c>
      <c r="D123" s="22" t="n">
        <v>622196</v>
      </c>
      <c r="E123" s="6" t="n"/>
    </row>
    <row r="124">
      <c r="A124" s="6" t="inlineStr">
        <is>
          <t>All American Mini Storage (R0099616 econ. unit) — Actual 2024</t>
        </is>
      </c>
      <c r="B124" s="25" t="inlineStr">
        <is>
          <t>Memo</t>
        </is>
      </c>
      <c r="C124" s="6" t="inlineStr">
        <is>
          <t>NOI incl. RE taxes (as expense)</t>
        </is>
      </c>
      <c r="D124" s="22" t="n">
        <v>446060</v>
      </c>
      <c r="E124" s="6" t="n"/>
    </row>
    <row r="125">
      <c r="A125" s="6" t="inlineStr">
        <is>
          <t>IN Self Storage-Fitzsimons (R0085523) — Actual 2023 P&amp;L</t>
        </is>
      </c>
      <c r="B125" s="25" t="inlineStr">
        <is>
          <t>Income</t>
        </is>
      </c>
      <c r="C125" s="6" t="inlineStr">
        <is>
          <t>Storage/Parking Rent</t>
        </is>
      </c>
      <c r="D125" s="22" t="n">
        <v>547455.6800000001</v>
      </c>
      <c r="E125" s="6" t="inlineStr">
        <is>
          <t>TOTAL INCOME (printed)</t>
        </is>
      </c>
    </row>
    <row r="126">
      <c r="A126" s="6" t="inlineStr">
        <is>
          <t>IN Self Storage-Fitzsimons (R0085523) — Actual 2023 P&amp;L</t>
        </is>
      </c>
      <c r="B126" s="25" t="inlineStr">
        <is>
          <t>Expense</t>
        </is>
      </c>
      <c r="C126" s="6" t="inlineStr">
        <is>
          <t>Property Taxes</t>
        </is>
      </c>
      <c r="D126" s="22" t="n">
        <v>170192.4</v>
      </c>
      <c r="E126" s="6" t="inlineStr">
        <is>
          <t>Included within TOTAL EXPENSE below</t>
        </is>
      </c>
    </row>
    <row r="127">
      <c r="A127" s="6" t="inlineStr">
        <is>
          <t>IN Self Storage-Fitzsimons (R0085523) — Actual 2023 P&amp;L</t>
        </is>
      </c>
      <c r="B127" s="25" t="inlineStr">
        <is>
          <t>Expense</t>
        </is>
      </c>
      <c r="C127" s="6" t="inlineStr">
        <is>
          <t>TOTAL EXPENSE (operating, cash basis, printed)</t>
        </is>
      </c>
      <c r="D127" s="22" t="n">
        <v>297826.34</v>
      </c>
      <c r="E127" s="6" t="inlineStr">
        <is>
          <t>Printed total; see Assessors Exhibit B for full line-item budget-vs-actual detail</t>
        </is>
      </c>
    </row>
    <row r="128">
      <c r="A128" s="6" t="inlineStr">
        <is>
          <t>IN Self Storage-Fitzsimons (R0085523) — Actual 2023 P&amp;L</t>
        </is>
      </c>
      <c r="B128" s="25" t="inlineStr">
        <is>
          <t>Memo</t>
        </is>
      </c>
      <c r="C128" s="6" t="inlineStr">
        <is>
          <t>Net Operating Income (operating)</t>
        </is>
      </c>
      <c r="D128" s="22" t="n">
        <v>249629.34</v>
      </c>
      <c r="E128" s="6" t="inlineStr">
        <is>
          <t>Printed total: Income − Total Expense</t>
        </is>
      </c>
    </row>
    <row r="129">
      <c r="A129" s="6" t="inlineStr">
        <is>
          <t>IN Self Storage-Fitzsimons (R0085523) — Actual 2023 P&amp;L</t>
        </is>
      </c>
      <c r="B129" s="25" t="inlineStr">
        <is>
          <t>Other Expense</t>
        </is>
      </c>
      <c r="C129" s="6" t="inlineStr">
        <is>
          <t>Debt Service - Interest Expense</t>
        </is>
      </c>
      <c r="D129" s="22" t="n">
        <v>117371.63</v>
      </c>
      <c r="E129" s="6" t="inlineStr">
        <is>
          <t>Non-operating; excluded from operating NOI above</t>
        </is>
      </c>
    </row>
    <row r="130">
      <c r="A130" s="6" t="inlineStr">
        <is>
          <t>IN Self Storage-Fitzsimons (R0085523) — Actual 2023 P&amp;L</t>
        </is>
      </c>
      <c r="B130" s="25" t="inlineStr">
        <is>
          <t>Memo</t>
        </is>
      </c>
      <c r="C130" s="6" t="inlineStr">
        <is>
          <t>Net Income (all-in, incl. debt service &amp; other)</t>
        </is>
      </c>
      <c r="D130" s="22" t="n">
        <v>131613.65</v>
      </c>
      <c r="E130" s="6" t="inlineStr">
        <is>
          <t>2024 figure includes a $99,000 member dividend distribution</t>
        </is>
      </c>
    </row>
    <row r="131">
      <c r="A131" s="6" t="inlineStr">
        <is>
          <t>IN Self Storage-Fitzsimons (R0085523) — Actual 2024 P&amp;L</t>
        </is>
      </c>
      <c r="B131" s="25" t="inlineStr">
        <is>
          <t>Income</t>
        </is>
      </c>
      <c r="C131" s="6" t="inlineStr">
        <is>
          <t>Storage/Parking Rent</t>
        </is>
      </c>
      <c r="D131" s="22" t="n">
        <v>532214.86</v>
      </c>
      <c r="E131" s="6" t="inlineStr">
        <is>
          <t>TOTAL INCOME (printed)</t>
        </is>
      </c>
    </row>
    <row r="132">
      <c r="A132" s="6" t="inlineStr">
        <is>
          <t>IN Self Storage-Fitzsimons (R0085523) — Actual 2024 P&amp;L</t>
        </is>
      </c>
      <c r="B132" s="25" t="inlineStr">
        <is>
          <t>Expense</t>
        </is>
      </c>
      <c r="C132" s="6" t="inlineStr">
        <is>
          <t>Property Taxes</t>
        </is>
      </c>
      <c r="D132" s="22" t="n">
        <v>209139.14</v>
      </c>
      <c r="E132" s="6" t="inlineStr">
        <is>
          <t>Included within TOTAL EXPENSE below</t>
        </is>
      </c>
    </row>
    <row r="133">
      <c r="A133" s="6" t="inlineStr">
        <is>
          <t>IN Self Storage-Fitzsimons (R0085523) — Actual 2024 P&amp;L</t>
        </is>
      </c>
      <c r="B133" s="25" t="inlineStr">
        <is>
          <t>Expense</t>
        </is>
      </c>
      <c r="C133" s="6" t="inlineStr">
        <is>
          <t>TOTAL EXPENSE (operating, cash basis, printed)</t>
        </is>
      </c>
      <c r="D133" s="22" t="n">
        <v>371033.04</v>
      </c>
      <c r="E133" s="6" t="inlineStr">
        <is>
          <t>Printed total; see Assessors Exhibit B for full line-item budget-vs-actual detail</t>
        </is>
      </c>
    </row>
    <row r="134">
      <c r="A134" s="6" t="inlineStr">
        <is>
          <t>IN Self Storage-Fitzsimons (R0085523) — Actual 2024 P&amp;L</t>
        </is>
      </c>
      <c r="B134" s="25" t="inlineStr">
        <is>
          <t>Memo</t>
        </is>
      </c>
      <c r="C134" s="6" t="inlineStr">
        <is>
          <t>Net Operating Income (operating)</t>
        </is>
      </c>
      <c r="D134" s="22" t="n">
        <v>161181.82</v>
      </c>
      <c r="E134" s="6" t="inlineStr">
        <is>
          <t>Printed total: Income − Total Expense</t>
        </is>
      </c>
    </row>
    <row r="135">
      <c r="A135" s="6" t="inlineStr">
        <is>
          <t>IN Self Storage-Fitzsimons (R0085523) — Actual 2024 P&amp;L</t>
        </is>
      </c>
      <c r="B135" s="25" t="inlineStr">
        <is>
          <t>Other Expense</t>
        </is>
      </c>
      <c r="C135" s="6" t="inlineStr">
        <is>
          <t>Debt Service - Interest Expense</t>
        </is>
      </c>
      <c r="D135" s="22" t="n">
        <v>115773.01</v>
      </c>
      <c r="E135" s="6" t="inlineStr">
        <is>
          <t>Non-operating; excluded from operating NOI above</t>
        </is>
      </c>
    </row>
    <row r="136">
      <c r="A136" s="6" t="inlineStr">
        <is>
          <t>IN Self Storage-Fitzsimons (R0085523) — Actual 2024 P&amp;L</t>
        </is>
      </c>
      <c r="B136" s="25" t="inlineStr">
        <is>
          <t>Memo</t>
        </is>
      </c>
      <c r="C136" s="6" t="inlineStr">
        <is>
          <t>Net Income (all-in, incl. debt service &amp; other)</t>
        </is>
      </c>
      <c r="D136" s="22" t="n">
        <v>-55489.94</v>
      </c>
      <c r="E136" s="6" t="inlineStr">
        <is>
          <t>2024 figure includes a $99,000 member dividend distribution</t>
        </is>
      </c>
    </row>
    <row r="137">
      <c r="A137" s="6" t="inlineStr">
        <is>
          <t>T &amp; G Pecos (R0071007) — Actual 2023 (Form 8825)</t>
        </is>
      </c>
      <c r="B137" s="25" t="inlineStr">
        <is>
          <t>Income</t>
        </is>
      </c>
      <c r="C137" s="6" t="inlineStr">
        <is>
          <t>Gross Rents</t>
        </is>
      </c>
      <c r="D137" s="22" t="n">
        <v>935082</v>
      </c>
      <c r="E137" s="6" t="n"/>
    </row>
    <row r="138">
      <c r="A138" s="6" t="inlineStr">
        <is>
          <t>T &amp; G Pecos (R0071007) — Actual 2023 (Form 8825)</t>
        </is>
      </c>
      <c r="B138" s="25" t="inlineStr">
        <is>
          <t>Income</t>
        </is>
      </c>
      <c r="C138" s="6" t="inlineStr">
        <is>
          <t>TOTAL INCOME</t>
        </is>
      </c>
      <c r="D138" s="22">
        <f>SUM(D137:D137)</f>
        <v/>
      </c>
      <c r="E138" s="6" t="inlineStr">
        <is>
          <t>Printed: line 2/18a, $935,082</t>
        </is>
      </c>
    </row>
    <row r="139">
      <c r="A139" s="6" t="inlineStr">
        <is>
          <t>T &amp; G Pecos (R0071007) — Actual 2023 (Form 8825)</t>
        </is>
      </c>
      <c r="B139" s="25" t="inlineStr">
        <is>
          <t>Expense</t>
        </is>
      </c>
      <c r="C139" s="6" t="inlineStr">
        <is>
          <t>Auto and Travel</t>
        </is>
      </c>
      <c r="D139" s="22" t="n">
        <v>3588</v>
      </c>
      <c r="E139" s="6" t="n"/>
    </row>
    <row r="140">
      <c r="A140" s="6" t="inlineStr">
        <is>
          <t>T &amp; G Pecos (R0071007) — Actual 2023 (Form 8825)</t>
        </is>
      </c>
      <c r="B140" s="25" t="inlineStr">
        <is>
          <t>Expense</t>
        </is>
      </c>
      <c r="C140" s="6" t="inlineStr">
        <is>
          <t>Insurance</t>
        </is>
      </c>
      <c r="D140" s="22" t="n">
        <v>21671</v>
      </c>
      <c r="E140" s="6" t="n"/>
    </row>
    <row r="141">
      <c r="A141" s="6" t="inlineStr">
        <is>
          <t>T &amp; G Pecos (R0071007) — Actual 2023 (Form 8825)</t>
        </is>
      </c>
      <c r="B141" s="25" t="inlineStr">
        <is>
          <t>Expense</t>
        </is>
      </c>
      <c r="C141" s="6" t="inlineStr">
        <is>
          <t>Legal and Other Professional Fees</t>
        </is>
      </c>
      <c r="D141" s="22" t="n">
        <v>6765</v>
      </c>
      <c r="E141" s="6" t="n"/>
    </row>
    <row r="142">
      <c r="A142" s="6" t="inlineStr">
        <is>
          <t>T &amp; G Pecos (R0071007) — Actual 2023 (Form 8825)</t>
        </is>
      </c>
      <c r="B142" s="25" t="inlineStr">
        <is>
          <t>Expense</t>
        </is>
      </c>
      <c r="C142" s="6" t="inlineStr">
        <is>
          <t>Interest</t>
        </is>
      </c>
      <c r="D142" s="22" t="n">
        <v>62821</v>
      </c>
      <c r="E142" s="6" t="n"/>
    </row>
    <row r="143">
      <c r="A143" s="6" t="inlineStr">
        <is>
          <t>T &amp; G Pecos (R0071007) — Actual 2023 (Form 8825)</t>
        </is>
      </c>
      <c r="B143" s="25" t="inlineStr">
        <is>
          <t>Expense</t>
        </is>
      </c>
      <c r="C143" s="6" t="inlineStr">
        <is>
          <t>Repairs</t>
        </is>
      </c>
      <c r="D143" s="22" t="n">
        <v>87815</v>
      </c>
      <c r="E143" s="6" t="n"/>
    </row>
    <row r="144">
      <c r="A144" s="6" t="inlineStr">
        <is>
          <t>T &amp; G Pecos (R0071007) — Actual 2023 (Form 8825)</t>
        </is>
      </c>
      <c r="B144" s="25" t="inlineStr">
        <is>
          <t>Expense</t>
        </is>
      </c>
      <c r="C144" s="6" t="inlineStr">
        <is>
          <t>Taxes</t>
        </is>
      </c>
      <c r="D144" s="22" t="n">
        <v>200426</v>
      </c>
      <c r="E144" s="6" t="n"/>
    </row>
    <row r="145">
      <c r="A145" s="6" t="inlineStr">
        <is>
          <t>T &amp; G Pecos (R0071007) — Actual 2023 (Form 8825)</t>
        </is>
      </c>
      <c r="B145" s="25" t="inlineStr">
        <is>
          <t>Expense</t>
        </is>
      </c>
      <c r="C145" s="6" t="inlineStr">
        <is>
          <t>Utilities</t>
        </is>
      </c>
      <c r="D145" s="22" t="n">
        <v>20371</v>
      </c>
      <c r="E145" s="6" t="n"/>
    </row>
    <row r="146">
      <c r="A146" s="6" t="inlineStr">
        <is>
          <t>T &amp; G Pecos (R0071007) — Actual 2023 (Form 8825)</t>
        </is>
      </c>
      <c r="B146" s="25" t="inlineStr">
        <is>
          <t>Expense</t>
        </is>
      </c>
      <c r="C146" s="6" t="inlineStr">
        <is>
          <t>Depreciation</t>
        </is>
      </c>
      <c r="D146" s="22" t="n">
        <v>212896</v>
      </c>
      <c r="E146" s="6" t="n"/>
    </row>
    <row r="147">
      <c r="A147" s="6" t="inlineStr">
        <is>
          <t>T &amp; G Pecos (R0071007) — Actual 2023 (Form 8825)</t>
        </is>
      </c>
      <c r="B147" s="25" t="inlineStr">
        <is>
          <t>Expense</t>
        </is>
      </c>
      <c r="C147" s="6" t="inlineStr">
        <is>
          <t>Other (Statement 6)</t>
        </is>
      </c>
      <c r="D147" s="22" t="n">
        <v>85735</v>
      </c>
      <c r="E147" s="6" t="n"/>
    </row>
    <row r="148">
      <c r="A148" s="6" t="inlineStr">
        <is>
          <t>T &amp; G Pecos (R0071007) — Actual 2023 (Form 8825)</t>
        </is>
      </c>
      <c r="B148" s="25" t="inlineStr">
        <is>
          <t>Expense</t>
        </is>
      </c>
      <c r="C148" s="6" t="inlineStr">
        <is>
          <t>TOTAL EXPENSE</t>
        </is>
      </c>
      <c r="D148" s="22">
        <f>SUM(D139:D147)</f>
        <v/>
      </c>
      <c r="E148" s="6" t="inlineStr">
        <is>
          <t>Printed: line 16/18b, $702,088</t>
        </is>
      </c>
    </row>
    <row r="149">
      <c r="A149" s="6" t="inlineStr">
        <is>
          <t>T &amp; G Pecos (R0071007) — Actual 2023 (Form 8825)</t>
        </is>
      </c>
      <c r="B149" s="25" t="inlineStr">
        <is>
          <t>Memo</t>
        </is>
      </c>
      <c r="C149" s="6" t="inlineStr">
        <is>
          <t>Income (Loss) from property (line 17)</t>
        </is>
      </c>
      <c r="D149" s="22" t="n">
        <v>232994</v>
      </c>
      <c r="E149" s="6" t="n"/>
    </row>
    <row r="150">
      <c r="A150" s="6" t="inlineStr">
        <is>
          <t>T &amp; G Pecos (R0071007) — Actual 2023 (Form 8825)</t>
        </is>
      </c>
      <c r="B150" s="25" t="inlineStr">
        <is>
          <t>Memo</t>
        </is>
      </c>
      <c r="C150" s="6" t="inlineStr">
        <is>
          <t>Net gain on disposition of property (Form 4797, line 19)</t>
        </is>
      </c>
      <c r="D150" s="22" t="n">
        <v>41025</v>
      </c>
      <c r="E150" s="6" t="n"/>
    </row>
    <row r="151">
      <c r="A151" s="6" t="inlineStr">
        <is>
          <t>T &amp; G Pecos (R0071007) — Actual 2023 (Form 8825)</t>
        </is>
      </c>
      <c r="B151" s="25" t="inlineStr">
        <is>
          <t>Memo</t>
        </is>
      </c>
      <c r="C151" s="6" t="inlineStr">
        <is>
          <t>Net Rental Real Estate Income (line 21)</t>
        </is>
      </c>
      <c r="D151" s="22" t="n">
        <v>274019</v>
      </c>
      <c r="E151" s="6" t="inlineStr">
        <is>
          <t>Line 17 + line 19</t>
        </is>
      </c>
    </row>
    <row r="152">
      <c r="A152" s="6" t="inlineStr">
        <is>
          <t>T &amp; G Pecos (R0071007) — Actual 2024 (Form 8825)</t>
        </is>
      </c>
      <c r="B152" s="25" t="inlineStr">
        <is>
          <t>Income</t>
        </is>
      </c>
      <c r="C152" s="6" t="inlineStr">
        <is>
          <t>Gross Rents</t>
        </is>
      </c>
      <c r="D152" s="22" t="n">
        <v>1017616</v>
      </c>
      <c r="E152" s="6" t="n"/>
    </row>
    <row r="153">
      <c r="A153" s="6" t="inlineStr">
        <is>
          <t>T &amp; G Pecos (R0071007) — Actual 2024 (Form 8825)</t>
        </is>
      </c>
      <c r="B153" s="25" t="inlineStr">
        <is>
          <t>Income</t>
        </is>
      </c>
      <c r="C153" s="6" t="inlineStr">
        <is>
          <t>TOTAL INCOME</t>
        </is>
      </c>
      <c r="D153" s="22">
        <f>SUM(D152:D152)</f>
        <v/>
      </c>
      <c r="E153" s="6" t="inlineStr">
        <is>
          <t>Printed: line 2/18a, $1,017,616</t>
        </is>
      </c>
    </row>
    <row r="154">
      <c r="A154" s="6" t="inlineStr">
        <is>
          <t>T &amp; G Pecos (R0071007) — Actual 2024 (Form 8825)</t>
        </is>
      </c>
      <c r="B154" s="25" t="inlineStr">
        <is>
          <t>Expense</t>
        </is>
      </c>
      <c r="C154" s="6" t="inlineStr">
        <is>
          <t>Auto and Travel</t>
        </is>
      </c>
      <c r="D154" s="22" t="n">
        <v>13496</v>
      </c>
      <c r="E154" s="6" t="n"/>
    </row>
    <row r="155">
      <c r="A155" s="6" t="inlineStr">
        <is>
          <t>T &amp; G Pecos (R0071007) — Actual 2024 (Form 8825)</t>
        </is>
      </c>
      <c r="B155" s="25" t="inlineStr">
        <is>
          <t>Expense</t>
        </is>
      </c>
      <c r="C155" s="6" t="inlineStr">
        <is>
          <t>Insurance</t>
        </is>
      </c>
      <c r="D155" s="22" t="n">
        <v>23693</v>
      </c>
      <c r="E155" s="6" t="n"/>
    </row>
    <row r="156">
      <c r="A156" s="6" t="inlineStr">
        <is>
          <t>T &amp; G Pecos (R0071007) — Actual 2024 (Form 8825)</t>
        </is>
      </c>
      <c r="B156" s="25" t="inlineStr">
        <is>
          <t>Expense</t>
        </is>
      </c>
      <c r="C156" s="6" t="inlineStr">
        <is>
          <t>Legal and Other Professional Fees</t>
        </is>
      </c>
      <c r="D156" s="22" t="n">
        <v>47773</v>
      </c>
      <c r="E156" s="6" t="n"/>
    </row>
    <row r="157">
      <c r="A157" s="6" t="inlineStr">
        <is>
          <t>T &amp; G Pecos (R0071007) — Actual 2024 (Form 8825)</t>
        </is>
      </c>
      <c r="B157" s="25" t="inlineStr">
        <is>
          <t>Expense</t>
        </is>
      </c>
      <c r="C157" s="6" t="inlineStr">
        <is>
          <t>Interest</t>
        </is>
      </c>
      <c r="D157" s="22" t="n">
        <v>60966</v>
      </c>
      <c r="E157" s="6" t="n"/>
    </row>
    <row r="158">
      <c r="A158" s="6" t="inlineStr">
        <is>
          <t>T &amp; G Pecos (R0071007) — Actual 2024 (Form 8825)</t>
        </is>
      </c>
      <c r="B158" s="25" t="inlineStr">
        <is>
          <t>Expense</t>
        </is>
      </c>
      <c r="C158" s="6" t="inlineStr">
        <is>
          <t>Repairs</t>
        </is>
      </c>
      <c r="D158" s="22" t="n">
        <v>113242</v>
      </c>
      <c r="E158" s="6" t="n"/>
    </row>
    <row r="159">
      <c r="A159" s="6" t="inlineStr">
        <is>
          <t>T &amp; G Pecos (R0071007) — Actual 2024 (Form 8825)</t>
        </is>
      </c>
      <c r="B159" s="25" t="inlineStr">
        <is>
          <t>Expense</t>
        </is>
      </c>
      <c r="C159" s="6" t="inlineStr">
        <is>
          <t>Taxes</t>
        </is>
      </c>
      <c r="D159" s="22" t="n">
        <v>225388</v>
      </c>
      <c r="E159" s="6" t="n"/>
    </row>
    <row r="160">
      <c r="A160" s="6" t="inlineStr">
        <is>
          <t>T &amp; G Pecos (R0071007) — Actual 2024 (Form 8825)</t>
        </is>
      </c>
      <c r="B160" s="25" t="inlineStr">
        <is>
          <t>Expense</t>
        </is>
      </c>
      <c r="C160" s="6" t="inlineStr">
        <is>
          <t>Utilities</t>
        </is>
      </c>
      <c r="D160" s="22" t="n">
        <v>15631</v>
      </c>
      <c r="E160" s="6" t="n"/>
    </row>
    <row r="161">
      <c r="A161" s="6" t="inlineStr">
        <is>
          <t>T &amp; G Pecos (R0071007) — Actual 2024 (Form 8825)</t>
        </is>
      </c>
      <c r="B161" s="25" t="inlineStr">
        <is>
          <t>Expense</t>
        </is>
      </c>
      <c r="C161" s="6" t="inlineStr">
        <is>
          <t>Depreciation</t>
        </is>
      </c>
      <c r="D161" s="22" t="n">
        <v>164163</v>
      </c>
      <c r="E161" s="6" t="n"/>
    </row>
    <row r="162">
      <c r="A162" s="6" t="inlineStr">
        <is>
          <t>T &amp; G Pecos (R0071007) — Actual 2024 (Form 8825)</t>
        </is>
      </c>
      <c r="B162" s="25" t="inlineStr">
        <is>
          <t>Expense</t>
        </is>
      </c>
      <c r="C162" s="6" t="inlineStr">
        <is>
          <t>Other (Statement 5)</t>
        </is>
      </c>
      <c r="D162" s="22" t="n">
        <v>79657</v>
      </c>
      <c r="E162" s="6" t="n"/>
    </row>
    <row r="163">
      <c r="A163" s="6" t="inlineStr">
        <is>
          <t>T &amp; G Pecos (R0071007) — Actual 2024 (Form 8825)</t>
        </is>
      </c>
      <c r="B163" s="25" t="inlineStr">
        <is>
          <t>Expense</t>
        </is>
      </c>
      <c r="C163" s="6" t="inlineStr">
        <is>
          <t>TOTAL EXPENSE</t>
        </is>
      </c>
      <c r="D163" s="22">
        <f>SUM(D154:D162)</f>
        <v/>
      </c>
      <c r="E163" s="6" t="inlineStr">
        <is>
          <t>Printed: line 16/18b, $744,009</t>
        </is>
      </c>
    </row>
    <row r="164">
      <c r="A164" s="6" t="inlineStr">
        <is>
          <t>T &amp; G Pecos (R0071007) — Actual 2024 (Form 8825)</t>
        </is>
      </c>
      <c r="B164" s="25" t="inlineStr">
        <is>
          <t>Memo</t>
        </is>
      </c>
      <c r="C164" s="6" t="inlineStr">
        <is>
          <t>Net Rental Real Estate Income (line 17 = line 21)</t>
        </is>
      </c>
      <c r="D164" s="22" t="n">
        <v>273607</v>
      </c>
      <c r="E164" s="6" t="inlineStr">
        <is>
          <t>No disposition gain in 2024</t>
        </is>
      </c>
    </row>
    <row r="165">
      <c r="A165" s="6" t="inlineStr">
        <is>
          <t>8700 Devonshire Storage (R0055143) — Actual 2024</t>
        </is>
      </c>
      <c r="B165" s="25" t="inlineStr">
        <is>
          <t>Income</t>
        </is>
      </c>
      <c r="C165" s="6" t="inlineStr">
        <is>
          <t>TOTAL INCOME (Actual Revenue)</t>
        </is>
      </c>
      <c r="D165" s="22" t="n">
        <v>372108</v>
      </c>
      <c r="E165" s="6" t="inlineStr">
        <is>
          <t>Per 36-Month Activity Summary; not itemized (see notes on 26-month rolling statement legibility)</t>
        </is>
      </c>
    </row>
    <row r="166">
      <c r="A166" s="6" t="inlineStr">
        <is>
          <t>8700 Devonshire Storage (R0055143) — Actual 2024</t>
        </is>
      </c>
      <c r="B166" s="25" t="inlineStr">
        <is>
          <t>Expense</t>
        </is>
      </c>
      <c r="C166" s="6" t="inlineStr">
        <is>
          <t>TOTAL EXPENSE (operating, summed from monthly rolling statement)</t>
        </is>
      </c>
      <c r="D166" s="22" t="n">
        <v>174922</v>
      </c>
      <c r="E166" s="6" t="inlineStr">
        <is>
          <t>Sum of Jan-Dec 2024 "Total Expense" row; approximate, dense rotated-scan table</t>
        </is>
      </c>
    </row>
    <row r="167">
      <c r="A167" s="6" t="inlineStr">
        <is>
          <t>8700 Devonshire Storage (R0055143) — Actual 2024</t>
        </is>
      </c>
      <c r="B167" s="25" t="inlineStr">
        <is>
          <t>Memo</t>
        </is>
      </c>
      <c r="C167" s="6" t="inlineStr">
        <is>
          <t>Net Operating Income (derived: Income - Expense)</t>
        </is>
      </c>
      <c r="D167" s="22">
        <f>D165-D166</f>
        <v/>
      </c>
      <c r="E167" s="6" t="n"/>
    </row>
    <row r="168">
      <c r="A168" s="6" t="inlineStr">
        <is>
          <t>8700 Devonshire Storage (R0055143) — Actual 2024</t>
        </is>
      </c>
      <c r="B168" s="25" t="inlineStr">
        <is>
          <t>Other Expense</t>
        </is>
      </c>
      <c r="C168" s="6" t="inlineStr">
        <is>
          <t>Debt service, capex &amp; corporate items (net, derived: NOI - NET PROFIT/(LOSS))</t>
        </is>
      </c>
      <c r="D168" s="22" t="n">
        <v>243385</v>
      </c>
      <c r="E168" s="6" t="inlineStr">
        <is>
          <t>Derived from the "8700 Devonshire Storage LLC" block below the operating P&amp;L (loan interest/principal, property tax escrow, capitalized asphalt/sign/paint projects net of lender credits); not itemized here</t>
        </is>
      </c>
    </row>
    <row r="169">
      <c r="A169" s="6" t="inlineStr">
        <is>
          <t>8700 Devonshire Storage (R0055143) — Actual 2024</t>
        </is>
      </c>
      <c r="B169" s="25" t="inlineStr">
        <is>
          <t>Memo</t>
        </is>
      </c>
      <c r="C169" s="6" t="inlineStr">
        <is>
          <t>NET PROFIT/(LOSS) after debt service &amp; capex (summed Jan-Dec 2024)</t>
        </is>
      </c>
      <c r="D169" s="22" t="n">
        <v>-46199</v>
      </c>
      <c r="E169" s="6" t="inlineStr">
        <is>
          <t>Includes a $182,832 one-time capitalized asphalt project in Apr-2024 and offsetting lender credits</t>
        </is>
      </c>
    </row>
    <row r="170">
      <c r="A170" s="6" t="inlineStr">
        <is>
          <t>8700 Devonshire Storage (R0055143) — Actual Aug-Dec 2023 (partial yr)</t>
        </is>
      </c>
      <c r="B170" s="25" t="inlineStr">
        <is>
          <t>Income</t>
        </is>
      </c>
      <c r="C170" s="6" t="inlineStr">
        <is>
          <t>TOTAL INCOME (Actual Revenue)</t>
        </is>
      </c>
      <c r="D170" s="22" t="n">
        <v>132003</v>
      </c>
      <c r="E170" s="6" t="inlineStr">
        <is>
          <t>Per 36-Month Activity Summary; data begins Aug-2023</t>
        </is>
      </c>
    </row>
    <row r="171">
      <c r="A171" s="6" t="inlineStr">
        <is>
          <t>8700 Devonshire Storage (R0055143) — Actual Aug-Dec 2023 (partial yr)</t>
        </is>
      </c>
      <c r="B171" s="25" t="inlineStr">
        <is>
          <t>Expense</t>
        </is>
      </c>
      <c r="C171" s="6" t="inlineStr">
        <is>
          <t>TOTAL EXPENSE (operating, summed Aug-Dec 2023)</t>
        </is>
      </c>
      <c r="D171" s="22" t="n">
        <v>58888</v>
      </c>
      <c r="E171" s="6" t="inlineStr">
        <is>
          <t>Sum of Aug-Dec 2023 "Total Expense" row</t>
        </is>
      </c>
    </row>
    <row r="172">
      <c r="A172" s="6" t="inlineStr">
        <is>
          <t>8700 Devonshire Storage (R0055143) — Actual Aug-Dec 2023 (partial yr)</t>
        </is>
      </c>
      <c r="B172" s="25" t="inlineStr">
        <is>
          <t>Memo</t>
        </is>
      </c>
      <c r="C172" s="6" t="inlineStr">
        <is>
          <t>Net Operating Income (derived)</t>
        </is>
      </c>
      <c r="D172" s="22">
        <f>D170-D171</f>
        <v/>
      </c>
      <c r="E172" s="6" t="n"/>
    </row>
    <row r="173">
      <c r="A173" s="6" t="inlineStr">
        <is>
          <t>Public Storage #08214 (R0043569) — Actual FY2024</t>
        </is>
      </c>
      <c r="B173" s="25" t="inlineStr">
        <is>
          <t>Income</t>
        </is>
      </c>
      <c r="C173" s="6" t="inlineStr">
        <is>
          <t>Rental Revenues - Self-Storage</t>
        </is>
      </c>
      <c r="D173" s="22" t="n">
        <v>685146</v>
      </c>
      <c r="E173" s="6" t="n"/>
    </row>
    <row r="174">
      <c r="A174" s="6" t="inlineStr">
        <is>
          <t>Public Storage #08214 (R0043569) — Actual FY2024</t>
        </is>
      </c>
      <c r="B174" s="25" t="inlineStr">
        <is>
          <t>Income</t>
        </is>
      </c>
      <c r="C174" s="6" t="inlineStr">
        <is>
          <t>Late, Lien, and Admin Fees</t>
        </is>
      </c>
      <c r="D174" s="22" t="n">
        <v>30919</v>
      </c>
      <c r="E174" s="6" t="n"/>
    </row>
    <row r="175">
      <c r="A175" s="6" t="inlineStr">
        <is>
          <t>Public Storage #08214 (R0043569) — Actual FY2024</t>
        </is>
      </c>
      <c r="B175" s="25" t="inlineStr">
        <is>
          <t>Income</t>
        </is>
      </c>
      <c r="C175" s="6" t="inlineStr">
        <is>
          <t>Rental Revenues - Commercial</t>
        </is>
      </c>
      <c r="D175" s="22" t="n">
        <v>0</v>
      </c>
      <c r="E175" s="6" t="n"/>
    </row>
    <row r="176">
      <c r="A176" s="6" t="inlineStr">
        <is>
          <t>Public Storage #08214 (R0043569) — Actual FY2024</t>
        </is>
      </c>
      <c r="B176" s="25" t="inlineStr">
        <is>
          <t>Income</t>
        </is>
      </c>
      <c r="C176" s="6" t="inlineStr">
        <is>
          <t>TOTAL REVENUES</t>
        </is>
      </c>
      <c r="D176" s="22">
        <f>SUM(D173:D175)</f>
        <v/>
      </c>
      <c r="E176" s="6" t="inlineStr">
        <is>
          <t>Printed FY2024 total: $716,065</t>
        </is>
      </c>
    </row>
    <row r="177">
      <c r="A177" s="6" t="inlineStr">
        <is>
          <t>Public Storage #08214 (R0043569) — Actual FY2024</t>
        </is>
      </c>
      <c r="B177" s="25" t="inlineStr">
        <is>
          <t>Expense</t>
        </is>
      </c>
      <c r="C177" s="6" t="inlineStr">
        <is>
          <t>Property Taxes</t>
        </is>
      </c>
      <c r="D177" s="22" t="n">
        <v>176524</v>
      </c>
      <c r="E177" s="6" t="n"/>
    </row>
    <row r="178">
      <c r="A178" s="6" t="inlineStr">
        <is>
          <t>Public Storage #08214 (R0043569) — Actual FY2024</t>
        </is>
      </c>
      <c r="B178" s="25" t="inlineStr">
        <is>
          <t>Expense</t>
        </is>
      </c>
      <c r="C178" s="6" t="inlineStr">
        <is>
          <t>On Site Property Manager Payroll</t>
        </is>
      </c>
      <c r="D178" s="22" t="n">
        <v>51011</v>
      </c>
      <c r="E178" s="6" t="n"/>
    </row>
    <row r="179">
      <c r="A179" s="6" t="inlineStr">
        <is>
          <t>Public Storage #08214 (R0043569) — Actual FY2024</t>
        </is>
      </c>
      <c r="B179" s="25" t="inlineStr">
        <is>
          <t>Expense</t>
        </is>
      </c>
      <c r="C179" s="6" t="inlineStr">
        <is>
          <t>Repair and Maintenance</t>
        </is>
      </c>
      <c r="D179" s="22" t="n">
        <v>11768</v>
      </c>
      <c r="E179" s="6" t="n"/>
    </row>
    <row r="180">
      <c r="A180" s="6" t="inlineStr">
        <is>
          <t>Public Storage #08214 (R0043569) — Actual FY2024</t>
        </is>
      </c>
      <c r="B180" s="25" t="inlineStr">
        <is>
          <t>Expense</t>
        </is>
      </c>
      <c r="C180" s="6" t="inlineStr">
        <is>
          <t>Utilities</t>
        </is>
      </c>
      <c r="D180" s="22" t="n">
        <v>5417</v>
      </c>
      <c r="E180" s="6" t="n"/>
    </row>
    <row r="181">
      <c r="A181" s="6" t="inlineStr">
        <is>
          <t>Public Storage #08214 (R0043569) — Actual FY2024</t>
        </is>
      </c>
      <c r="B181" s="25" t="inlineStr">
        <is>
          <t>Expense</t>
        </is>
      </c>
      <c r="C181" s="6" t="inlineStr">
        <is>
          <t>Marketing Expense</t>
        </is>
      </c>
      <c r="D181" s="22" t="n">
        <v>23871</v>
      </c>
      <c r="E181" s="6" t="n"/>
    </row>
    <row r="182">
      <c r="A182" s="6" t="inlineStr">
        <is>
          <t>Public Storage #08214 (R0043569) — Actual FY2024</t>
        </is>
      </c>
      <c r="B182" s="25" t="inlineStr">
        <is>
          <t>Expense</t>
        </is>
      </c>
      <c r="C182" s="6" t="inlineStr">
        <is>
          <t>Other Direct Property Costs</t>
        </is>
      </c>
      <c r="D182" s="22" t="n">
        <v>19037</v>
      </c>
      <c r="E182" s="6" t="n"/>
    </row>
    <row r="183">
      <c r="A183" s="6" t="inlineStr">
        <is>
          <t>Public Storage #08214 (R0043569) — Actual FY2024</t>
        </is>
      </c>
      <c r="B183" s="25" t="inlineStr">
        <is>
          <t>Expense</t>
        </is>
      </c>
      <c r="C183" s="6" t="inlineStr">
        <is>
          <t>Supervisory Payroll &amp; Expenses</t>
        </is>
      </c>
      <c r="D183" s="22" t="n">
        <v>8821</v>
      </c>
      <c r="E183" s="6" t="n"/>
    </row>
    <row r="184">
      <c r="A184" s="6" t="inlineStr">
        <is>
          <t>Public Storage #08214 (R0043569) — Actual FY2024</t>
        </is>
      </c>
      <c r="B184" s="25" t="inlineStr">
        <is>
          <t>Expense</t>
        </is>
      </c>
      <c r="C184" s="6" t="inlineStr">
        <is>
          <t>Allocated Overhead</t>
        </is>
      </c>
      <c r="D184" s="22" t="n">
        <v>25902</v>
      </c>
      <c r="E184" s="6" t="n"/>
    </row>
    <row r="185">
      <c r="A185" s="6" t="inlineStr">
        <is>
          <t>Public Storage #08214 (R0043569) — Actual FY2024</t>
        </is>
      </c>
      <c r="B185" s="25" t="inlineStr">
        <is>
          <t>Expense</t>
        </is>
      </c>
      <c r="C185" s="6" t="inlineStr">
        <is>
          <t>Management Fees</t>
        </is>
      </c>
      <c r="D185" s="22" t="n">
        <v>42964</v>
      </c>
      <c r="E185" s="6" t="n"/>
    </row>
    <row r="186">
      <c r="A186" s="6" t="inlineStr">
        <is>
          <t>Public Storage #08214 (R0043569) — Actual FY2024</t>
        </is>
      </c>
      <c r="B186" s="25" t="inlineStr">
        <is>
          <t>Expense</t>
        </is>
      </c>
      <c r="C186" s="6" t="inlineStr">
        <is>
          <t>TOTAL EXPENSES</t>
        </is>
      </c>
      <c r="D186" s="22" t="n">
        <v>365314</v>
      </c>
      <c r="E186" s="6" t="inlineStr">
        <is>
          <t>Sum of listed categories is $365,315 (off $1 vs. printed $365,314) due to source rounding; printed total used</t>
        </is>
      </c>
    </row>
    <row r="187">
      <c r="A187" s="6" t="inlineStr">
        <is>
          <t>Public Storage #08214 (R0043569) — Actual FY2024</t>
        </is>
      </c>
      <c r="B187" s="25" t="inlineStr">
        <is>
          <t>Memo</t>
        </is>
      </c>
      <c r="C187" s="6" t="inlineStr">
        <is>
          <t>Net Operating Income (printed)</t>
        </is>
      </c>
      <c r="D187" s="22" t="n">
        <v>350751</v>
      </c>
      <c r="E187" s="6" t="n"/>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4"/>
  <sheetViews>
    <sheetView workbookViewId="0">
      <pane ySplit="4" topLeftCell="A5" activePane="bottomLeft" state="frozen"/>
      <selection pane="bottomLeft" activeCell="A1" sqref="A1"/>
    </sheetView>
  </sheetViews>
  <sheetFormatPr baseColWidth="8" defaultRowHeight="15"/>
  <cols>
    <col width="26" customWidth="1" min="1" max="1"/>
    <col width="18" customWidth="1" min="2" max="2"/>
    <col width="22" customWidth="1" min="3" max="3"/>
    <col width="18" customWidth="1" min="4" max="4"/>
    <col width="8" customWidth="1" min="5" max="5"/>
  </cols>
  <sheetData>
    <row r="1" ht="26" customHeight="1">
      <c r="A1" s="1" t="inlineStr">
        <is>
          <t>RELATED PARCELS</t>
        </is>
      </c>
    </row>
    <row r="2" ht="14" customHeight="1">
      <c r="A2" s="2" t="inlineStr">
        <is>
          <t>North Side Gardens LLC portfolio — parcel schedule attached to the 7205 Gilpin Way (R0178308) appeal</t>
        </is>
      </c>
    </row>
    <row r="4" ht="28" customHeight="1">
      <c r="A4" s="4" t="inlineStr">
        <is>
          <t>Assessee</t>
        </is>
      </c>
      <c r="B4" s="4" t="inlineStr">
        <is>
          <t>Account Number</t>
        </is>
      </c>
      <c r="C4" s="4" t="inlineStr">
        <is>
          <t>Address</t>
        </is>
      </c>
      <c r="D4" s="4" t="inlineStr">
        <is>
          <t>County</t>
        </is>
      </c>
      <c r="E4" s="4" t="inlineStr">
        <is>
          <t>State</t>
        </is>
      </c>
    </row>
    <row r="5">
      <c r="A5" s="6" t="inlineStr">
        <is>
          <t>North Side Gardens LLC</t>
        </is>
      </c>
      <c r="B5" s="5" t="inlineStr">
        <is>
          <t>R0174928</t>
        </is>
      </c>
      <c r="C5" s="6" t="inlineStr">
        <is>
          <t>7285 Gilpin Way</t>
        </is>
      </c>
      <c r="D5" s="5" t="inlineStr">
        <is>
          <t>Adams County</t>
        </is>
      </c>
      <c r="E5" s="5" t="inlineStr">
        <is>
          <t>CO</t>
        </is>
      </c>
    </row>
    <row r="6">
      <c r="A6" s="12" t="inlineStr">
        <is>
          <t>North Side Gardens LLC</t>
        </is>
      </c>
      <c r="B6" s="24" t="inlineStr">
        <is>
          <t>R0178308</t>
        </is>
      </c>
      <c r="C6" s="12" t="inlineStr">
        <is>
          <t>7205 Gilpin Way</t>
        </is>
      </c>
      <c r="D6" s="24" t="inlineStr">
        <is>
          <t>Adams County</t>
        </is>
      </c>
      <c r="E6" s="24" t="inlineStr">
        <is>
          <t>CO</t>
        </is>
      </c>
    </row>
    <row r="7">
      <c r="A7" s="6" t="inlineStr">
        <is>
          <t>North Side Gardens LLC</t>
        </is>
      </c>
      <c r="B7" s="5" t="inlineStr">
        <is>
          <t>R0189058</t>
        </is>
      </c>
      <c r="C7" s="6" t="inlineStr">
        <is>
          <t>7230 Gilpin Way</t>
        </is>
      </c>
      <c r="D7" s="5" t="inlineStr">
        <is>
          <t>Adams County</t>
        </is>
      </c>
      <c r="E7" s="5" t="inlineStr">
        <is>
          <t>CO</t>
        </is>
      </c>
    </row>
    <row r="8">
      <c r="A8" s="6" t="inlineStr">
        <is>
          <t>North Side Gardens LLC</t>
        </is>
      </c>
      <c r="B8" s="5" t="inlineStr">
        <is>
          <t>R0174929</t>
        </is>
      </c>
      <c r="C8" s="6" t="inlineStr">
        <is>
          <t>7245 Gilpin Way</t>
        </is>
      </c>
      <c r="D8" s="5" t="inlineStr">
        <is>
          <t>Adams County</t>
        </is>
      </c>
      <c r="E8" s="5" t="inlineStr">
        <is>
          <t>CO</t>
        </is>
      </c>
    </row>
    <row r="9">
      <c r="A9" s="6" t="inlineStr">
        <is>
          <t>Kekake Hale LLC</t>
        </is>
      </c>
      <c r="B9" s="5" t="inlineStr">
        <is>
          <t>R0099616</t>
        </is>
      </c>
      <c r="C9" s="6" t="inlineStr">
        <is>
          <t>1777 W 68th Ave (Lot 1) — primary appeal subject</t>
        </is>
      </c>
      <c r="D9" s="5" t="inlineStr">
        <is>
          <t>Adams County</t>
        </is>
      </c>
      <c r="E9" s="5" t="inlineStr">
        <is>
          <t>CO</t>
        </is>
      </c>
    </row>
    <row r="10" ht="28" customHeight="1">
      <c r="A10" s="6" t="inlineStr">
        <is>
          <t>Kekake Hale LLC</t>
        </is>
      </c>
      <c r="B10" s="5" t="inlineStr">
        <is>
          <t>R0099615</t>
        </is>
      </c>
      <c r="C10" s="6" t="inlineStr">
        <is>
          <t>1777 W 68th Ave (Lot 4)</t>
        </is>
      </c>
      <c r="D10" s="5" t="inlineStr">
        <is>
          <t>Adams County</t>
        </is>
      </c>
      <c r="E10" s="5" t="inlineStr">
        <is>
          <t>CO</t>
        </is>
      </c>
    </row>
    <row r="11">
      <c r="A11" s="6" t="inlineStr">
        <is>
          <t>Kekake Hale LLC</t>
        </is>
      </c>
      <c r="B11" s="5" t="inlineStr">
        <is>
          <t>R0099617</t>
        </is>
      </c>
      <c r="C11" s="6" t="inlineStr">
        <is>
          <t>1777 W 68th Ave (Lot 3)</t>
        </is>
      </c>
      <c r="D11" s="5" t="inlineStr">
        <is>
          <t>Adams County</t>
        </is>
      </c>
      <c r="E11" s="5" t="inlineStr">
        <is>
          <t>CO</t>
        </is>
      </c>
    </row>
    <row r="12">
      <c r="A12" s="6" t="inlineStr">
        <is>
          <t>Kekake Hale LLC</t>
        </is>
      </c>
      <c r="B12" s="5" t="inlineStr">
        <is>
          <t>R0180917</t>
        </is>
      </c>
      <c r="C12" s="6" t="inlineStr">
        <is>
          <t>1777 W 68th Ave (Lot 4, 2nd schedule)</t>
        </is>
      </c>
      <c r="D12" s="5" t="inlineStr">
        <is>
          <t>Adams County</t>
        </is>
      </c>
      <c r="E12" s="5" t="inlineStr">
        <is>
          <t>CO</t>
        </is>
      </c>
    </row>
    <row r="13">
      <c r="A13" s="6" t="inlineStr">
        <is>
          <t>Kekake Hale LLC</t>
        </is>
      </c>
      <c r="B13" s="5" t="inlineStr">
        <is>
          <t>R0099618</t>
        </is>
      </c>
      <c r="C13" s="6" t="inlineStr">
        <is>
          <t>1777 W 68th Ave (Lot 2, drainage parcel)</t>
        </is>
      </c>
      <c r="D13" s="5" t="inlineStr">
        <is>
          <t>Adams County</t>
        </is>
      </c>
      <c r="E13" s="5" t="inlineStr">
        <is>
          <t>CO</t>
        </is>
      </c>
    </row>
    <row r="14">
      <c r="A14" s="6" t="inlineStr">
        <is>
          <t>Kekake Hale LLC</t>
        </is>
      </c>
      <c r="B14" s="5" t="inlineStr">
        <is>
          <t>R0180918</t>
        </is>
      </c>
      <c r="C14" s="6" t="inlineStr">
        <is>
          <t>1777 W 68th Ave (Lot 2, drainage parcel, 2nd schedule)</t>
        </is>
      </c>
      <c r="D14" s="5" t="inlineStr">
        <is>
          <t>Adams County</t>
        </is>
      </c>
      <c r="E14" s="5" t="inlineStr">
        <is>
          <t>CO</t>
        </is>
      </c>
    </row>
    <row r="15">
      <c r="A15" s="6" t="inlineStr">
        <is>
          <t>Securcare Properties II LLC</t>
        </is>
      </c>
      <c r="B15" s="5" t="inlineStr">
        <is>
          <t>1573-32-1-22-001</t>
        </is>
      </c>
      <c r="C15" s="6" t="inlineStr">
        <is>
          <t>2460 E Midway Blvd</t>
        </is>
      </c>
      <c r="D15" s="5" t="inlineStr">
        <is>
          <t>Broomfield County &amp; City</t>
        </is>
      </c>
      <c r="E15" s="5" t="inlineStr">
        <is>
          <t>CO</t>
        </is>
      </c>
    </row>
    <row r="16">
      <c r="A16" s="6" t="inlineStr">
        <is>
          <t>Securcare Properties II LLC</t>
        </is>
      </c>
      <c r="B16" s="5" t="inlineStr">
        <is>
          <t>1573-32-1-22-002</t>
        </is>
      </c>
      <c r="C16" s="6" t="inlineStr">
        <is>
          <t>2430 W 128th Ave</t>
        </is>
      </c>
      <c r="D16" s="5" t="inlineStr">
        <is>
          <t>Broomfield County &amp; City</t>
        </is>
      </c>
      <c r="E16" s="5" t="inlineStr">
        <is>
          <t>CO</t>
        </is>
      </c>
    </row>
    <row r="17">
      <c r="A17" s="6" t="inlineStr">
        <is>
          <t>Securcare Properties II LLC</t>
        </is>
      </c>
      <c r="B17" s="5" t="inlineStr">
        <is>
          <t>1573-32-1-22-003</t>
        </is>
      </c>
      <c r="C17" s="6" t="inlineStr">
        <is>
          <t>2410 E Midway Blvd</t>
        </is>
      </c>
      <c r="D17" s="5" t="inlineStr">
        <is>
          <t>Broomfield County &amp; City</t>
        </is>
      </c>
      <c r="E17" s="5" t="inlineStr">
        <is>
          <t>CO</t>
        </is>
      </c>
    </row>
    <row r="18">
      <c r="A18" s="6" t="inlineStr">
        <is>
          <t>Nsa Property Holdings, LLC</t>
        </is>
      </c>
      <c r="B18" s="5" t="inlineStr">
        <is>
          <t>6402218002</t>
        </is>
      </c>
      <c r="C18" s="6" t="inlineStr">
        <is>
          <t>2345 Academy Pl</t>
        </is>
      </c>
      <c r="D18" s="5" t="inlineStr">
        <is>
          <t>El Paso County</t>
        </is>
      </c>
      <c r="E18" s="5" t="inlineStr">
        <is>
          <t>CO</t>
        </is>
      </c>
    </row>
    <row r="19">
      <c r="A19" s="6" t="inlineStr">
        <is>
          <t>Securcare Properties II R LLC</t>
        </is>
      </c>
      <c r="B19" s="5" t="inlineStr">
        <is>
          <t>6426420013</t>
        </is>
      </c>
      <c r="C19" s="6" t="inlineStr">
        <is>
          <t>4615 Astrozon Blvd</t>
        </is>
      </c>
      <c r="D19" s="5" t="inlineStr">
        <is>
          <t>El Paso County</t>
        </is>
      </c>
      <c r="E19" s="5" t="inlineStr">
        <is>
          <t>CO</t>
        </is>
      </c>
    </row>
    <row r="20">
      <c r="A20" s="6" t="inlineStr">
        <is>
          <t>NSA Property Holdings LLC</t>
        </is>
      </c>
      <c r="B20" s="5" t="inlineStr">
        <is>
          <t>6304203003</t>
        </is>
      </c>
      <c r="C20" s="6" t="inlineStr">
        <is>
          <t>1408 Chapel Hills Dr</t>
        </is>
      </c>
      <c r="D20" s="5" t="inlineStr">
        <is>
          <t>El Paso County</t>
        </is>
      </c>
      <c r="E20" s="5" t="inlineStr">
        <is>
          <t>CO</t>
        </is>
      </c>
    </row>
    <row r="21">
      <c r="A21" s="6" t="inlineStr">
        <is>
          <t>Securcare Portfolio Holdings LLC</t>
        </is>
      </c>
      <c r="B21" s="5" t="inlineStr">
        <is>
          <t>6430100037</t>
        </is>
      </c>
      <c r="C21" s="6" t="inlineStr">
        <is>
          <t>320 E Saint Elmo Ave</t>
        </is>
      </c>
      <c r="D21" s="5" t="inlineStr">
        <is>
          <t>El Paso County</t>
        </is>
      </c>
      <c r="E21" s="5" t="inlineStr">
        <is>
          <t>CO</t>
        </is>
      </c>
    </row>
    <row r="22">
      <c r="A22" s="6" t="inlineStr">
        <is>
          <t>Securcare Colorado III LLC</t>
        </is>
      </c>
      <c r="B22" s="5" t="inlineStr">
        <is>
          <t>6315412037</t>
        </is>
      </c>
      <c r="C22" s="6" t="inlineStr">
        <is>
          <t>3420 Vickers Dr</t>
        </is>
      </c>
      <c r="D22" s="5" t="inlineStr">
        <is>
          <t>El Paso County</t>
        </is>
      </c>
      <c r="E22" s="5" t="inlineStr">
        <is>
          <t>CO</t>
        </is>
      </c>
    </row>
    <row r="23">
      <c r="A23" s="6" t="inlineStr">
        <is>
          <t>NSA Property Holdings LLC</t>
        </is>
      </c>
      <c r="B23" s="5" t="inlineStr">
        <is>
          <t>6304216001</t>
        </is>
      </c>
      <c r="C23" s="6" t="inlineStr">
        <is>
          <t>Jamboree Dr</t>
        </is>
      </c>
      <c r="D23" s="5" t="inlineStr">
        <is>
          <t>El Paso County</t>
        </is>
      </c>
      <c r="E23" s="5" t="inlineStr">
        <is>
          <t>CO</t>
        </is>
      </c>
    </row>
    <row r="24">
      <c r="A24" s="6" t="inlineStr">
        <is>
          <t>Securcare Colorado III LLC</t>
        </is>
      </c>
      <c r="B24" s="5" t="inlineStr">
        <is>
          <t>7402408073</t>
        </is>
      </c>
      <c r="C24" s="6" t="inlineStr">
        <is>
          <t>2005 King St</t>
        </is>
      </c>
      <c r="D24" s="5" t="inlineStr">
        <is>
          <t>El Paso County</t>
        </is>
      </c>
      <c r="E24" s="5" t="inlineStr">
        <is>
          <t>CO</t>
        </is>
      </c>
    </row>
    <row r="25">
      <c r="A25" s="6" t="inlineStr">
        <is>
          <t>Maizeland Storage LLC</t>
        </is>
      </c>
      <c r="B25" s="5" t="inlineStr">
        <is>
          <t>6403101003</t>
        </is>
      </c>
      <c r="C25" s="6" t="inlineStr">
        <is>
          <t>3737 Maizeland Rd</t>
        </is>
      </c>
      <c r="D25" s="5" t="inlineStr">
        <is>
          <t>El Paso County</t>
        </is>
      </c>
      <c r="E25" s="5" t="inlineStr">
        <is>
          <t>CO</t>
        </is>
      </c>
    </row>
    <row r="26">
      <c r="A26" s="6" t="inlineStr">
        <is>
          <t>Maizeland Storage LLC</t>
        </is>
      </c>
      <c r="B26" s="5" t="inlineStr">
        <is>
          <t>6403101006</t>
        </is>
      </c>
      <c r="C26" s="6" t="inlineStr">
        <is>
          <t>3728 Alpine Pl</t>
        </is>
      </c>
      <c r="D26" s="5" t="inlineStr">
        <is>
          <t>El Paso County</t>
        </is>
      </c>
      <c r="E26" s="5" t="inlineStr">
        <is>
          <t>CO</t>
        </is>
      </c>
    </row>
    <row r="27">
      <c r="A27" s="6" t="inlineStr">
        <is>
          <t>NSA Property Holdings LLC</t>
        </is>
      </c>
      <c r="B27" s="5" t="inlineStr">
        <is>
          <t>6330100120</t>
        </is>
      </c>
      <c r="C27" s="6" t="inlineStr">
        <is>
          <t>4215-4225 N Nevada Ave</t>
        </is>
      </c>
      <c r="D27" s="5" t="inlineStr">
        <is>
          <t>El Paso County</t>
        </is>
      </c>
      <c r="E27" s="5" t="inlineStr">
        <is>
          <t>CO</t>
        </is>
      </c>
    </row>
    <row r="28">
      <c r="A28" s="6" t="inlineStr">
        <is>
          <t>Securcare Properties I LLC</t>
        </is>
      </c>
      <c r="B28" s="5" t="inlineStr">
        <is>
          <t>6423202007</t>
        </is>
      </c>
      <c r="C28" s="6" t="inlineStr">
        <is>
          <t>777 S Academy Blvd</t>
        </is>
      </c>
      <c r="D28" s="5" t="inlineStr">
        <is>
          <t>El Paso County</t>
        </is>
      </c>
      <c r="E28" s="5" t="inlineStr">
        <is>
          <t>CO</t>
        </is>
      </c>
    </row>
    <row r="29">
      <c r="A29" s="6" t="inlineStr">
        <is>
          <t>Securcare Portfolio Holdings LLC</t>
        </is>
      </c>
      <c r="B29" s="5" t="inlineStr">
        <is>
          <t>6419413057</t>
        </is>
      </c>
      <c r="C29" s="6" t="inlineStr">
        <is>
          <t>1545 S Nevada Ave</t>
        </is>
      </c>
      <c r="D29" s="5" t="inlineStr">
        <is>
          <t>El Paso County</t>
        </is>
      </c>
      <c r="E29" s="5" t="inlineStr">
        <is>
          <t>CO</t>
        </is>
      </c>
    </row>
    <row r="30">
      <c r="A30" s="6" t="inlineStr">
        <is>
          <t>NSA Property Holdings LLC</t>
        </is>
      </c>
      <c r="B30" s="5" t="inlineStr">
        <is>
          <t>6524119025</t>
        </is>
      </c>
      <c r="C30" s="6" t="inlineStr">
        <is>
          <t>7112 Alegre St</t>
        </is>
      </c>
      <c r="D30" s="5" t="inlineStr">
        <is>
          <t>El Paso County</t>
        </is>
      </c>
      <c r="E30" s="5" t="inlineStr">
        <is>
          <t>CO</t>
        </is>
      </c>
    </row>
    <row r="31">
      <c r="A31" s="6" t="inlineStr">
        <is>
          <t>NSA Property Holdings LLC</t>
        </is>
      </c>
      <c r="B31" s="5" t="inlineStr">
        <is>
          <t>6524119035</t>
        </is>
      </c>
      <c r="C31" s="6" t="inlineStr">
        <is>
          <t>639 Carson Blvd</t>
        </is>
      </c>
      <c r="D31" s="5" t="inlineStr">
        <is>
          <t>El Paso County</t>
        </is>
      </c>
      <c r="E31" s="5" t="inlineStr">
        <is>
          <t>CO</t>
        </is>
      </c>
    </row>
    <row r="32">
      <c r="A32" s="6" t="inlineStr">
        <is>
          <t>NSA Property Holdings LLC</t>
        </is>
      </c>
      <c r="B32" s="5" t="inlineStr">
        <is>
          <t>6524404013</t>
        </is>
      </c>
      <c r="C32" s="6" t="inlineStr">
        <is>
          <t>7102 Alegre St</t>
        </is>
      </c>
      <c r="D32" s="5" t="inlineStr">
        <is>
          <t>El Paso County</t>
        </is>
      </c>
      <c r="E32" s="5" t="inlineStr">
        <is>
          <t>CO</t>
        </is>
      </c>
    </row>
    <row r="33">
      <c r="A33" s="6" t="inlineStr">
        <is>
          <t>Securcare Properties I LLC</t>
        </is>
      </c>
      <c r="B33" s="5" t="inlineStr">
        <is>
          <t>9601161001</t>
        </is>
      </c>
      <c r="C33" s="6" t="inlineStr">
        <is>
          <t>4815 Boardwalk Dr</t>
        </is>
      </c>
      <c r="D33" s="5" t="inlineStr">
        <is>
          <t>Larimer County</t>
        </is>
      </c>
      <c r="E33" s="5" t="inlineStr">
        <is>
          <t>CO</t>
        </is>
      </c>
    </row>
    <row r="34">
      <c r="A34" s="6" t="inlineStr">
        <is>
          <t>Securcare Properties I LLC</t>
        </is>
      </c>
      <c r="B34" s="5" t="inlineStr">
        <is>
          <t>8731422001</t>
        </is>
      </c>
      <c r="C34" s="6" t="inlineStr">
        <is>
          <t>1961 Caribou Dr</t>
        </is>
      </c>
      <c r="D34" s="5" t="inlineStr">
        <is>
          <t>Larimer County</t>
        </is>
      </c>
      <c r="E34" s="5" t="inlineStr">
        <is>
          <t>CO</t>
        </is>
      </c>
    </row>
    <row r="35">
      <c r="A35" s="6" t="inlineStr">
        <is>
          <t>Securcare Properties I LLC</t>
        </is>
      </c>
      <c r="B35" s="5" t="inlineStr">
        <is>
          <t>8731451001</t>
        </is>
      </c>
      <c r="C35" s="6" t="inlineStr">
        <is>
          <t>1961 Caribou Dr</t>
        </is>
      </c>
      <c r="D35" s="5" t="inlineStr">
        <is>
          <t>Larimer County</t>
        </is>
      </c>
      <c r="E35" s="5" t="inlineStr">
        <is>
          <t>CO</t>
        </is>
      </c>
    </row>
    <row r="36">
      <c r="A36" s="6" t="inlineStr">
        <is>
          <t>Town Center Self Storage LLC</t>
        </is>
      </c>
      <c r="B36" s="5" t="inlineStr">
        <is>
          <t>R0496304</t>
        </is>
      </c>
      <c r="C36" s="6" t="inlineStr">
        <is>
          <t>855 Sgt Jon Stiles Dr</t>
        </is>
      </c>
      <c r="D36" s="5" t="inlineStr">
        <is>
          <t>Douglas County</t>
        </is>
      </c>
      <c r="E36" s="5" t="inlineStr">
        <is>
          <t>CO</t>
        </is>
      </c>
    </row>
    <row r="37">
      <c r="A37" s="6" t="inlineStr">
        <is>
          <t>NSA Property Holdings LLC</t>
        </is>
      </c>
      <c r="B37" s="5" t="inlineStr">
        <is>
          <t>7111304021</t>
        </is>
      </c>
      <c r="C37" s="6" t="inlineStr">
        <is>
          <t>1895 Deer Creek Rd</t>
        </is>
      </c>
      <c r="D37" s="5" t="inlineStr">
        <is>
          <t>El Paso County</t>
        </is>
      </c>
      <c r="E37" s="5" t="inlineStr">
        <is>
          <t>CO</t>
        </is>
      </c>
    </row>
    <row r="38">
      <c r="A38" s="6" t="inlineStr">
        <is>
          <t>N S A Property Holdings LLC; C/o Securcare Storage</t>
        </is>
      </c>
      <c r="B38" s="5" t="inlineStr">
        <is>
          <t>1523001001</t>
        </is>
      </c>
      <c r="C38" s="6" t="inlineStr">
        <is>
          <t>90 Greenhorn Dr</t>
        </is>
      </c>
      <c r="D38" s="5" t="inlineStr">
        <is>
          <t>Pueblo County</t>
        </is>
      </c>
      <c r="E38" s="5" t="inlineStr">
        <is>
          <t>CO</t>
        </is>
      </c>
    </row>
    <row r="39">
      <c r="A39" s="6" t="inlineStr">
        <is>
          <t>Nsa Property Holdings LLC</t>
        </is>
      </c>
      <c r="B39" s="5" t="inlineStr">
        <is>
          <t>146719365001</t>
        </is>
      </c>
      <c r="C39" s="6" t="inlineStr">
        <is>
          <t>1012 Carbon Ct</t>
        </is>
      </c>
      <c r="D39" s="5" t="inlineStr">
        <is>
          <t>Weld County</t>
        </is>
      </c>
      <c r="E39" s="5" t="inlineStr">
        <is>
          <t>CO</t>
        </is>
      </c>
    </row>
    <row r="40">
      <c r="A40" s="6" t="inlineStr">
        <is>
          <t>Nsa Property Holdings LLC</t>
        </is>
      </c>
      <c r="B40" s="5" t="inlineStr">
        <is>
          <t>601006009</t>
        </is>
      </c>
      <c r="C40" s="6" t="inlineStr">
        <is>
          <t>517 E Industrial Blvd</t>
        </is>
      </c>
      <c r="D40" s="5" t="inlineStr">
        <is>
          <t>Pueblo County</t>
        </is>
      </c>
      <c r="E40" s="5" t="inlineStr">
        <is>
          <t>CO</t>
        </is>
      </c>
    </row>
    <row r="41">
      <c r="A41" s="6" t="inlineStr">
        <is>
          <t>NSA Property Holdings LLC</t>
        </is>
      </c>
      <c r="B41" s="5" t="inlineStr">
        <is>
          <t>7115201001</t>
        </is>
      </c>
      <c r="C41" s="6" t="inlineStr">
        <is>
          <t>605 Highway 105</t>
        </is>
      </c>
      <c r="D41" s="5" t="inlineStr">
        <is>
          <t>El Paso County</t>
        </is>
      </c>
      <c r="E41" s="5" t="inlineStr">
        <is>
          <t>CO</t>
        </is>
      </c>
    </row>
    <row r="42">
      <c r="A42" s="6" t="inlineStr">
        <is>
          <t>NSA Property Holdings LLC</t>
        </is>
      </c>
      <c r="B42" s="5" t="inlineStr">
        <is>
          <t>7115201012</t>
        </is>
      </c>
      <c r="C42" s="6" t="inlineStr">
        <is>
          <t>2810 Roberts Dr</t>
        </is>
      </c>
      <c r="D42" s="5" t="inlineStr">
        <is>
          <t>El Paso County</t>
        </is>
      </c>
      <c r="E42" s="5" t="inlineStr">
        <is>
          <t>CO</t>
        </is>
      </c>
    </row>
    <row r="43">
      <c r="A43" s="6" t="inlineStr">
        <is>
          <t>NSA Property Holdings LLC</t>
        </is>
      </c>
      <c r="B43" s="5" t="inlineStr">
        <is>
          <t>7115201013</t>
        </is>
      </c>
      <c r="C43" s="6" t="inlineStr">
        <is>
          <t>2925 Peak View Blvd</t>
        </is>
      </c>
      <c r="D43" s="5" t="inlineStr">
        <is>
          <t>El Paso County</t>
        </is>
      </c>
      <c r="E43" s="5" t="inlineStr">
        <is>
          <t>CO</t>
        </is>
      </c>
    </row>
    <row r="44">
      <c r="A44" s="32" t="inlineStr">
        <is>
          <t>Highlighted row (R0178308 / 7205 Gilpin Way) is the primary appeal subject; the other three parcels are co-listed on the same authorization schedule. Appeal owner of record: Center Land Properties (signed by Ken R. Lombardi, Manager). Kekake Hale LLC rows: the 6 schedules that make up the All American Mini Storage economic unit (R0099616 appeal); R0099618 &amp; R0180918 are the 2 detention-pond "drainage" parcels the taxpayer contends are over-valued as buildable land. NSA/Securcare rows (from "Securcare Properties II LLC" through "2925 Peak View Blvd"): the National Storage Affiliates / Securcare portfolio of ~29 other Colorado self-storage parcels listed on the Letter of Authorization (Exhibit C) attached to the R0169115 (Stor-n-Lock Partners #20) appeal — separate ownership entities within the NSA family, reproduced for reference; none is part of the R0169115 economic unit or valuation.</t>
        </is>
      </c>
      <c r="B44" s="20" t="n"/>
      <c r="C44" s="20" t="n"/>
      <c r="D44" s="20" t="n"/>
      <c r="E44" s="21" t="n"/>
    </row>
  </sheetData>
  <mergeCells count="3">
    <mergeCell ref="A2:E2"/>
    <mergeCell ref="A1:E1"/>
    <mergeCell ref="A44:E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2026-07-30T22:56:27Z</dcterms:created>
  <dcterms:modified xmlns:dcterms="http://purl.org/dc/terms/" xmlns:xsi="http://www.w3.org/2001/XMLSchema-instance" xsi:type="dcterms:W3CDTF">2026-09-04T05:03:50Z</dcterms:modified>
</cp:coreProperties>
</file>