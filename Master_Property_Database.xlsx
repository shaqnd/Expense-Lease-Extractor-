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Documents" sheetId="1" state="visible" r:id="rId1"/>
    <sheet name="Property Master" sheetId="2" state="visible" r:id="rId2"/>
    <sheet name="Tenants &amp; Leases" sheetId="3" state="visible" r:id="rId3"/>
    <sheet name="Assessments &amp; Valuation" sheetId="4" state="visible" r:id="rId4"/>
    <sheet name="Income-Expense Summary" sheetId="5" state="visible" r:id="rId5"/>
    <sheet name="Income-Expense Detail" sheetId="6" state="visible" r:id="rId6"/>
    <sheet name="Related Parcels" sheetId="7" state="visible" r:id="rId7"/>
    <sheet name="Self-Storage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#"/>
    <numFmt numFmtId="165" formatCode="$#,##0;($#,##0);-"/>
    <numFmt numFmtId="166" formatCode="$#,##0.00"/>
    <numFmt numFmtId="167" formatCode="$#,##0.00;($#,##0.00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8"/>
    </font>
    <font>
      <name val="Arial"/>
      <b val="1"/>
      <sz val="10"/>
    </font>
    <font>
      <name val="Arial"/>
      <i val="1"/>
      <color rgb="00595959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5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  <xf numFmtId="0" fontId="7" fillId="4" borderId="1" pivotButton="0" quotePrefix="0" xfId="0"/>
    <xf numFmtId="0" fontId="6" fillId="0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7" fontId="5" fillId="0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0" borderId="0" pivotButton="0" quotePrefix="0" xfId="0"/>
    <xf numFmtId="165" fontId="5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left" vertical="center" wrapText="1"/>
    </xf>
    <xf numFmtId="0" fontId="7" fillId="8" borderId="1" pivotButton="0" quotePrefix="0" xfId="0"/>
    <xf numFmtId="0" fontId="0" fillId="8" borderId="1" pivotButton="0" quotePrefix="0" xfId="0"/>
    <xf numFmtId="0" fontId="5" fillId="0" borderId="1" pivotButton="0" quotePrefix="0" xfId="0"/>
    <xf numFmtId="0" fontId="5" fillId="9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3" fontId="5" fillId="9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2" fontId="5" fillId="9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5" fontId="5" fillId="9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6" fontId="5" fillId="9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0" fontId="7" fillId="0" borderId="1" pivotButton="0" quotePrefix="0" xfId="0"/>
    <xf numFmtId="165" fontId="7" fillId="9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0" fontId="5" fillId="9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42" customWidth="1" min="3" max="3"/>
    <col width="34" customWidth="1" min="4" max="4"/>
    <col width="20" customWidth="1" min="5" max="5"/>
    <col width="34" customWidth="1" min="6" max="6"/>
  </cols>
  <sheetData>
    <row r="1" ht="26" customHeight="1">
      <c r="A1" s="1" t="inlineStr">
        <is>
          <t>MASTER PROPERTY DATABASE  —  Lease &amp; Income/Expense Extract</t>
        </is>
      </c>
    </row>
    <row r="2" ht="14" customHeight="1">
      <c r="A2" s="2" t="inlineStr">
        <is>
          <t>Prepared for Carter Equities  |  Updated 2026-08-19  |  11 subject properties, all Adams County, Colorado</t>
        </is>
      </c>
    </row>
    <row r="4">
      <c r="A4" s="3" t="inlineStr">
        <is>
          <t>Source Documents Index</t>
        </is>
      </c>
    </row>
    <row r="5" ht="30" customHeight="1">
      <c r="A5" s="4" t="inlineStr">
        <is>
          <t>#</t>
        </is>
      </c>
      <c r="B5" s="4" t="inlineStr">
        <is>
          <t>Source File</t>
        </is>
      </c>
      <c r="C5" s="4" t="inlineStr">
        <is>
          <t>Document Type</t>
        </is>
      </c>
      <c r="D5" s="4" t="inlineStr">
        <is>
          <t>Subject / Property</t>
        </is>
      </c>
      <c r="E5" s="4" t="inlineStr">
        <is>
          <t>Period / Year</t>
        </is>
      </c>
      <c r="F5" s="4" t="inlineStr">
        <is>
          <t>Preparer / Source</t>
        </is>
      </c>
    </row>
    <row r="6">
      <c r="A6" s="5" t="n">
        <v>1</v>
      </c>
      <c r="B6" s="6" t="inlineStr">
        <is>
          <t>R0169133.pdf</t>
        </is>
      </c>
      <c r="C6" s="6" t="inlineStr">
        <is>
          <t>Tax appeal — income approach</t>
        </is>
      </c>
      <c r="D6" s="6" t="inlineStr">
        <is>
          <t>17608 E. 24th Drive, Aurora</t>
        </is>
      </c>
      <c r="E6" s="5" t="inlineStr">
        <is>
          <t>Assess. Yr 2025</t>
        </is>
      </c>
      <c r="F6" s="6" t="inlineStr">
        <is>
          <t>Ryan LLC (J. Hoffman) / CoStar</t>
        </is>
      </c>
    </row>
    <row r="7">
      <c r="A7" s="5" t="n">
        <v>2</v>
      </c>
      <c r="B7" s="6" t="inlineStr">
        <is>
          <t>R0178308.pdf</t>
        </is>
      </c>
      <c r="C7" s="6" t="inlineStr">
        <is>
          <t>Tax appeal — income approach + auth letter</t>
        </is>
      </c>
      <c r="D7" s="6" t="inlineStr">
        <is>
          <t>7205 Gilpin Way, Denver</t>
        </is>
      </c>
      <c r="E7" s="5" t="inlineStr">
        <is>
          <t>Assess. Yr 2025</t>
        </is>
      </c>
      <c r="F7" s="6" t="inlineStr">
        <is>
          <t>Ryan LLC (B. Mecom)</t>
        </is>
      </c>
    </row>
    <row r="8">
      <c r="A8" s="5" t="n">
        <v>3</v>
      </c>
      <c r="B8" s="6" t="inlineStr">
        <is>
          <t>R0103792.pdf</t>
        </is>
      </c>
      <c r="C8" s="6" t="inlineStr">
        <is>
          <t>County Commercial-Industrial Income &amp; Expense Survey</t>
        </is>
      </c>
      <c r="D8" s="6" t="inlineStr">
        <is>
          <t>2011 E 58th Ave (TempTee), Denver</t>
        </is>
      </c>
      <c r="E8" s="5" t="inlineStr">
        <is>
          <t>2023-2024</t>
        </is>
      </c>
      <c r="F8" s="6" t="inlineStr">
        <is>
          <t>Adams County Assessor / Owner</t>
        </is>
      </c>
    </row>
    <row r="9">
      <c r="A9" s="5" t="n">
        <v>4</v>
      </c>
      <c r="B9" s="6" t="inlineStr">
        <is>
          <t>5970_Marion_Drive_2024_PL_Detail.pdf / .xlsx</t>
        </is>
      </c>
      <c r="C9" s="6" t="inlineStr">
        <is>
          <t>Income statement detail (+ income-approach block in xlsx)</t>
        </is>
      </c>
      <c r="D9" s="6" t="inlineStr">
        <is>
          <t>5970 Marion Drive, Denver</t>
        </is>
      </c>
      <c r="E9" s="5" t="inlineStr">
        <is>
          <t>FY2024</t>
        </is>
      </c>
      <c r="F9" s="6" t="inlineStr">
        <is>
          <t>Deerwoods Management LLC</t>
        </is>
      </c>
    </row>
    <row r="10">
      <c r="A10" s="5" t="n">
        <v>5</v>
      </c>
      <c r="B10" s="6" t="inlineStr">
        <is>
          <t>5970_Marion_Drive_2023_Cash_Flow_Statement.pdf</t>
        </is>
      </c>
      <c r="C10" s="6" t="inlineStr">
        <is>
          <t>Cash flow statement (cash basis)</t>
        </is>
      </c>
      <c r="D10" s="6" t="inlineStr">
        <is>
          <t>5970 Marion Drive, Denver</t>
        </is>
      </c>
      <c r="E10" s="5" t="inlineStr">
        <is>
          <t>FY2023</t>
        </is>
      </c>
      <c r="F10" s="6" t="inlineStr">
        <is>
          <t>Deerwoods Management LLC</t>
        </is>
      </c>
    </row>
    <row r="11">
      <c r="A11" s="5" t="n">
        <v>6</v>
      </c>
      <c r="B11" s="6" t="inlineStr">
        <is>
          <t>5650_Washington_St.docx</t>
        </is>
      </c>
      <c r="C11" s="6" t="inlineStr">
        <is>
          <t>Restricted Appraisal Report (Industrial/Flex)</t>
        </is>
      </c>
      <c r="D11" s="6" t="inlineStr">
        <is>
          <t>5650 Washington St, Denver</t>
        </is>
      </c>
      <c r="E11" s="5" t="inlineStr">
        <is>
          <t>Tax Yr 2025 (val 6/30/2024)</t>
        </is>
      </c>
      <c r="F11" s="6" t="inlineStr">
        <is>
          <t>Jason Bennett, MAI (Adams County)</t>
        </is>
      </c>
    </row>
    <row r="12">
      <c r="A12" s="5" t="n">
        <v>7</v>
      </c>
      <c r="B12" s="6" t="inlineStr">
        <is>
          <t>R0024442.pdf</t>
        </is>
      </c>
      <c r="C12" s="6" t="inlineStr">
        <is>
          <t>Tax appeal — income approach (Valuation Protest)</t>
        </is>
      </c>
      <c r="D12" s="6" t="inlineStr">
        <is>
          <t>12260 Pennsylvania St, Thornton</t>
        </is>
      </c>
      <c r="E12" s="5" t="inlineStr">
        <is>
          <t>Assess. Yr 2025</t>
        </is>
      </c>
      <c r="F12" s="6" t="inlineStr">
        <is>
          <t>Ryan LLC (B. Mecom)</t>
        </is>
      </c>
    </row>
    <row r="13">
      <c r="A13" s="5" t="n">
        <v>8</v>
      </c>
      <c r="B13" s="6" t="inlineStr">
        <is>
          <t>R0002819.pdf</t>
        </is>
      </c>
      <c r="C13" s="6" t="inlineStr">
        <is>
          <t>Cover letter + IRS Form 8825 + Rent Roll</t>
        </is>
      </c>
      <c r="D13" s="6" t="inlineStr">
        <is>
          <t>125 Bridge St, Brighton</t>
        </is>
      </c>
      <c r="E13" s="5" t="inlineStr">
        <is>
          <t>2024 (rent roll current)</t>
        </is>
      </c>
      <c r="F13" s="6" t="inlineStr">
        <is>
          <t>Stevens &amp; Associates / Broadview LLC</t>
        </is>
      </c>
    </row>
    <row r="14">
      <c r="A14" s="5" t="n">
        <v>9</v>
      </c>
      <c r="B14" s="6" t="inlineStr">
        <is>
          <t>R0092302.pdf</t>
        </is>
      </c>
      <c r="C14" s="6" t="inlineStr">
        <is>
          <t>Appeal of Real Property Valuation — income approach</t>
        </is>
      </c>
      <c r="D14" s="6" t="inlineStr">
        <is>
          <t>6770 E. 56th Ave, Aurora</t>
        </is>
      </c>
      <c r="E14" s="5" t="inlineStr">
        <is>
          <t>Tax Yr 2026</t>
        </is>
      </c>
      <c r="F14" s="6" t="inlineStr">
        <is>
          <t>Property Tax Advisors, Inc.</t>
        </is>
      </c>
    </row>
    <row r="15">
      <c r="A15" s="5" t="n">
        <v>10</v>
      </c>
      <c r="B15" s="6" t="inlineStr">
        <is>
          <t>Appeal docs R0040829.pdf</t>
        </is>
      </c>
      <c r="C15" s="6" t="inlineStr">
        <is>
          <t>Tax appeal - income approach + auth letter (self storage)</t>
        </is>
      </c>
      <c r="D15" s="6" t="inlineStr">
        <is>
          <t>10350 Washington Street (R0040829)</t>
        </is>
      </c>
      <c r="E15" s="5" t="inlineStr">
        <is>
          <t>Assess. Yr 2026</t>
        </is>
      </c>
      <c r="F15" s="6" t="inlineStr">
        <is>
          <t>Ryan LLC (D. Fassig) / Dahn Corp (PTA)</t>
        </is>
      </c>
    </row>
    <row r="16">
      <c r="A16" s="5" t="n">
        <v>11</v>
      </c>
      <c r="B16" s="6" t="inlineStr">
        <is>
          <t>R0040829 self storage.pdf</t>
        </is>
      </c>
      <c r="C16" s="6" t="inlineStr">
        <is>
          <t>Duplicate of Appeal docs R0040829.pdf (identical content)</t>
        </is>
      </c>
      <c r="D16" s="6" t="inlineStr">
        <is>
          <t>10350 Washington Street (R0040829)</t>
        </is>
      </c>
      <c r="E16" s="5" t="inlineStr">
        <is>
          <t>Assess. Yr 2026</t>
        </is>
      </c>
      <c r="F16" s="6" t="inlineStr">
        <is>
          <t>Ryan LLC (D. Fassig) / Dahn Corp (PTA)</t>
        </is>
      </c>
    </row>
    <row r="17">
      <c r="A17" s="5" t="n">
        <v>12</v>
      </c>
      <c r="B17" s="6" t="inlineStr">
        <is>
          <t>R0086010 - 15413 E 18th Avenue.pdf</t>
        </is>
      </c>
      <c r="C17" s="6" t="inlineStr">
        <is>
          <t>Tax appeal - income approach + actual income statement + abatement petition</t>
        </is>
      </c>
      <c r="D17" s="6" t="inlineStr">
        <is>
          <t>15413 E 18th Ave, Aurora (R0086010)</t>
        </is>
      </c>
      <c r="E17" s="5" t="inlineStr">
        <is>
          <t>Assess. Yr 2026 (petition tax yr 2025)</t>
        </is>
      </c>
      <c r="F17" s="6" t="inlineStr">
        <is>
          <t>Ryan LLC (D. Fassig) / CubeSmart (store 6730)</t>
        </is>
      </c>
    </row>
    <row r="18">
      <c r="A18" s="5" t="n">
        <v>13</v>
      </c>
      <c r="B18" s="6" t="inlineStr">
        <is>
          <t>R0085571 - 1540 Altura Blvd.pdf</t>
        </is>
      </c>
      <c r="C18" s="6" t="inlineStr">
        <is>
          <t>Tax appeal - income approach + actual income statement</t>
        </is>
      </c>
      <c r="D18" s="6" t="inlineStr">
        <is>
          <t>1540 Altura Blvd, Aurora (R0085571)</t>
        </is>
      </c>
      <c r="E18" s="5" t="inlineStr">
        <is>
          <t>Assess. Yr 2025/2026 (as printed)</t>
        </is>
      </c>
      <c r="F18" s="6" t="inlineStr">
        <is>
          <t>Ryan LLC (D. Fassig) / CubeSmart (store 6731)</t>
        </is>
      </c>
    </row>
    <row r="20" ht="26" customHeight="1">
      <c r="A20" s="7" t="inlineStr">
        <is>
          <t>Notes: Figures transcribed from the source documents. Total / net / average cells are live formulas (SUM/AVERAGE) verified against the printed totals; they populate on open in Excel/Sheets.</t>
        </is>
      </c>
    </row>
    <row r="21" ht="26" customHeight="1">
      <c r="A21" s="7" t="inlineStr">
        <is>
          <t>'in house' on the TempTee survey = owner self-performs the service (no $ reported), entered as $0. 5650 Washington St concluded value, rent-roll grid, and income proforma are embedded as EMF vector images in the DOCX and were not text-extractable; narrative figures are captured where stated.</t>
        </is>
      </c>
    </row>
    <row r="22" ht="26" customHeight="1">
      <c r="A22" s="7" t="inlineStr">
        <is>
          <t>5970 Marion cash-basis 'expense' includes mortgage P&amp;I and property taxes (cash flow, not NOI). R0169133 cover value ($3,408,546) differs from its schedule total ($3,114,815); both reproduced as printed.</t>
        </is>
      </c>
    </row>
  </sheetData>
  <mergeCells count="5">
    <mergeCell ref="A2:F2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6" customWidth="1" min="4" max="4"/>
    <col width="22" customWidth="1" min="5" max="5"/>
    <col width="10" customWidth="1" min="6" max="6"/>
    <col width="5" customWidth="1" min="7" max="7"/>
    <col width="13" customWidth="1" min="8" max="8"/>
    <col width="9" customWidth="1" min="9" max="9"/>
    <col width="26" customWidth="1" min="10" max="10"/>
    <col width="26" customWidth="1" min="11" max="11"/>
    <col width="26" customWidth="1" min="12" max="12"/>
    <col width="16" customWidth="1" min="13" max="13"/>
    <col width="11" customWidth="1" min="14" max="14"/>
    <col width="11" customWidth="1" min="15" max="15"/>
    <col width="11" customWidth="1" min="16" max="16"/>
    <col width="12" customWidth="1" min="17" max="17"/>
    <col width="10" customWidth="1" min="18" max="18"/>
    <col width="10" customWidth="1" min="19" max="19"/>
    <col width="18" customWidth="1" min="20" max="20"/>
    <col width="18" customWidth="1" min="21" max="21"/>
    <col width="14" customWidth="1" min="22" max="22"/>
    <col width="18" customWidth="1" min="23" max="23"/>
    <col width="22" customWidth="1" min="24" max="24"/>
    <col width="26" customWidth="1" min="25" max="25"/>
  </cols>
  <sheetData>
    <row r="1" ht="26" customHeight="1">
      <c r="A1" s="1" t="inlineStr">
        <is>
          <t>PROPERTY MASTER</t>
        </is>
      </c>
    </row>
    <row r="2" ht="14" customHeight="1">
      <c r="A2" s="2" t="inlineStr">
        <is>
          <t>One row per subject property — identity, physical characteristics &amp; valuation summary</t>
        </is>
      </c>
    </row>
    <row r="4" ht="42" customHeight="1">
      <c r="A4" s="4" t="inlineStr">
        <is>
          <t>Property ID</t>
        </is>
      </c>
      <c r="B4" s="4" t="inlineStr">
        <is>
          <t>Account / Schedule #</t>
        </is>
      </c>
      <c r="C4" s="4" t="inlineStr">
        <is>
          <t>Parcel / Alt #</t>
        </is>
      </c>
      <c r="D4" s="4" t="inlineStr">
        <is>
          <t>Property Name</t>
        </is>
      </c>
      <c r="E4" s="4" t="inlineStr">
        <is>
          <t>Address</t>
        </is>
      </c>
      <c r="F4" s="4" t="inlineStr">
        <is>
          <t>City</t>
        </is>
      </c>
      <c r="G4" s="4" t="inlineStr">
        <is>
          <t>ST</t>
        </is>
      </c>
      <c r="H4" s="4" t="inlineStr">
        <is>
          <t>ZIP</t>
        </is>
      </c>
      <c r="I4" s="4" t="inlineStr">
        <is>
          <t>County</t>
        </is>
      </c>
      <c r="J4" s="4" t="inlineStr">
        <is>
          <t>Owner / Client</t>
        </is>
      </c>
      <c r="K4" s="4" t="inlineStr">
        <is>
          <t>Assessee (Tax Roll)</t>
        </is>
      </c>
      <c r="L4" s="4" t="inlineStr">
        <is>
          <t>Property Type / Use</t>
        </is>
      </c>
      <c r="M4" s="4" t="inlineStr">
        <is>
          <t>Tenancy</t>
        </is>
      </c>
      <c r="N4" s="4" t="inlineStr">
        <is>
          <t>Site (Acres)</t>
        </is>
      </c>
      <c r="O4" s="4" t="inlineStr">
        <is>
          <t>Site (SF)</t>
        </is>
      </c>
      <c r="P4" s="4" t="inlineStr">
        <is>
          <t>GBA (SF)</t>
        </is>
      </c>
      <c r="Q4" s="4" t="inlineStr">
        <is>
          <t>NRA / NLA (SF)</t>
        </is>
      </c>
      <c r="R4" s="4" t="inlineStr">
        <is>
          <t>Year Built</t>
        </is>
      </c>
      <c r="S4" s="4" t="inlineStr">
        <is>
          <t>Land:Bldg</t>
        </is>
      </c>
      <c r="T4" s="4" t="inlineStr">
        <is>
          <t>Occupancy</t>
        </is>
      </c>
      <c r="U4" s="4" t="inlineStr">
        <is>
          <t>Latest Assessor / County Value</t>
        </is>
      </c>
      <c r="V4" s="4" t="inlineStr">
        <is>
          <t>Assessment/Tax Yr</t>
        </is>
      </c>
      <c r="W4" s="4" t="inlineStr">
        <is>
          <t>Taxpayer / Petitioner Opinion</t>
        </is>
      </c>
      <c r="X4" s="4" t="inlineStr">
        <is>
          <t>Managed By</t>
        </is>
      </c>
      <c r="Y4" s="4" t="inlineStr">
        <is>
          <t>Source File</t>
        </is>
      </c>
    </row>
    <row r="5">
      <c r="A5" s="6" t="inlineStr">
        <is>
          <t>R0178308</t>
        </is>
      </c>
      <c r="B5" s="6" t="inlineStr">
        <is>
          <t>R0178308</t>
        </is>
      </c>
      <c r="C5" s="6" t="inlineStr">
        <is>
          <t>R0178308</t>
        </is>
      </c>
      <c r="D5" s="6" t="inlineStr">
        <is>
          <t>7205 Gilpin Way</t>
        </is>
      </c>
      <c r="E5" s="6" t="inlineStr">
        <is>
          <t>7205 Gilpin Way</t>
        </is>
      </c>
      <c r="F5" s="6" t="inlineStr">
        <is>
          <t>Denver</t>
        </is>
      </c>
      <c r="G5" s="5" t="inlineStr">
        <is>
          <t>CO</t>
        </is>
      </c>
      <c r="H5" s="6" t="inlineStr">
        <is>
          <t>80229</t>
        </is>
      </c>
      <c r="I5" s="6" t="inlineStr">
        <is>
          <t>Adams</t>
        </is>
      </c>
      <c r="J5" s="6" t="inlineStr">
        <is>
          <t>Center Land Properties</t>
        </is>
      </c>
      <c r="K5" s="6" t="inlineStr">
        <is>
          <t>North Side Gardens LLC</t>
        </is>
      </c>
      <c r="L5" s="6" t="inlineStr">
        <is>
          <t>Industrial - Warehouse</t>
        </is>
      </c>
      <c r="M5" s="6" t="inlineStr">
        <is>
          <t>Single (proforma)</t>
        </is>
      </c>
      <c r="N5" s="8" t="n">
        <v>3.33</v>
      </c>
      <c r="O5" s="8" t="n">
        <v>145055</v>
      </c>
      <c r="P5" s="6" t="n"/>
      <c r="Q5" s="8" t="n">
        <v>34228</v>
      </c>
      <c r="R5" s="6" t="n">
        <v>2013</v>
      </c>
      <c r="S5" s="6" t="inlineStr">
        <is>
          <t>4.24:1</t>
        </is>
      </c>
      <c r="T5" s="6" t="inlineStr">
        <is>
          <t>100% (proforma)</t>
        </is>
      </c>
      <c r="U5" s="9" t="n">
        <v>5150325</v>
      </c>
      <c r="V5" s="5" t="inlineStr">
        <is>
          <t>2025</t>
        </is>
      </c>
      <c r="W5" s="9" t="n">
        <v>4832500</v>
      </c>
      <c r="X5" s="6" t="inlineStr">
        <is>
          <t>—</t>
        </is>
      </c>
      <c r="Y5" s="6" t="inlineStr">
        <is>
          <t>R0178308.pdf</t>
        </is>
      </c>
    </row>
    <row r="6">
      <c r="A6" s="6" t="inlineStr">
        <is>
          <t>R0169133</t>
        </is>
      </c>
      <c r="B6" s="6" t="inlineStr">
        <is>
          <t>R0169133</t>
        </is>
      </c>
      <c r="C6" s="6" t="inlineStr">
        <is>
          <t>R0169133</t>
        </is>
      </c>
      <c r="D6" s="6" t="inlineStr">
        <is>
          <t>(7194) CO-Aurora</t>
        </is>
      </c>
      <c r="E6" s="6" t="inlineStr">
        <is>
          <t>17608 E. 24th Drive</t>
        </is>
      </c>
      <c r="F6" s="6" t="inlineStr">
        <is>
          <t>Aurora</t>
        </is>
      </c>
      <c r="G6" s="5" t="inlineStr">
        <is>
          <t>CO</t>
        </is>
      </c>
      <c r="H6" s="6" t="inlineStr">
        <is>
          <t>80011</t>
        </is>
      </c>
      <c r="I6" s="6" t="inlineStr">
        <is>
          <t>Adams</t>
        </is>
      </c>
      <c r="J6" s="6" t="inlineStr">
        <is>
          <t>ABC Supply Co., Inc.</t>
        </is>
      </c>
      <c r="K6" s="6" t="inlineStr">
        <is>
          <t>ABC Supply Co., Inc.</t>
        </is>
      </c>
      <c r="L6" s="6" t="inlineStr">
        <is>
          <t>Industrial - Distribution</t>
        </is>
      </c>
      <c r="M6" s="6" t="inlineStr">
        <is>
          <t>Single (proforma)</t>
        </is>
      </c>
      <c r="N6" s="8" t="n">
        <v>3.4</v>
      </c>
      <c r="O6" s="8" t="n">
        <v>148104</v>
      </c>
      <c r="P6" s="6" t="n"/>
      <c r="Q6" s="8" t="n">
        <v>20910</v>
      </c>
      <c r="R6" s="6" t="n">
        <v>2006</v>
      </c>
      <c r="S6" s="6" t="inlineStr">
        <is>
          <t>7.08:1</t>
        </is>
      </c>
      <c r="T6" s="6" t="inlineStr">
        <is>
          <t>(as of 06/30/2024)</t>
        </is>
      </c>
      <c r="U6" s="9" t="n">
        <v>3408546</v>
      </c>
      <c r="V6" s="5" t="inlineStr">
        <is>
          <t>2025</t>
        </is>
      </c>
      <c r="W6" s="9" t="n">
        <v>3050000</v>
      </c>
      <c r="X6" s="6" t="inlineStr">
        <is>
          <t>—</t>
        </is>
      </c>
      <c r="Y6" s="6" t="inlineStr">
        <is>
          <t>R0169133.pdf</t>
        </is>
      </c>
    </row>
    <row r="7">
      <c r="A7" s="6" t="inlineStr">
        <is>
          <t>R0103792</t>
        </is>
      </c>
      <c r="B7" s="6" t="inlineStr">
        <is>
          <t>R0103792</t>
        </is>
      </c>
      <c r="C7" s="6" t="inlineStr">
        <is>
          <t>0182511406001</t>
        </is>
      </c>
      <c r="D7" s="6" t="inlineStr">
        <is>
          <t>TempTee Brand Steaks</t>
        </is>
      </c>
      <c r="E7" s="6" t="inlineStr">
        <is>
          <t>2011 E 58th Ave</t>
        </is>
      </c>
      <c r="F7" s="6" t="inlineStr">
        <is>
          <t>Denver</t>
        </is>
      </c>
      <c r="G7" s="5" t="inlineStr">
        <is>
          <t>CO</t>
        </is>
      </c>
      <c r="H7" s="6" t="inlineStr">
        <is>
          <t>80216-1517</t>
        </is>
      </c>
      <c r="I7" s="6" t="inlineStr">
        <is>
          <t>Adams</t>
        </is>
      </c>
      <c r="J7" s="6" t="inlineStr">
        <is>
          <t>TempTee Brand Steaks Inc</t>
        </is>
      </c>
      <c r="K7" s="6" t="inlineStr">
        <is>
          <t>TempTee Brand Steaks Inc</t>
        </is>
      </c>
      <c r="L7" s="6" t="inlineStr">
        <is>
          <t>Industrial - Mfg / Food Processing</t>
        </is>
      </c>
      <c r="M7" s="6" t="inlineStr">
        <is>
          <t>Owner-occupied</t>
        </is>
      </c>
      <c r="N7" s="6" t="n"/>
      <c r="O7" s="6" t="n"/>
      <c r="P7" s="6" t="n"/>
      <c r="Q7" s="8" t="n">
        <v>17000</v>
      </c>
      <c r="R7" s="6" t="n"/>
      <c r="S7" s="6" t="inlineStr">
        <is>
          <t>—</t>
        </is>
      </c>
      <c r="T7" s="6" t="inlineStr">
        <is>
          <t>100% Owner-Occupied</t>
        </is>
      </c>
      <c r="U7" s="6" t="n"/>
      <c r="V7" s="5" t="inlineStr">
        <is>
          <t>2025</t>
        </is>
      </c>
      <c r="W7" s="6" t="inlineStr">
        <is>
          <t>—</t>
        </is>
      </c>
      <c r="X7" s="6" t="inlineStr">
        <is>
          <t>—</t>
        </is>
      </c>
      <c r="Y7" s="6" t="inlineStr">
        <is>
          <t>R0103792.pdf</t>
        </is>
      </c>
    </row>
    <row r="8">
      <c r="A8" s="6" t="inlineStr">
        <is>
          <t>5970 Marion</t>
        </is>
      </c>
      <c r="B8" s="6" t="inlineStr">
        <is>
          <t>(none)</t>
        </is>
      </c>
      <c r="C8" s="6" t="inlineStr">
        <is>
          <t>0182511303018</t>
        </is>
      </c>
      <c r="D8" s="6" t="inlineStr">
        <is>
          <t>5970 Marion Drive</t>
        </is>
      </c>
      <c r="E8" s="6" t="inlineStr">
        <is>
          <t>5970 Marion Drive</t>
        </is>
      </c>
      <c r="F8" s="6" t="inlineStr">
        <is>
          <t>Denver</t>
        </is>
      </c>
      <c r="G8" s="5" t="inlineStr">
        <is>
          <t>CO</t>
        </is>
      </c>
      <c r="H8" s="6" t="inlineStr">
        <is>
          <t>80216 (est.)</t>
        </is>
      </c>
      <c r="I8" s="6" t="inlineStr">
        <is>
          <t>Adams</t>
        </is>
      </c>
      <c r="J8" s="6" t="inlineStr">
        <is>
          <t>Ankur Kumar (owner)</t>
        </is>
      </c>
      <c r="K8" s="6" t="inlineStr">
        <is>
          <t>—</t>
        </is>
      </c>
      <c r="L8" s="6" t="inlineStr">
        <is>
          <t>Industrial - 2-unit</t>
        </is>
      </c>
      <c r="M8" s="6" t="inlineStr">
        <is>
          <t>Multi (2 units)</t>
        </is>
      </c>
      <c r="N8" s="6" t="n"/>
      <c r="O8" s="6" t="n"/>
      <c r="P8" s="6" t="n"/>
      <c r="Q8" s="8" t="n">
        <v>14400</v>
      </c>
      <c r="R8" s="6" t="n"/>
      <c r="S8" s="6" t="inlineStr">
        <is>
          <t>—</t>
        </is>
      </c>
      <c r="T8" s="6" t="inlineStr">
        <is>
          <t>100% (2 units leased)</t>
        </is>
      </c>
      <c r="U8" s="9" t="n">
        <v>2527915</v>
      </c>
      <c r="V8" s="5" t="inlineStr">
        <is>
          <t>2025 (assigned)</t>
        </is>
      </c>
      <c r="W8" s="6" t="inlineStr">
        <is>
          <t>—</t>
        </is>
      </c>
      <c r="X8" s="6" t="inlineStr">
        <is>
          <t>Deerwoods Management LLC</t>
        </is>
      </c>
      <c r="Y8" s="6" t="inlineStr">
        <is>
          <t>5970 Marion P&amp;L/CF/xlsx</t>
        </is>
      </c>
    </row>
    <row r="9">
      <c r="A9" s="6" t="inlineStr">
        <is>
          <t>R0103767</t>
        </is>
      </c>
      <c r="B9" s="6" t="inlineStr">
        <is>
          <t>R0103767</t>
        </is>
      </c>
      <c r="C9" s="6" t="inlineStr">
        <is>
          <t>R0103767</t>
        </is>
      </c>
      <c r="D9" s="6" t="inlineStr">
        <is>
          <t>Washington Business Park</t>
        </is>
      </c>
      <c r="E9" s="6" t="inlineStr">
        <is>
          <t>5650 Washington St</t>
        </is>
      </c>
      <c r="F9" s="6" t="inlineStr">
        <is>
          <t>Denver</t>
        </is>
      </c>
      <c r="G9" s="5" t="inlineStr">
        <is>
          <t>CO</t>
        </is>
      </c>
      <c r="H9" s="6" t="inlineStr">
        <is>
          <t>80216 (est.)</t>
        </is>
      </c>
      <c r="I9" s="6" t="inlineStr">
        <is>
          <t>Adams</t>
        </is>
      </c>
      <c r="J9" s="6" t="inlineStr">
        <is>
          <t>Washington Business Park Property LLC</t>
        </is>
      </c>
      <c r="K9" s="6" t="inlineStr">
        <is>
          <t>Washington Business Park Property LLC</t>
        </is>
      </c>
      <c r="L9" s="6" t="inlineStr">
        <is>
          <t>Industrial / Flex (multi-tenant)</t>
        </is>
      </c>
      <c r="M9" s="6" t="inlineStr">
        <is>
          <t>Multi-tenant</t>
        </is>
      </c>
      <c r="N9" s="8" t="n">
        <v>2.31</v>
      </c>
      <c r="O9" s="8" t="n">
        <v>100754</v>
      </c>
      <c r="P9" s="8" t="n">
        <v>35577</v>
      </c>
      <c r="Q9" s="8" t="n">
        <v>34442</v>
      </c>
      <c r="R9" s="6" t="n">
        <v>1988</v>
      </c>
      <c r="S9" s="6" t="inlineStr">
        <is>
          <t>2.83:1</t>
        </is>
      </c>
      <c r="T9" s="6" t="inlineStr">
        <is>
          <t>Multi-tenant (7% vac. assumed)</t>
        </is>
      </c>
      <c r="U9" s="6" t="n"/>
      <c r="V9" s="5" t="inlineStr">
        <is>
          <t>2025</t>
        </is>
      </c>
      <c r="W9" s="6" t="inlineStr">
        <is>
          <t>See appraisal (value in embedded image)</t>
        </is>
      </c>
      <c r="X9" s="6" t="inlineStr">
        <is>
          <t>Owner: Bryan Sperry</t>
        </is>
      </c>
      <c r="Y9" s="6" t="inlineStr">
        <is>
          <t>5650_Washington_St.docx</t>
        </is>
      </c>
    </row>
    <row r="10">
      <c r="A10" s="6" t="inlineStr">
        <is>
          <t>R0024442</t>
        </is>
      </c>
      <c r="B10" s="6" t="inlineStr">
        <is>
          <t>R0024442</t>
        </is>
      </c>
      <c r="C10" s="6" t="inlineStr">
        <is>
          <t>R0024442</t>
        </is>
      </c>
      <c r="D10" s="6" t="inlineStr">
        <is>
          <t>SGS - Pennsylvania Industrial</t>
        </is>
      </c>
      <c r="E10" s="6" t="inlineStr">
        <is>
          <t>12260 Pennsylvania St</t>
        </is>
      </c>
      <c r="F10" s="6" t="inlineStr">
        <is>
          <t>Thornton</t>
        </is>
      </c>
      <c r="G10" s="5" t="inlineStr">
        <is>
          <t>CO</t>
        </is>
      </c>
      <c r="H10" s="6" t="inlineStr">
        <is>
          <t>80241 (est.)</t>
        </is>
      </c>
      <c r="I10" s="6" t="inlineStr">
        <is>
          <t>Adams</t>
        </is>
      </c>
      <c r="J10" s="6" t="inlineStr">
        <is>
          <t>Trinity Real Estate</t>
        </is>
      </c>
      <c r="K10" s="6" t="inlineStr">
        <is>
          <t>Snyder Family Trust Et Al</t>
        </is>
      </c>
      <c r="L10" s="6" t="inlineStr">
        <is>
          <t>Industrial - Warehouse</t>
        </is>
      </c>
      <c r="M10" s="6" t="inlineStr">
        <is>
          <t>Single-tenant</t>
        </is>
      </c>
      <c r="N10" s="8" t="n">
        <v>1</v>
      </c>
      <c r="O10" s="6" t="n"/>
      <c r="P10" s="6" t="n"/>
      <c r="Q10" s="8" t="n">
        <v>23729</v>
      </c>
      <c r="R10" s="6" t="n">
        <v>1984</v>
      </c>
      <c r="S10" s="6" t="inlineStr">
        <is>
          <t>—</t>
        </is>
      </c>
      <c r="T10" s="6" t="inlineStr">
        <is>
          <t>(leased; rent $9.50/sf NNN 1/1/24)</t>
        </is>
      </c>
      <c r="U10" s="9" t="n">
        <v>3876387</v>
      </c>
      <c r="V10" s="5" t="inlineStr">
        <is>
          <t>2025</t>
        </is>
      </c>
      <c r="W10" s="9" t="n">
        <v>2837000</v>
      </c>
      <c r="X10" s="6" t="inlineStr">
        <is>
          <t>—</t>
        </is>
      </c>
      <c r="Y10" s="6" t="inlineStr">
        <is>
          <t>R0024442.pdf</t>
        </is>
      </c>
    </row>
    <row r="11">
      <c r="A11" s="6" t="inlineStr">
        <is>
          <t>R0002819</t>
        </is>
      </c>
      <c r="B11" s="6" t="inlineStr">
        <is>
          <t>R0002819</t>
        </is>
      </c>
      <c r="C11" s="6" t="inlineStr">
        <is>
          <t>01569-06-3-13-002</t>
        </is>
      </c>
      <c r="D11" s="6" t="inlineStr">
        <is>
          <t>Broadview</t>
        </is>
      </c>
      <c r="E11" s="6" t="inlineStr">
        <is>
          <t>125 Bridge St</t>
        </is>
      </c>
      <c r="F11" s="6" t="inlineStr">
        <is>
          <t>Brighton</t>
        </is>
      </c>
      <c r="G11" s="5" t="inlineStr">
        <is>
          <t>CO</t>
        </is>
      </c>
      <c r="H11" s="6" t="inlineStr">
        <is>
          <t>80602</t>
        </is>
      </c>
      <c r="I11" s="6" t="inlineStr">
        <is>
          <t>Adams</t>
        </is>
      </c>
      <c r="J11" s="6" t="inlineStr">
        <is>
          <t>Broadview LLC</t>
        </is>
      </c>
      <c r="K11" s="6" t="inlineStr">
        <is>
          <t>Broadview LLC</t>
        </is>
      </c>
      <c r="L11" s="6" t="inlineStr">
        <is>
          <t>Commercial (multi-tenant industrial)</t>
        </is>
      </c>
      <c r="M11" s="6" t="inlineStr">
        <is>
          <t>Multi-tenant</t>
        </is>
      </c>
      <c r="N11" s="6" t="n"/>
      <c r="O11" s="6" t="n"/>
      <c r="P11" s="6" t="n"/>
      <c r="Q11" s="6" t="n"/>
      <c r="R11" s="6" t="n"/>
      <c r="S11" s="6" t="inlineStr">
        <is>
          <t>—</t>
        </is>
      </c>
      <c r="T11" s="6" t="inlineStr">
        <is>
          <t>Mostly leased (1-2 units vacant)</t>
        </is>
      </c>
      <c r="U11" s="6" t="n"/>
      <c r="V11" s="5" t="inlineStr">
        <is>
          <t>—</t>
        </is>
      </c>
      <c r="W11" s="6" t="inlineStr">
        <is>
          <t>—</t>
        </is>
      </c>
      <c r="X11" s="6" t="inlineStr">
        <is>
          <t>—</t>
        </is>
      </c>
      <c r="Y11" s="6" t="inlineStr">
        <is>
          <t>R0002819.pdf</t>
        </is>
      </c>
    </row>
    <row r="12">
      <c r="A12" s="6" t="inlineStr">
        <is>
          <t>R0092302</t>
        </is>
      </c>
      <c r="B12" s="6" t="inlineStr">
        <is>
          <t>R0092302</t>
        </is>
      </c>
      <c r="C12" s="6" t="inlineStr">
        <is>
          <t>R0092302</t>
        </is>
      </c>
      <c r="D12" s="6" t="inlineStr">
        <is>
          <t>6770 E. 56th Ave</t>
        </is>
      </c>
      <c r="E12" s="6" t="inlineStr">
        <is>
          <t>6770 E. 56th Ave</t>
        </is>
      </c>
      <c r="F12" s="6" t="inlineStr">
        <is>
          <t>Aurora</t>
        </is>
      </c>
      <c r="G12" s="5" t="inlineStr">
        <is>
          <t>CO</t>
        </is>
      </c>
      <c r="H12" s="6" t="inlineStr">
        <is>
          <t>80022 (est.)</t>
        </is>
      </c>
      <c r="I12" s="6" t="inlineStr">
        <is>
          <t>Adams</t>
        </is>
      </c>
      <c r="J12" s="6" t="inlineStr">
        <is>
          <t>56th Ave. J Investments LLC et al</t>
        </is>
      </c>
      <c r="K12" s="6" t="inlineStr">
        <is>
          <t>56th Ave. J Investments LLC et al</t>
        </is>
      </c>
      <c r="L12" s="6" t="inlineStr">
        <is>
          <t>Industrial - Warehouse</t>
        </is>
      </c>
      <c r="M12" s="6" t="inlineStr">
        <is>
          <t>Single-tenant</t>
        </is>
      </c>
      <c r="N12" s="6" t="n"/>
      <c r="O12" s="8" t="n">
        <v>29620</v>
      </c>
      <c r="P12" s="8" t="n">
        <v>9652</v>
      </c>
      <c r="Q12" s="8" t="n">
        <v>9652</v>
      </c>
      <c r="R12" s="6" t="n">
        <v>1973</v>
      </c>
      <c r="S12" s="6" t="inlineStr">
        <is>
          <t>3.0:1</t>
        </is>
      </c>
      <c r="T12" s="6" t="inlineStr">
        <is>
          <t>95% (proforma)</t>
        </is>
      </c>
      <c r="U12" s="9" t="n">
        <v>1815434</v>
      </c>
      <c r="V12" s="5" t="inlineStr">
        <is>
          <t>2026</t>
        </is>
      </c>
      <c r="W12" s="9" t="n">
        <v>1493032</v>
      </c>
      <c r="X12" s="6" t="inlineStr">
        <is>
          <t>—</t>
        </is>
      </c>
      <c r="Y12" s="6" t="inlineStr">
        <is>
          <t>R0092302.pdf</t>
        </is>
      </c>
    </row>
    <row r="13">
      <c r="A13" s="6" t="inlineStr">
        <is>
          <t>R0040829</t>
        </is>
      </c>
      <c r="B13" s="6" t="inlineStr">
        <is>
          <t>R0040829</t>
        </is>
      </c>
      <c r="C13" s="6" t="inlineStr">
        <is>
          <t>0171914201013</t>
        </is>
      </c>
      <c r="D13" s="6" t="inlineStr">
        <is>
          <t>Thornton (TH) - Dahn - 21548</t>
        </is>
      </c>
      <c r="E13" s="6" t="inlineStr">
        <is>
          <t>10350 Washington Street</t>
        </is>
      </c>
      <c r="F13" s="6" t="n"/>
      <c r="G13" s="5" t="inlineStr">
        <is>
          <t>CO</t>
        </is>
      </c>
      <c r="H13" s="6" t="n"/>
      <c r="I13" s="6" t="inlineStr">
        <is>
          <t>Adams</t>
        </is>
      </c>
      <c r="J13" s="6" t="inlineStr">
        <is>
          <t>DSI Special Situations Fund B</t>
        </is>
      </c>
      <c r="K13" s="6" t="inlineStr">
        <is>
          <t>DSI Special Situations Fund B</t>
        </is>
      </c>
      <c r="L13" s="6" t="inlineStr">
        <is>
          <t>Specialty - Self Storage</t>
        </is>
      </c>
      <c r="M13" s="6" t="inlineStr">
        <is>
          <t>Single (proforma; blanket self-storage lease)</t>
        </is>
      </c>
      <c r="N13" s="6" t="n">
        <v>2.93</v>
      </c>
      <c r="O13" s="8" t="n">
        <v>127395</v>
      </c>
      <c r="P13" s="8" t="n"/>
      <c r="Q13" s="8" t="n">
        <v>48250</v>
      </c>
      <c r="R13" s="6" t="n">
        <v>1985</v>
      </c>
      <c r="S13" s="6" t="inlineStr">
        <is>
          <t>—</t>
        </is>
      </c>
      <c r="T13" s="6" t="inlineStr">
        <is>
          <t>84% actual / 85% stabilized (Jun 2024)</t>
        </is>
      </c>
      <c r="U13" s="9" t="n">
        <v>5428808</v>
      </c>
      <c r="V13" s="5" t="inlineStr">
        <is>
          <t>2026</t>
        </is>
      </c>
      <c r="W13" s="9" t="n">
        <v>4510000</v>
      </c>
      <c r="X13" s="6" t="inlineStr">
        <is>
          <t>Dahn Corporation (PTA)</t>
        </is>
      </c>
      <c r="Y13" s="6" t="inlineStr">
        <is>
          <t>Appeal docs R0040829.pdf</t>
        </is>
      </c>
    </row>
    <row r="14">
      <c r="A14" s="6" t="inlineStr">
        <is>
          <t>R0086010</t>
        </is>
      </c>
      <c r="B14" s="6" t="inlineStr">
        <is>
          <t>R0086010</t>
        </is>
      </c>
      <c r="C14" s="6" t="inlineStr">
        <is>
          <t>0182132318001</t>
        </is>
      </c>
      <c r="D14" s="6" t="inlineStr">
        <is>
          <t>Aurora - 18th Avenue - CS - 6730</t>
        </is>
      </c>
      <c r="E14" s="6" t="inlineStr">
        <is>
          <t>15413 E 18th Ave</t>
        </is>
      </c>
      <c r="F14" s="6" t="inlineStr">
        <is>
          <t>Aurora</t>
        </is>
      </c>
      <c r="G14" s="5" t="inlineStr">
        <is>
          <t>CO</t>
        </is>
      </c>
      <c r="H14" s="6" t="inlineStr">
        <is>
          <t>80011</t>
        </is>
      </c>
      <c r="I14" s="6" t="inlineStr">
        <is>
          <t>Adams</t>
        </is>
      </c>
      <c r="J14" s="6" t="inlineStr">
        <is>
          <t>Winner Storage LLC / PTA USI No 730</t>
        </is>
      </c>
      <c r="K14" s="6" t="inlineStr">
        <is>
          <t>Winner Storage LLC / PTA USI No 730</t>
        </is>
      </c>
      <c r="L14" s="6" t="inlineStr">
        <is>
          <t>Specialty - Self Storage</t>
        </is>
      </c>
      <c r="M14" s="6" t="inlineStr">
        <is>
          <t>Single (proforma; blanket self-storage lease)</t>
        </is>
      </c>
      <c r="N14" s="6" t="n">
        <v>4.68</v>
      </c>
      <c r="O14" s="8" t="n">
        <v>203817</v>
      </c>
      <c r="P14" s="8" t="n"/>
      <c r="Q14" s="8" t="n">
        <v>57742</v>
      </c>
      <c r="R14" s="6" t="n">
        <v>1984</v>
      </c>
      <c r="S14" s="6" t="inlineStr">
        <is>
          <t>—</t>
        </is>
      </c>
      <c r="T14" s="6" t="inlineStr">
        <is>
          <t>87% actual / 88% stabilized (Jun 2024)</t>
        </is>
      </c>
      <c r="U14" s="9" t="n">
        <v>8187500</v>
      </c>
      <c r="V14" s="5" t="inlineStr">
        <is>
          <t>2026</t>
        </is>
      </c>
      <c r="W14" s="9" t="n">
        <v>6610000</v>
      </c>
      <c r="X14" s="6" t="inlineStr">
        <is>
          <t>CubeSmart (store 6730)</t>
        </is>
      </c>
      <c r="Y14" s="6" t="inlineStr">
        <is>
          <t>R0086010 - 15413 E 18th Avenue.pdf</t>
        </is>
      </c>
    </row>
    <row r="15">
      <c r="A15" s="6" t="inlineStr">
        <is>
          <t>R0085571</t>
        </is>
      </c>
      <c r="B15" s="6" t="inlineStr">
        <is>
          <t>R0085571</t>
        </is>
      </c>
      <c r="C15" s="6" t="inlineStr">
        <is>
          <t>0182131405022</t>
        </is>
      </c>
      <c r="D15" s="6" t="inlineStr">
        <is>
          <t>Aurora Altura Boulevard CS 6731</t>
        </is>
      </c>
      <c r="E15" s="6" t="inlineStr">
        <is>
          <t>1540 Altura Blvd</t>
        </is>
      </c>
      <c r="F15" s="6" t="inlineStr">
        <is>
          <t>Aurora</t>
        </is>
      </c>
      <c r="G15" s="5" t="inlineStr">
        <is>
          <t>CO</t>
        </is>
      </c>
      <c r="H15" s="6" t="inlineStr">
        <is>
          <t>80011</t>
        </is>
      </c>
      <c r="I15" s="6" t="inlineStr">
        <is>
          <t>Adams</t>
        </is>
      </c>
      <c r="J15" s="6" t="inlineStr">
        <is>
          <t>Winner Storage LLC / PTA USI No 731</t>
        </is>
      </c>
      <c r="K15" s="6" t="inlineStr">
        <is>
          <t>Winner Storage LLC</t>
        </is>
      </c>
      <c r="L15" s="6" t="inlineStr">
        <is>
          <t>Specialty - Self Storage</t>
        </is>
      </c>
      <c r="M15" s="6" t="inlineStr">
        <is>
          <t>Single (proforma; blanket self-storage lease)</t>
        </is>
      </c>
      <c r="N15" s="6" t="n">
        <v>2.05</v>
      </c>
      <c r="O15" s="8" t="n">
        <v>89298</v>
      </c>
      <c r="P15" s="8" t="n"/>
      <c r="Q15" s="8" t="n">
        <v>27139</v>
      </c>
      <c r="R15" s="6" t="n">
        <v>1978</v>
      </c>
      <c r="S15" s="6" t="inlineStr">
        <is>
          <t>3.29:1</t>
        </is>
      </c>
      <c r="T15" s="6" t="inlineStr">
        <is>
          <t>100% assumed in proforma (0% vacancy loss)</t>
        </is>
      </c>
      <c r="U15" s="9" t="n">
        <v>3309468</v>
      </c>
      <c r="V15" s="5" t="inlineStr">
        <is>
          <t>2025</t>
        </is>
      </c>
      <c r="W15" s="9" t="n">
        <v>2546900</v>
      </c>
      <c r="X15" s="6" t="inlineStr">
        <is>
          <t>CubeSmart (store 6731)</t>
        </is>
      </c>
      <c r="Y15" s="6" t="inlineStr">
        <is>
          <t>R0085571 - 1540 Altura Blvd.pdf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22" customWidth="1" min="4" max="4"/>
    <col width="13" customWidth="1" min="5" max="5"/>
    <col width="13" customWidth="1" min="6" max="6"/>
    <col width="9" customWidth="1" min="7" max="7"/>
    <col width="11" customWidth="1" min="8" max="8"/>
    <col width="11" customWidth="1" min="9" max="9"/>
    <col width="14" customWidth="1" min="10" max="10"/>
    <col width="12" customWidth="1" min="11" max="11"/>
    <col width="10" customWidth="1" min="12" max="12"/>
    <col width="44" customWidth="1" min="13" max="13"/>
    <col width="40" customWidth="1" min="14" max="14"/>
  </cols>
  <sheetData>
    <row r="1" ht="26" customHeight="1">
      <c r="A1" s="1" t="inlineStr">
        <is>
          <t>TENANTS &amp; LEASES</t>
        </is>
      </c>
    </row>
    <row r="2" ht="14" customHeight="1">
      <c r="A2" s="2" t="inlineStr">
        <is>
          <t>Actual tenants &amp; rent rolls (125 Bridge St, 5970 Marion) and proforma lease assumptions (tax appeals)</t>
        </is>
      </c>
    </row>
    <row r="4" ht="30" customHeight="1">
      <c r="A4" s="4" t="inlineStr">
        <is>
          <t>Property</t>
        </is>
      </c>
      <c r="B4" s="4" t="inlineStr">
        <is>
          <t>Unit</t>
        </is>
      </c>
      <c r="C4" s="4" t="inlineStr">
        <is>
          <t>Tenant</t>
        </is>
      </c>
      <c r="D4" s="4" t="inlineStr">
        <is>
          <t>Basis / Lease Type</t>
        </is>
      </c>
      <c r="E4" s="4" t="inlineStr">
        <is>
          <t>Monthly Rent</t>
        </is>
      </c>
      <c r="F4" s="4" t="inlineStr">
        <is>
          <t>Annual Rent</t>
        </is>
      </c>
      <c r="G4" s="4" t="inlineStr">
        <is>
          <t>Rent PSF</t>
        </is>
      </c>
      <c r="H4" s="4" t="inlineStr">
        <is>
          <t>Lease Start</t>
        </is>
      </c>
      <c r="I4" s="4" t="inlineStr">
        <is>
          <t>Lease End</t>
        </is>
      </c>
      <c r="J4" s="4" t="inlineStr">
        <is>
          <t>Term / Option</t>
        </is>
      </c>
      <c r="K4" s="4" t="inlineStr">
        <is>
          <t>Monthly CAM</t>
        </is>
      </c>
      <c r="L4" s="4" t="inlineStr">
        <is>
          <t>Deposit</t>
        </is>
      </c>
      <c r="M4" s="4" t="inlineStr">
        <is>
          <t>Notes</t>
        </is>
      </c>
    </row>
    <row r="5">
      <c r="A5" s="10" t="inlineStr">
        <is>
          <t>125 Bridge St, Brighton (R0002819) — Broadview LLC  |  Rent Roll (monthly, current as of Jan-2024)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1" t="n"/>
    </row>
    <row r="6">
      <c r="A6" s="6" t="inlineStr">
        <is>
          <t>125 Bridge St</t>
        </is>
      </c>
      <c r="B6" s="6" t="inlineStr">
        <is>
          <t>A (Indoor)</t>
        </is>
      </c>
      <c r="C6" s="6" t="inlineStr">
        <is>
          <t>Bulldog Tires</t>
        </is>
      </c>
      <c r="D6" s="6" t="inlineStr">
        <is>
          <t>Lease</t>
        </is>
      </c>
      <c r="E6" s="9" t="n">
        <v>4414</v>
      </c>
      <c r="F6" s="6" t="n"/>
      <c r="G6" s="6" t="n"/>
      <c r="H6" s="5" t="inlineStr">
        <is>
          <t>2/15/2021</t>
        </is>
      </c>
      <c r="I6" s="5" t="inlineStr">
        <is>
          <t>9/30/2026</t>
        </is>
      </c>
      <c r="J6" s="5" t="inlineStr">
        <is>
          <t>3-yr option</t>
        </is>
      </c>
      <c r="K6" s="9" t="n">
        <v>2550</v>
      </c>
      <c r="L6" s="6" t="inlineStr">
        <is>
          <t>na</t>
        </is>
      </c>
      <c r="M6" s="6" t="inlineStr"/>
    </row>
    <row r="7">
      <c r="A7" s="6" t="inlineStr">
        <is>
          <t>125 Bridge St</t>
        </is>
      </c>
      <c r="B7" s="6" t="inlineStr">
        <is>
          <t>B (Indoor)</t>
        </is>
      </c>
      <c r="C7" s="6" t="inlineStr">
        <is>
          <t>Manny Mercado</t>
        </is>
      </c>
      <c r="D7" s="6" t="inlineStr">
        <is>
          <t>Lease</t>
        </is>
      </c>
      <c r="E7" s="9" t="n">
        <v>2425</v>
      </c>
      <c r="F7" s="6" t="n"/>
      <c r="G7" s="6" t="n"/>
      <c r="H7" s="5" t="inlineStr">
        <is>
          <t>4/1/2024</t>
        </is>
      </c>
      <c r="I7" s="5" t="inlineStr">
        <is>
          <t>3/31/2029</t>
        </is>
      </c>
      <c r="J7" s="5" t="inlineStr">
        <is>
          <t>2-yr option</t>
        </is>
      </c>
      <c r="K7" s="9" t="n">
        <v>1000</v>
      </c>
      <c r="L7" s="9" t="n">
        <v>2425</v>
      </c>
      <c r="M7" s="6" t="inlineStr"/>
    </row>
    <row r="8">
      <c r="A8" s="6" t="inlineStr">
        <is>
          <t>125 Bridge St</t>
        </is>
      </c>
      <c r="B8" s="6" t="inlineStr">
        <is>
          <t>C (Indoor)</t>
        </is>
      </c>
      <c r="C8" s="6" t="inlineStr">
        <is>
          <t>Drip and Stitch</t>
        </is>
      </c>
      <c r="D8" s="6" t="inlineStr">
        <is>
          <t>Lease</t>
        </is>
      </c>
      <c r="E8" s="9" t="n">
        <v>4000</v>
      </c>
      <c r="F8" s="6" t="n"/>
      <c r="G8" s="6" t="n"/>
      <c r="H8" s="5" t="inlineStr">
        <is>
          <t>12/15/2024</t>
        </is>
      </c>
      <c r="I8" s="5" t="inlineStr">
        <is>
          <t>11/30/2025</t>
        </is>
      </c>
      <c r="J8" s="5" t="inlineStr">
        <is>
          <t>1-yr option</t>
        </is>
      </c>
      <c r="K8" s="6" t="n"/>
      <c r="L8" s="9" t="n">
        <v>2500</v>
      </c>
      <c r="M8" s="6" t="inlineStr">
        <is>
          <t>CAM unit 'Cabinet Connections' vacated 3/31/24</t>
        </is>
      </c>
    </row>
    <row r="9">
      <c r="A9" s="6" t="inlineStr">
        <is>
          <t>125 Bridge St</t>
        </is>
      </c>
      <c r="B9" s="6" t="inlineStr">
        <is>
          <t>D (Indoor)</t>
        </is>
      </c>
      <c r="C9" s="6" t="inlineStr">
        <is>
          <t>Galaxy Greens</t>
        </is>
      </c>
      <c r="D9" s="6" t="inlineStr">
        <is>
          <t>Lease</t>
        </is>
      </c>
      <c r="E9" s="9" t="n">
        <v>6000</v>
      </c>
      <c r="F9" s="6" t="n"/>
      <c r="G9" s="6" t="n"/>
      <c r="H9" s="5" t="inlineStr">
        <is>
          <t>3/1/2024</t>
        </is>
      </c>
      <c r="I9" s="5" t="inlineStr">
        <is>
          <t>10/31/2033</t>
        </is>
      </c>
      <c r="J9" s="5" t="inlineStr">
        <is>
          <t>5-yr option</t>
        </is>
      </c>
      <c r="K9" s="9" t="n">
        <v>1450</v>
      </c>
      <c r="L9" s="6" t="n"/>
      <c r="M9" s="6" t="inlineStr"/>
    </row>
    <row r="10">
      <c r="A10" s="6" t="inlineStr">
        <is>
          <t>125 Bridge St</t>
        </is>
      </c>
      <c r="B10" s="6" t="inlineStr">
        <is>
          <t>E (Indoor)</t>
        </is>
      </c>
      <c r="C10" s="6" t="inlineStr">
        <is>
          <t>Intensive Drilling</t>
        </is>
      </c>
      <c r="D10" s="6" t="inlineStr">
        <is>
          <t>Lease</t>
        </is>
      </c>
      <c r="E10" s="9" t="n">
        <v>4500</v>
      </c>
      <c r="F10" s="6" t="n"/>
      <c r="G10" s="6" t="n"/>
      <c r="H10" s="5" t="inlineStr">
        <is>
          <t>1/1/2025</t>
        </is>
      </c>
      <c r="I10" s="5" t="inlineStr">
        <is>
          <t>12/1/2029</t>
        </is>
      </c>
      <c r="J10" s="5" t="inlineStr">
        <is>
          <t>5-yr option</t>
        </is>
      </c>
      <c r="K10" s="9" t="n">
        <v>0</v>
      </c>
      <c r="L10" s="9" t="n">
        <v>3100</v>
      </c>
      <c r="M10" s="6" t="inlineStr"/>
    </row>
    <row r="11">
      <c r="A11" s="6" t="inlineStr">
        <is>
          <t>125 Bridge St</t>
        </is>
      </c>
      <c r="B11" s="6" t="inlineStr">
        <is>
          <t>F (Indoor)</t>
        </is>
      </c>
      <c r="C11" s="6" t="inlineStr">
        <is>
          <t>Intensive Drilling</t>
        </is>
      </c>
      <c r="D11" s="6" t="inlineStr">
        <is>
          <t>Lease</t>
        </is>
      </c>
      <c r="E11" s="6" t="n"/>
      <c r="F11" s="6" t="n"/>
      <c r="G11" s="6" t="n"/>
      <c r="H11" s="5" t="inlineStr">
        <is>
          <t>—</t>
        </is>
      </c>
      <c r="I11" s="5" t="inlineStr">
        <is>
          <t>—</t>
        </is>
      </c>
      <c r="J11" s="5" t="inlineStr">
        <is>
          <t>—</t>
        </is>
      </c>
      <c r="K11" s="6" t="n"/>
      <c r="L11" s="6" t="n"/>
      <c r="M11" s="6" t="inlineStr">
        <is>
          <t>Listed; no rent shown (vacant/expansion)</t>
        </is>
      </c>
    </row>
    <row r="12">
      <c r="A12" s="6" t="inlineStr">
        <is>
          <t>125 Bridge St</t>
        </is>
      </c>
      <c r="B12" s="6" t="inlineStr">
        <is>
          <t>Outdoor</t>
        </is>
      </c>
      <c r="C12" s="6" t="inlineStr">
        <is>
          <t>ABC</t>
        </is>
      </c>
      <c r="D12" s="6" t="inlineStr">
        <is>
          <t>Lease</t>
        </is>
      </c>
      <c r="E12" s="9" t="n">
        <v>5000</v>
      </c>
      <c r="F12" s="6" t="n"/>
      <c r="G12" s="6" t="n"/>
      <c r="H12" s="5" t="inlineStr">
        <is>
          <t>—</t>
        </is>
      </c>
      <c r="I12" s="5" t="inlineStr">
        <is>
          <t>2/28/2026</t>
        </is>
      </c>
      <c r="J12" s="5" t="inlineStr">
        <is>
          <t>1-yr option</t>
        </is>
      </c>
      <c r="K12" s="6" t="n"/>
      <c r="L12" s="6" t="n"/>
      <c r="M12" s="6" t="inlineStr"/>
    </row>
    <row r="13">
      <c r="A13" s="6" t="inlineStr">
        <is>
          <t>125 Bridge St</t>
        </is>
      </c>
      <c r="B13" s="6" t="inlineStr">
        <is>
          <t>Outdoor</t>
        </is>
      </c>
      <c r="C13" s="6" t="inlineStr">
        <is>
          <t>Intensive Drilling</t>
        </is>
      </c>
      <c r="D13" s="6" t="inlineStr">
        <is>
          <t>Lease</t>
        </is>
      </c>
      <c r="E13" s="9" t="n">
        <v>4000</v>
      </c>
      <c r="F13" s="6" t="n"/>
      <c r="G13" s="6" t="n"/>
      <c r="H13" s="5" t="inlineStr">
        <is>
          <t>—</t>
        </is>
      </c>
      <c r="I13" s="5" t="inlineStr">
        <is>
          <t>as above</t>
        </is>
      </c>
      <c r="J13" s="5" t="inlineStr">
        <is>
          <t>—</t>
        </is>
      </c>
      <c r="K13" s="6" t="n"/>
      <c r="L13" s="9" t="n">
        <v>3500</v>
      </c>
      <c r="M13" s="6" t="inlineStr"/>
    </row>
    <row r="14">
      <c r="A14" s="6" t="inlineStr">
        <is>
          <t>125 Bridge St</t>
        </is>
      </c>
      <c r="B14" s="6" t="inlineStr">
        <is>
          <t>Outdoor</t>
        </is>
      </c>
      <c r="C14" s="6" t="inlineStr">
        <is>
          <t>El Tacos</t>
        </is>
      </c>
      <c r="D14" s="6" t="inlineStr">
        <is>
          <t>Lease</t>
        </is>
      </c>
      <c r="E14" s="9" t="n">
        <v>150</v>
      </c>
      <c r="F14" s="6" t="n"/>
      <c r="G14" s="6" t="n"/>
      <c r="H14" s="5" t="inlineStr">
        <is>
          <t>—</t>
        </is>
      </c>
      <c r="I14" s="5" t="inlineStr">
        <is>
          <t>9/30</t>
        </is>
      </c>
      <c r="J14" s="5" t="inlineStr">
        <is>
          <t>12 months</t>
        </is>
      </c>
      <c r="K14" s="6" t="n"/>
      <c r="L14" s="6" t="n"/>
      <c r="M14" s="6" t="inlineStr"/>
    </row>
    <row r="15">
      <c r="A15" s="6" t="inlineStr">
        <is>
          <t>125 Bridge St</t>
        </is>
      </c>
      <c r="B15" s="6" t="inlineStr">
        <is>
          <t>Outdoor</t>
        </is>
      </c>
      <c r="C15" s="6" t="inlineStr">
        <is>
          <t>Cabinet</t>
        </is>
      </c>
      <c r="D15" s="6" t="inlineStr">
        <is>
          <t>MTM</t>
        </is>
      </c>
      <c r="E15" s="9" t="n">
        <v>140</v>
      </c>
      <c r="F15" s="6" t="n"/>
      <c r="G15" s="6" t="n"/>
      <c r="H15" s="5" t="inlineStr">
        <is>
          <t>—</t>
        </is>
      </c>
      <c r="I15" s="5" t="inlineStr">
        <is>
          <t>—</t>
        </is>
      </c>
      <c r="J15" s="5" t="inlineStr">
        <is>
          <t>month-to-month</t>
        </is>
      </c>
      <c r="K15" s="6" t="n"/>
      <c r="L15" s="6" t="n"/>
      <c r="M15" s="6" t="inlineStr"/>
    </row>
    <row r="16">
      <c r="A16" s="6" t="inlineStr">
        <is>
          <t>125 Bridge St</t>
        </is>
      </c>
      <c r="B16" s="6" t="inlineStr">
        <is>
          <t>Outdoor</t>
        </is>
      </c>
      <c r="C16" s="6" t="inlineStr">
        <is>
          <t>RV Parking</t>
        </is>
      </c>
      <c r="D16" s="6" t="inlineStr">
        <is>
          <t>MTM</t>
        </is>
      </c>
      <c r="E16" s="9" t="n">
        <v>75</v>
      </c>
      <c r="F16" s="6" t="n"/>
      <c r="G16" s="6" t="n"/>
      <c r="H16" s="5" t="inlineStr">
        <is>
          <t>—</t>
        </is>
      </c>
      <c r="I16" s="5" t="inlineStr">
        <is>
          <t>—</t>
        </is>
      </c>
      <c r="J16" s="5" t="inlineStr">
        <is>
          <t>month-to-month</t>
        </is>
      </c>
      <c r="K16" s="6" t="n"/>
      <c r="L16" s="6" t="n"/>
      <c r="M16" s="6" t="inlineStr"/>
    </row>
    <row r="17">
      <c r="A17" s="11" t="inlineStr">
        <is>
          <t>125 Bridge St</t>
        </is>
      </c>
      <c r="B17" s="12" t="inlineStr">
        <is>
          <t>TOTALS</t>
        </is>
      </c>
      <c r="C17" s="12" t="inlineStr">
        <is>
          <t>Total Rental Income (monthly)</t>
        </is>
      </c>
      <c r="D17" s="13" t="inlineStr"/>
      <c r="E17" s="14">
        <f>SUM(E6:E16)</f>
        <v/>
      </c>
      <c r="F17" s="14">
        <f>E17*12</f>
        <v/>
      </c>
      <c r="G17" s="13" t="inlineStr"/>
      <c r="H17" s="13" t="inlineStr"/>
      <c r="I17" s="13" t="inlineStr"/>
      <c r="J17" s="13" t="inlineStr"/>
      <c r="K17" s="14">
        <f>SUM(K6:K16)</f>
        <v/>
      </c>
      <c r="L17" s="13" t="inlineStr"/>
      <c r="M17" s="15" t="inlineStr">
        <is>
          <t>Monthly CAM total $5,000; annualized gross scheduled income ≈ monthly total × 12. IRS Form 8825 actual 2024 gross rents were $307,817.</t>
        </is>
      </c>
    </row>
    <row r="18">
      <c r="A18" s="10" t="inlineStr">
        <is>
          <t>5970 Marion Drive (0182511303018) — actual tenants (FY2024)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1" t="n"/>
    </row>
    <row r="19">
      <c r="A19" s="6" t="inlineStr">
        <is>
          <t>5970 Marion</t>
        </is>
      </c>
      <c r="B19" s="6" t="inlineStr">
        <is>
          <t>Unit 1</t>
        </is>
      </c>
      <c r="C19" s="6" t="inlineStr">
        <is>
          <t>Whatever It Takes Transmissions &amp; Parts, Inc.</t>
        </is>
      </c>
      <c r="D19" s="6" t="inlineStr">
        <is>
          <t>Actual (NNN w/ CAM)</t>
        </is>
      </c>
      <c r="E19" s="6" t="n"/>
      <c r="F19" s="6" t="n"/>
      <c r="G19" s="6" t="n"/>
      <c r="H19" s="5" t="inlineStr">
        <is>
          <t>—</t>
        </is>
      </c>
      <c r="I19" s="5" t="inlineStr">
        <is>
          <t>—</t>
        </is>
      </c>
      <c r="J19" s="5" t="inlineStr">
        <is>
          <t>—</t>
        </is>
      </c>
      <c r="K19" s="6" t="n"/>
      <c r="L19" s="6" t="n"/>
      <c r="M19" s="6" t="inlineStr">
        <is>
          <t>2024 monthly rent ~$9,136; billed CAM escrows separately</t>
        </is>
      </c>
    </row>
    <row r="20">
      <c r="A20" s="6" t="inlineStr">
        <is>
          <t>5970 Marion</t>
        </is>
      </c>
      <c r="B20" s="6" t="inlineStr">
        <is>
          <t>Unit 2</t>
        </is>
      </c>
      <c r="C20" s="6" t="inlineStr">
        <is>
          <t>Integrated Turf Solutions LLC</t>
        </is>
      </c>
      <c r="D20" s="6" t="inlineStr">
        <is>
          <t>Actual (NNN w/ CAM)</t>
        </is>
      </c>
      <c r="E20" s="6" t="n"/>
      <c r="F20" s="6" t="n"/>
      <c r="G20" s="6" t="n"/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6" t="n"/>
      <c r="L20" s="6" t="n"/>
      <c r="M20" s="6" t="inlineStr">
        <is>
          <t>2024 monthly rent ranged $3,120-$6,860; billed CAM escrows</t>
        </is>
      </c>
    </row>
    <row r="21">
      <c r="A21" s="10" t="inlineStr">
        <is>
          <t>Tax-appeal proforma lease assumptions (not executed leases)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1" t="n"/>
    </row>
    <row r="22">
      <c r="A22" s="6" t="inlineStr">
        <is>
          <t>7205 Gilpin Way</t>
        </is>
      </c>
      <c r="B22" s="6" t="inlineStr">
        <is>
          <t>Whole</t>
        </is>
      </c>
      <c r="C22" s="6" t="inlineStr">
        <is>
          <t>Proforma single-tenant</t>
        </is>
      </c>
      <c r="D22" s="6" t="inlineStr">
        <is>
          <t>Proforma NNN</t>
        </is>
      </c>
      <c r="E22" s="6" t="n"/>
      <c r="F22" s="9" t="n">
        <v>359394</v>
      </c>
      <c r="G22" s="16" t="n">
        <v>10.5</v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6" t="n"/>
      <c r="L22" s="6" t="n"/>
      <c r="M22" s="6" t="inlineStr">
        <is>
          <t>OpEx 8% EGI; 5% vacancy (Ryan)</t>
        </is>
      </c>
    </row>
    <row r="23">
      <c r="A23" s="6" t="inlineStr">
        <is>
          <t>17608 E. 24th Dr</t>
        </is>
      </c>
      <c r="B23" s="6" t="inlineStr">
        <is>
          <t>Whole</t>
        </is>
      </c>
      <c r="C23" s="6" t="inlineStr">
        <is>
          <t>Proforma single-tenant</t>
        </is>
      </c>
      <c r="D23" s="6" t="inlineStr">
        <is>
          <t>Proforma NNN</t>
        </is>
      </c>
      <c r="E23" s="6" t="n"/>
      <c r="F23" s="9" t="n">
        <v>209100</v>
      </c>
      <c r="G23" s="16" t="n">
        <v>10</v>
      </c>
      <c r="H23" s="5" t="inlineStr">
        <is>
          <t>—</t>
        </is>
      </c>
      <c r="I23" s="5" t="inlineStr">
        <is>
          <t>—</t>
        </is>
      </c>
      <c r="J23" s="5" t="inlineStr">
        <is>
          <t>—</t>
        </is>
      </c>
      <c r="K23" s="6" t="n"/>
      <c r="L23" s="6" t="n"/>
      <c r="M23" s="6" t="inlineStr">
        <is>
          <t>OpEx 8% EGI; 5% vacancy (Ryan)</t>
        </is>
      </c>
    </row>
    <row r="24">
      <c r="A24" s="6" t="inlineStr">
        <is>
          <t>12260 Pennsylvania St</t>
        </is>
      </c>
      <c r="B24" s="6" t="inlineStr">
        <is>
          <t>Whole</t>
        </is>
      </c>
      <c r="C24" s="6" t="inlineStr">
        <is>
          <t>Proforma single-tenant</t>
        </is>
      </c>
      <c r="D24" s="6" t="inlineStr">
        <is>
          <t>Proforma NNN</t>
        </is>
      </c>
      <c r="E24" s="6" t="n"/>
      <c r="F24" s="9" t="n">
        <v>237290</v>
      </c>
      <c r="G24" s="16" t="n">
        <v>10</v>
      </c>
      <c r="H24" s="5" t="inlineStr">
        <is>
          <t>—</t>
        </is>
      </c>
      <c r="I24" s="5" t="inlineStr">
        <is>
          <t>—</t>
        </is>
      </c>
      <c r="J24" s="5" t="inlineStr">
        <is>
          <t>—</t>
        </is>
      </c>
      <c r="K24" s="6" t="n"/>
      <c r="L24" s="6" t="n"/>
      <c r="M24" s="6" t="inlineStr">
        <is>
          <t>Face rent $10; actual tenant $9.50/sf NNN as of 1/1/24; 7% vac, 10% OpEx (Ryan)</t>
        </is>
      </c>
    </row>
    <row r="25">
      <c r="A25" s="6" t="inlineStr">
        <is>
          <t>6770 E. 56th Ave</t>
        </is>
      </c>
      <c r="B25" s="6" t="inlineStr">
        <is>
          <t>Whole</t>
        </is>
      </c>
      <c r="C25" s="6" t="inlineStr">
        <is>
          <t>Proforma single-tenant</t>
        </is>
      </c>
      <c r="D25" s="6" t="inlineStr">
        <is>
          <t>Proforma</t>
        </is>
      </c>
      <c r="E25" s="6" t="n"/>
      <c r="F25" s="9" t="n">
        <v>115824</v>
      </c>
      <c r="G25" s="16" t="n">
        <v>12</v>
      </c>
      <c r="H25" s="5" t="inlineStr">
        <is>
          <t>—</t>
        </is>
      </c>
      <c r="I25" s="5" t="inlineStr">
        <is>
          <t>—</t>
        </is>
      </c>
      <c r="J25" s="5" t="inlineStr">
        <is>
          <t>—</t>
        </is>
      </c>
      <c r="K25" s="6" t="n"/>
      <c r="L25" s="6" t="n"/>
      <c r="M25" s="6" t="inlineStr">
        <is>
          <t>$12/sf; 95% occ; 5% expenses (Property Tax Advisors)</t>
        </is>
      </c>
    </row>
    <row r="26">
      <c r="A26" s="6" t="inlineStr">
        <is>
          <t>5650 Washington St</t>
        </is>
      </c>
      <c r="B26" s="6" t="inlineStr">
        <is>
          <t>Multiple</t>
        </is>
      </c>
      <c r="C26" s="6" t="inlineStr">
        <is>
          <t>Actual multi-tenant (modified gross)</t>
        </is>
      </c>
      <c r="D26" s="6" t="inlineStr">
        <is>
          <t>Modified Gross</t>
        </is>
      </c>
      <c r="E26" s="6" t="n"/>
      <c r="F26" s="6" t="n"/>
      <c r="G26" s="6" t="n"/>
      <c r="H26" s="5" t="inlineStr">
        <is>
          <t>—</t>
        </is>
      </c>
      <c r="I26" s="5" t="inlineStr">
        <is>
          <t>—</t>
        </is>
      </c>
      <c r="J26" s="5" t="inlineStr">
        <is>
          <t>—</t>
        </is>
      </c>
      <c r="K26" s="6" t="n"/>
      <c r="L26" s="6" t="n"/>
      <c r="M26" s="6" t="inlineStr">
        <is>
          <t>Actual rents $10.28-$31.48/sf; majority $13-17/sf; $15/sf applied to vacant space. Detailed rent roll embedded as image in appraisal.</t>
        </is>
      </c>
    </row>
  </sheetData>
  <mergeCells count="5">
    <mergeCell ref="A1:M1"/>
    <mergeCell ref="A5:M5"/>
    <mergeCell ref="A18:M18"/>
    <mergeCell ref="A21:M21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3" customWidth="1" min="4" max="4"/>
    <col width="14" customWidth="1" min="5" max="5"/>
    <col width="14" customWidth="1" min="6" max="6"/>
    <col width="10" customWidth="1" min="7" max="7"/>
    <col width="15" customWidth="1" min="8" max="8"/>
  </cols>
  <sheetData>
    <row r="1" ht="26" customHeight="1">
      <c r="A1" s="1" t="inlineStr">
        <is>
          <t>ASSESSMENTS &amp; VALUATION</t>
        </is>
      </c>
    </row>
    <row r="2" ht="14" customHeight="1">
      <c r="A2" s="2" t="inlineStr">
        <is>
          <t>Assessed/county values and income-approach proformas across the tax-appeal &amp; appraisal documents</t>
        </is>
      </c>
    </row>
    <row r="4">
      <c r="A4" s="17" t="inlineStr">
        <is>
          <t>A. Assessed / County Values</t>
        </is>
      </c>
      <c r="B4" s="20" t="n"/>
      <c r="C4" s="20" t="n"/>
      <c r="D4" s="20" t="n"/>
      <c r="E4" s="20" t="n"/>
      <c r="F4" s="20" t="n"/>
      <c r="G4" s="20" t="n"/>
      <c r="H4" s="21" t="n"/>
    </row>
    <row r="5" ht="30" customHeight="1">
      <c r="A5" s="4" t="inlineStr">
        <is>
          <t>Property</t>
        </is>
      </c>
      <c r="B5" s="4" t="inlineStr">
        <is>
          <t>Assess/Tax Yr</t>
        </is>
      </c>
      <c r="C5" s="4" t="inlineStr">
        <is>
          <t>Assessor / County Value</t>
        </is>
      </c>
      <c r="D5" s="4" t="inlineStr">
        <is>
          <t>Value PSF</t>
        </is>
      </c>
      <c r="E5" s="4" t="inlineStr">
        <is>
          <t>Taxpayer / Petitioner Opinion</t>
        </is>
      </c>
      <c r="F5" s="4" t="inlineStr">
        <is>
          <t>Opinion PSF</t>
        </is>
      </c>
      <c r="G5" s="4" t="inlineStr">
        <is>
          <t>Prior-Yr Value</t>
        </is>
      </c>
      <c r="H5" s="4" t="inlineStr">
        <is>
          <t>Source</t>
        </is>
      </c>
    </row>
    <row r="6">
      <c r="A6" s="6" t="inlineStr">
        <is>
          <t>7205 Gilpin Way (R0178308)</t>
        </is>
      </c>
      <c r="B6" s="5" t="inlineStr">
        <is>
          <t>2025</t>
        </is>
      </c>
      <c r="C6" s="9" t="n">
        <v>5150325</v>
      </c>
      <c r="D6" s="16" t="n">
        <v>150.47</v>
      </c>
      <c r="E6" s="9" t="n">
        <v>4832500</v>
      </c>
      <c r="F6" s="16" t="n">
        <v>141.19</v>
      </c>
      <c r="G6" s="9" t="n">
        <v>4999770</v>
      </c>
      <c r="H6" s="6" t="inlineStr">
        <is>
          <t>R0178308</t>
        </is>
      </c>
    </row>
    <row r="7">
      <c r="A7" s="6" t="inlineStr">
        <is>
          <t>17608 E. 24th Dr (R0169133)</t>
        </is>
      </c>
      <c r="B7" s="5" t="inlineStr">
        <is>
          <t>2025</t>
        </is>
      </c>
      <c r="C7" s="9" t="n">
        <v>3408546</v>
      </c>
      <c r="D7" s="16" t="n"/>
      <c r="E7" s="9" t="n">
        <v>3050000</v>
      </c>
      <c r="F7" s="16" t="n">
        <v>145.86</v>
      </c>
      <c r="G7" s="9" t="n">
        <v>2900000</v>
      </c>
      <c r="H7" s="6" t="inlineStr">
        <is>
          <t>R0169133 (cover)</t>
        </is>
      </c>
    </row>
    <row r="8">
      <c r="A8" s="6" t="inlineStr">
        <is>
          <t>12260 Pennsylvania St (R0024442)</t>
        </is>
      </c>
      <c r="B8" s="5" t="inlineStr">
        <is>
          <t>2025</t>
        </is>
      </c>
      <c r="C8" s="9" t="n">
        <v>3876387</v>
      </c>
      <c r="D8" s="16" t="n">
        <v>163.36</v>
      </c>
      <c r="E8" s="9" t="n">
        <v>2837000</v>
      </c>
      <c r="F8" s="16" t="n">
        <v>119.56</v>
      </c>
      <c r="G8" s="9" t="n">
        <v>2000000</v>
      </c>
      <c r="H8" s="6" t="inlineStr">
        <is>
          <t>R0024442</t>
        </is>
      </c>
    </row>
    <row r="9">
      <c r="A9" s="6" t="inlineStr">
        <is>
          <t>6770 E. 56th Ave (R0092302)</t>
        </is>
      </c>
      <c r="B9" s="5" t="inlineStr">
        <is>
          <t>2026</t>
        </is>
      </c>
      <c r="C9" s="9" t="n">
        <v>1815434</v>
      </c>
      <c r="D9" s="16" t="n">
        <v>188.09</v>
      </c>
      <c r="E9" s="9" t="n">
        <v>1493032</v>
      </c>
      <c r="F9" s="16" t="n">
        <v>154.69</v>
      </c>
      <c r="G9" s="9" t="n"/>
      <c r="H9" s="6" t="inlineStr">
        <is>
          <t>R0092302</t>
        </is>
      </c>
    </row>
    <row r="10">
      <c r="A10" s="6" t="inlineStr">
        <is>
          <t>5970 Marion Drive</t>
        </is>
      </c>
      <c r="B10" s="5" t="inlineStr">
        <is>
          <t>2025 (assigned)</t>
        </is>
      </c>
      <c r="C10" s="9" t="n">
        <v>2527915</v>
      </c>
      <c r="D10" s="16" t="n">
        <v>175.55</v>
      </c>
      <c r="E10" s="9" t="n">
        <v>2460577</v>
      </c>
      <c r="F10" s="16" t="n"/>
      <c r="G10" s="9" t="n"/>
      <c r="H10" s="6" t="inlineStr">
        <is>
          <t>5970 Marion xlsx (income block)</t>
        </is>
      </c>
    </row>
    <row r="11">
      <c r="A11" s="6" t="inlineStr">
        <is>
          <t>10350 Washington St (R0040829)</t>
        </is>
      </c>
      <c r="B11" s="5" t="inlineStr">
        <is>
          <t>2026</t>
        </is>
      </c>
      <c r="C11" s="9" t="n">
        <v>5428808</v>
      </c>
      <c r="D11" s="16" t="n">
        <v>112.51</v>
      </c>
      <c r="E11" s="9" t="n">
        <v>4510000</v>
      </c>
      <c r="F11" s="16" t="n">
        <v>93.47</v>
      </c>
      <c r="G11" s="9" t="n"/>
      <c r="H11" s="6" t="inlineStr">
        <is>
          <t>R0040829</t>
        </is>
      </c>
    </row>
    <row r="12">
      <c r="A12" s="6" t="inlineStr">
        <is>
          <t>15413 E 18th Ave (R0086010)</t>
        </is>
      </c>
      <c r="B12" s="5" t="inlineStr">
        <is>
          <t>2026</t>
        </is>
      </c>
      <c r="C12" s="9" t="n">
        <v>8187500</v>
      </c>
      <c r="D12" s="16" t="n">
        <v>141.79</v>
      </c>
      <c r="E12" s="9" t="n">
        <v>6610000</v>
      </c>
      <c r="F12" s="16" t="n">
        <v>114.47</v>
      </c>
      <c r="G12" s="9" t="n"/>
      <c r="H12" s="6" t="inlineStr">
        <is>
          <t>R0086010</t>
        </is>
      </c>
    </row>
    <row r="13">
      <c r="A13" s="6" t="inlineStr">
        <is>
          <t>1540 Altura Blvd (R0085571)</t>
        </is>
      </c>
      <c r="B13" s="5" t="inlineStr">
        <is>
          <t>2025</t>
        </is>
      </c>
      <c r="C13" s="9" t="n">
        <v>3309468</v>
      </c>
      <c r="D13" s="16" t="n">
        <v>121.95</v>
      </c>
      <c r="E13" s="9" t="n">
        <v>2546900</v>
      </c>
      <c r="F13" s="16" t="n">
        <v>93.84999999999999</v>
      </c>
      <c r="G13" s="9" t="n">
        <v>3571199</v>
      </c>
      <c r="H13" s="6" t="inlineStr">
        <is>
          <t>R0085571</t>
        </is>
      </c>
    </row>
    <row r="15" ht="28" customHeight="1">
      <c r="A15" s="18" t="inlineStr">
        <is>
          <t>Historical detail — R0178308: 2025 Land $1,125,150 / Imp $4,025,175 / Total $5,150,325; 2024 Total $4,999,770.  R0169133: 2025 Land $992,519 / Imp $2,122,296 / schedule Total $3,114,815 (cover shows $3,408,546); 2024 Total $2,900,000.  R0024442: 2024 County $2,000,000 → 2025 $3,876,387 (+93.8%).</t>
        </is>
      </c>
      <c r="B15" s="20" t="n"/>
      <c r="C15" s="20" t="n"/>
      <c r="D15" s="20" t="n"/>
      <c r="E15" s="20" t="n"/>
      <c r="F15" s="20" t="n"/>
      <c r="G15" s="20" t="n"/>
      <c r="H15" s="21" t="n"/>
    </row>
    <row r="17">
      <c r="A17" s="17" t="inlineStr">
        <is>
          <t>B. Income-Approach Proformas</t>
        </is>
      </c>
      <c r="B17" s="20" t="n"/>
      <c r="C17" s="20" t="n"/>
      <c r="D17" s="20" t="n"/>
      <c r="E17" s="20" t="n"/>
      <c r="F17" s="20" t="n"/>
      <c r="G17" s="20" t="n"/>
      <c r="H17" s="21" t="n"/>
    </row>
    <row r="18" ht="30" customHeight="1">
      <c r="A18" s="4" t="inlineStr">
        <is>
          <t>Property</t>
        </is>
      </c>
      <c r="B18" s="4" t="inlineStr">
        <is>
          <t>PGI</t>
        </is>
      </c>
      <c r="C18" s="4" t="inlineStr">
        <is>
          <t>Vacancy</t>
        </is>
      </c>
      <c r="D18" s="4" t="inlineStr">
        <is>
          <t>EGI</t>
        </is>
      </c>
      <c r="E18" s="4" t="inlineStr">
        <is>
          <t>Operating Exp</t>
        </is>
      </c>
      <c r="F18" s="4" t="inlineStr">
        <is>
          <t>NOI</t>
        </is>
      </c>
      <c r="G18" s="4" t="inlineStr">
        <is>
          <t>Cap Rate</t>
        </is>
      </c>
      <c r="H18" s="4" t="inlineStr">
        <is>
          <t>Indicated Value</t>
        </is>
      </c>
    </row>
    <row r="19">
      <c r="A19" s="6" t="inlineStr">
        <is>
          <t>7205 Gilpin Way</t>
        </is>
      </c>
      <c r="B19" s="9" t="n">
        <v>359394</v>
      </c>
      <c r="C19" s="9" t="n">
        <v>-17970</v>
      </c>
      <c r="D19" s="9" t="n">
        <v>341424</v>
      </c>
      <c r="E19" s="9" t="n">
        <v>-27314</v>
      </c>
      <c r="F19" s="14" t="n">
        <v>314110</v>
      </c>
      <c r="G19" s="19" t="n">
        <v>0.065</v>
      </c>
      <c r="H19" s="14" t="n">
        <v>4832500</v>
      </c>
    </row>
    <row r="20">
      <c r="A20" s="6" t="inlineStr">
        <is>
          <t>17608 E. 24th Dr</t>
        </is>
      </c>
      <c r="B20" s="9" t="n">
        <v>209100</v>
      </c>
      <c r="C20" s="9" t="n">
        <v>-10455</v>
      </c>
      <c r="D20" s="9" t="n">
        <v>198645</v>
      </c>
      <c r="E20" s="9" t="n">
        <v>-15892</v>
      </c>
      <c r="F20" s="14" t="n">
        <v>182753</v>
      </c>
      <c r="G20" s="19" t="n">
        <v>0.06</v>
      </c>
      <c r="H20" s="14" t="n">
        <v>3050000</v>
      </c>
    </row>
    <row r="21">
      <c r="A21" s="6" t="inlineStr">
        <is>
          <t>12260 Pennsylvania St</t>
        </is>
      </c>
      <c r="B21" s="9" t="n">
        <v>237290</v>
      </c>
      <c r="C21" s="9" t="n">
        <v>-16610</v>
      </c>
      <c r="D21" s="9" t="n">
        <v>220680</v>
      </c>
      <c r="E21" s="9" t="n">
        <v>-22068</v>
      </c>
      <c r="F21" s="14" t="n">
        <v>198612</v>
      </c>
      <c r="G21" s="19" t="n">
        <v>0.07000000000000001</v>
      </c>
      <c r="H21" s="14" t="n">
        <v>2837000</v>
      </c>
    </row>
    <row r="22" ht="28" customHeight="1">
      <c r="A22" s="6" t="inlineStr">
        <is>
          <t>6770 E. 56th Ave</t>
        </is>
      </c>
      <c r="B22" s="9" t="n">
        <v>115824</v>
      </c>
      <c r="C22" s="9" t="n">
        <v>-5791</v>
      </c>
      <c r="D22" s="9" t="n">
        <v>110033</v>
      </c>
      <c r="E22" s="9" t="n">
        <v>-5502</v>
      </c>
      <c r="F22" s="14" t="n">
        <v>104531</v>
      </c>
      <c r="G22" s="19" t="n">
        <v>0.07000000000000001</v>
      </c>
      <c r="H22" s="14" t="n">
        <v>1493302</v>
      </c>
    </row>
    <row r="23">
      <c r="A23" s="6" t="inlineStr">
        <is>
          <t>5970 Marion Drive (mkt)</t>
        </is>
      </c>
      <c r="B23" s="9" t="n">
        <v>172800</v>
      </c>
      <c r="C23" s="9" t="n">
        <v>-8640</v>
      </c>
      <c r="D23" s="9" t="n">
        <v>164160</v>
      </c>
      <c r="E23" s="9" t="n">
        <v>-4223</v>
      </c>
      <c r="F23" s="14" t="n">
        <v>159937</v>
      </c>
      <c r="G23" s="19" t="n">
        <v>0.065</v>
      </c>
      <c r="H23" s="14" t="n">
        <v>2460577</v>
      </c>
    </row>
    <row r="24">
      <c r="A24" s="6" t="inlineStr">
        <is>
          <t>10350 Washington St (proforma)</t>
        </is>
      </c>
      <c r="B24" s="9" t="n">
        <v>796125</v>
      </c>
      <c r="C24" s="9" t="n">
        <v>-119419</v>
      </c>
      <c r="D24" s="9" t="n">
        <v>676706</v>
      </c>
      <c r="E24" s="9" t="n">
        <v>-372188</v>
      </c>
      <c r="F24" s="32" t="n">
        <v>304518</v>
      </c>
      <c r="G24" s="19" t="n">
        <v>0.0675</v>
      </c>
      <c r="H24" s="32" t="n">
        <v>4510000</v>
      </c>
    </row>
    <row r="25">
      <c r="A25" s="6" t="inlineStr">
        <is>
          <t>15413 E 18th Ave (proforma)</t>
        </is>
      </c>
      <c r="B25" s="9" t="n">
        <v>750646</v>
      </c>
      <c r="C25" s="9" t="n">
        <v>-90078</v>
      </c>
      <c r="D25" s="9" t="n">
        <v>660568</v>
      </c>
      <c r="E25" s="9" t="n">
        <v>-231199</v>
      </c>
      <c r="F25" s="32" t="n">
        <v>429370</v>
      </c>
      <c r="G25" s="19" t="n">
        <v>0.065</v>
      </c>
      <c r="H25" s="32" t="n">
        <v>6610000</v>
      </c>
    </row>
    <row r="26">
      <c r="A26" s="6" t="inlineStr">
        <is>
          <t>1540 Altura Blvd (proforma)</t>
        </is>
      </c>
      <c r="B26" s="9" t="n">
        <v>413870</v>
      </c>
      <c r="C26" s="9" t="n">
        <v>0</v>
      </c>
      <c r="D26" s="9" t="n">
        <v>413870</v>
      </c>
      <c r="E26" s="9" t="n">
        <v>-248322</v>
      </c>
      <c r="F26" s="32" t="n">
        <v>165548</v>
      </c>
      <c r="G26" s="19" t="n">
        <v>0.065</v>
      </c>
      <c r="H26" s="32" t="n">
        <v>2546900</v>
      </c>
    </row>
    <row r="28" ht="28" customHeight="1">
      <c r="A28" s="18" t="inlineStr">
        <is>
          <t>Proforma vacancy/EGI figures as reported by each preparer (Ryan, Property Tax Advisors, or owner's analysis). 5970 Marion figures are from the owner's income-approach block in the 2024 P&amp;L workbook (PGI $172,800, 95% occ, NOI $159,938, 6.5% cap → $2,460,577; assigned $2,527,915).  Self-storage proformas (10350 Washington, 15413 E 18th, 1540 Altura) are Ryan LLC income-capitalization appeals valuing the 100% NNN-leased self-storage facility as a single blanket tenancy, not unit-level rent rolls. Altura Blvd doc header prints 'Assessment Year: 2026' but its own value table is labeled 2025 (reproduced as printed).</t>
        </is>
      </c>
      <c r="B28" s="20" t="n"/>
      <c r="C28" s="20" t="n"/>
      <c r="D28" s="20" t="n"/>
      <c r="E28" s="20" t="n"/>
      <c r="F28" s="20" t="n"/>
      <c r="G28" s="20" t="n"/>
      <c r="H28" s="21" t="n"/>
    </row>
  </sheetData>
  <mergeCells count="6">
    <mergeCell ref="A4:H4"/>
    <mergeCell ref="A15:H15"/>
    <mergeCell ref="A2:H2"/>
    <mergeCell ref="A28:H28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8" customWidth="1" min="4" max="4"/>
    <col width="50" customWidth="1" min="5" max="5"/>
  </cols>
  <sheetData>
    <row r="1" ht="26" customHeight="1">
      <c r="A1" s="1" t="inlineStr">
        <is>
          <t>INCOME &amp; EXPENSE SUMMARY</t>
        </is>
      </c>
    </row>
    <row r="2" ht="14" customHeight="1">
      <c r="A2" s="2" t="inlineStr">
        <is>
          <t>Operating income, expense &amp; net by property and year (cash/tax basis as noted)</t>
        </is>
      </c>
    </row>
    <row r="4" ht="28" customHeight="1">
      <c r="A4" s="4" t="inlineStr">
        <is>
          <t>Property / Year</t>
        </is>
      </c>
      <c r="B4" s="4" t="inlineStr">
        <is>
          <t>Total Income</t>
        </is>
      </c>
      <c r="C4" s="4" t="inlineStr">
        <is>
          <t>Total Expense</t>
        </is>
      </c>
      <c r="D4" s="4" t="inlineStr">
        <is>
          <t>Net Income / (Loss)</t>
        </is>
      </c>
      <c r="E4" s="4" t="inlineStr">
        <is>
          <t>Basis / Source</t>
        </is>
      </c>
    </row>
    <row r="5">
      <c r="A5" s="11" t="inlineStr">
        <is>
          <t>5970 Marion Drive — FY2024</t>
        </is>
      </c>
      <c r="B5" s="22" t="n">
        <v>249672.2</v>
      </c>
      <c r="C5" s="22" t="n">
        <v>162774.36</v>
      </c>
      <c r="D5" s="23">
        <f>B5-C5</f>
        <v/>
      </c>
      <c r="E5" s="6" t="inlineStr">
        <is>
          <t>5970_Marion 2024 P&amp;L (cash; incl. debt svc &amp; taxes)</t>
        </is>
      </c>
    </row>
    <row r="6">
      <c r="A6" s="11" t="inlineStr">
        <is>
          <t>5970 Marion Drive — FY2023</t>
        </is>
      </c>
      <c r="B6" s="22" t="n">
        <v>247311.55</v>
      </c>
      <c r="C6" s="22" t="n">
        <v>188635.46</v>
      </c>
      <c r="D6" s="23">
        <f>B6-C6</f>
        <v/>
      </c>
      <c r="E6" s="6" t="inlineStr">
        <is>
          <t>2023 Cash Flow (cash; incl. debt svc &amp; taxes)</t>
        </is>
      </c>
    </row>
    <row r="7">
      <c r="A7" s="11" t="inlineStr">
        <is>
          <t>2011 E 58th (TempTee) — 2024 survey</t>
        </is>
      </c>
      <c r="B7" s="22" t="n"/>
      <c r="C7" s="22" t="n">
        <v>138050</v>
      </c>
      <c r="D7" s="24" t="inlineStr">
        <is>
          <t>—</t>
        </is>
      </c>
      <c r="E7" s="6" t="inlineStr">
        <is>
          <t>Owner-occupied; reported OpEx only ('in house' items = $0)</t>
        </is>
      </c>
    </row>
    <row r="8">
      <c r="A8" s="11" t="inlineStr">
        <is>
          <t>125 Bridge St (Broadview) — Form 8825</t>
        </is>
      </c>
      <c r="B8" s="22" t="n">
        <v>307817</v>
      </c>
      <c r="C8" s="22" t="n">
        <v>316181</v>
      </c>
      <c r="D8" s="23">
        <f>B8-C8</f>
        <v/>
      </c>
      <c r="E8" s="6" t="inlineStr">
        <is>
          <t>IRS Form 8825 (tax basis; incl. depreciation, amort. &amp; interest)</t>
        </is>
      </c>
    </row>
    <row r="9">
      <c r="A9" s="6" t="inlineStr">
        <is>
          <t>10350 Washington St (R0040829) — 2026 proforma</t>
        </is>
      </c>
      <c r="B9" s="9" t="n">
        <v>676706</v>
      </c>
      <c r="C9" s="9" t="n">
        <v>372188</v>
      </c>
      <c r="D9" s="32">
        <f>B9-C9</f>
        <v/>
      </c>
      <c r="E9" s="6" t="inlineStr">
        <is>
          <t>Ryan appeal income-cap proforma (EGI/non-reimb. exp.); no actual P&amp;L in source</t>
        </is>
      </c>
    </row>
    <row r="10">
      <c r="A10" s="6" t="inlineStr">
        <is>
          <t>15413 E 18th Ave (R0086010) — actual Dec 2024 YTD</t>
        </is>
      </c>
      <c r="B10" s="9" t="n">
        <v>783123.25</v>
      </c>
      <c r="C10" s="9" t="n">
        <v>499759.18</v>
      </c>
      <c r="D10" s="32">
        <f>B10-C10</f>
        <v/>
      </c>
      <c r="E10" s="6" t="inlineStr">
        <is>
          <t>CubeSmart consolidated income statement, store 6730 (YTD through Dec 2024)</t>
        </is>
      </c>
    </row>
    <row r="11">
      <c r="A11" s="6" t="inlineStr">
        <is>
          <t>1540 Altura Blvd (R0085571) — actual Dec 2024 YTD</t>
        </is>
      </c>
      <c r="B11" s="9" t="n">
        <v>414633.83</v>
      </c>
      <c r="C11" s="9" t="n">
        <v>328355.94</v>
      </c>
      <c r="D11" s="32">
        <f>B11-C11</f>
        <v/>
      </c>
      <c r="E11" s="6" t="inlineStr">
        <is>
          <t>CubeSmart consolidated income statement, store 6731 (YTD through Dec 2024)</t>
        </is>
      </c>
    </row>
    <row r="13" ht="28" customHeight="1">
      <c r="A13" s="18" t="inlineStr">
        <is>
          <t>Net = Total Income − Total Expense as printed. Bases differ: 5970 Marion &amp; Broadview totals include financing/depreciation, so they are cash-flow / tax figures, not NOI. TempTee reported operating expenses only. See 'Assessments &amp; Valuation' tab for stabilized NOI proformas. 10350 Washington's actual on-site P&amp;L was not included in its appeal package — only the income-cap proforma is available, so its 'income/expense' here are EGI and non-reimbursable opex from that proforma, not a real P&amp;L. The two Winner Storage/CubeSmart comps report true YTD actuals.</t>
        </is>
      </c>
      <c r="B13" s="20" t="n"/>
      <c r="C13" s="20" t="n"/>
      <c r="D13" s="20" t="n"/>
      <c r="E13" s="21" t="n"/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4" customWidth="1" min="3" max="3"/>
    <col width="16" customWidth="1" min="4" max="4"/>
    <col width="46" customWidth="1" min="5" max="5"/>
  </cols>
  <sheetData>
    <row r="1" ht="26" customHeight="1">
      <c r="A1" s="1" t="inlineStr">
        <is>
          <t>INCOME &amp; EXPENSE DETAIL</t>
        </is>
      </c>
    </row>
    <row r="2" ht="14" customHeight="1">
      <c r="A2" s="2" t="inlineStr">
        <is>
          <t>Line-item detail by property/year. Totals use =SUM to cross-check printed figures.</t>
        </is>
      </c>
    </row>
    <row r="4" ht="28" customHeight="1">
      <c r="A4" s="4" t="inlineStr">
        <is>
          <t>Property / Year</t>
        </is>
      </c>
      <c r="B4" s="4" t="inlineStr">
        <is>
          <t>Category</t>
        </is>
      </c>
      <c r="C4" s="4" t="inlineStr">
        <is>
          <t>Line Item / Account</t>
        </is>
      </c>
      <c r="D4" s="4" t="inlineStr">
        <is>
          <t>Amount</t>
        </is>
      </c>
      <c r="E4" s="4" t="inlineStr">
        <is>
          <t>Notes</t>
        </is>
      </c>
    </row>
    <row r="5">
      <c r="A5" s="6" t="inlineStr">
        <is>
          <t>5970 Marion Drive — FY2024</t>
        </is>
      </c>
      <c r="B5" s="25" t="inlineStr">
        <is>
          <t>Income</t>
        </is>
      </c>
      <c r="C5" s="6" t="inlineStr">
        <is>
          <t>4001 - Rent (Units 1 &amp; 2)</t>
        </is>
      </c>
      <c r="D5" s="22" t="n">
        <v>168399.6</v>
      </c>
      <c r="E5" s="6" t="inlineStr">
        <is>
          <t>Whatever It Takes Transmissions + Integrated Turf Solutions</t>
        </is>
      </c>
    </row>
    <row r="6">
      <c r="A6" s="6" t="inlineStr">
        <is>
          <t>5970 Marion Drive — FY2024</t>
        </is>
      </c>
      <c r="B6" s="25" t="inlineStr">
        <is>
          <t>Income</t>
        </is>
      </c>
      <c r="C6" s="6" t="inlineStr">
        <is>
          <t>4200 - CAM Escrows</t>
        </is>
      </c>
      <c r="D6" s="22" t="n">
        <v>81272.60000000001</v>
      </c>
      <c r="E6" s="6" t="inlineStr">
        <is>
          <t>CAM recoveries</t>
        </is>
      </c>
    </row>
    <row r="7">
      <c r="A7" s="11" t="inlineStr">
        <is>
          <t>5970 Marion Drive — FY2024</t>
        </is>
      </c>
      <c r="B7" s="26" t="inlineStr">
        <is>
          <t>Income</t>
        </is>
      </c>
      <c r="C7" s="12" t="inlineStr">
        <is>
          <t>TOTAL INCOME</t>
        </is>
      </c>
      <c r="D7" s="23">
        <f>SUM(D5:D6)</f>
        <v/>
      </c>
      <c r="E7" s="18" t="inlineStr">
        <is>
          <t>Printed total: $249,672.20.</t>
        </is>
      </c>
    </row>
    <row r="8">
      <c r="A8" s="6" t="inlineStr">
        <is>
          <t>5970 Marion Drive — FY2024</t>
        </is>
      </c>
      <c r="B8" s="27" t="inlineStr">
        <is>
          <t>Expense</t>
        </is>
      </c>
      <c r="C8" s="6" t="inlineStr">
        <is>
          <t>Utilities - Water</t>
        </is>
      </c>
      <c r="D8" s="22" t="n">
        <v>2175.55</v>
      </c>
      <c r="E8" s="6" t="inlineStr"/>
    </row>
    <row r="9">
      <c r="A9" s="6" t="inlineStr">
        <is>
          <t>5970 Marion Drive — FY2024</t>
        </is>
      </c>
      <c r="B9" s="27" t="inlineStr">
        <is>
          <t>Expense</t>
        </is>
      </c>
      <c r="C9" s="6" t="inlineStr">
        <is>
          <t>Utilities - Sewer</t>
        </is>
      </c>
      <c r="D9" s="22" t="n">
        <v>394.3</v>
      </c>
      <c r="E9" s="6" t="inlineStr"/>
    </row>
    <row r="10">
      <c r="A10" s="6" t="inlineStr">
        <is>
          <t>5970 Marion Drive — FY2024</t>
        </is>
      </c>
      <c r="B10" s="27" t="inlineStr">
        <is>
          <t>Expense</t>
        </is>
      </c>
      <c r="C10" s="6" t="inlineStr">
        <is>
          <t>Inspection &amp; Compliance</t>
        </is>
      </c>
      <c r="D10" s="22" t="n">
        <v>100</v>
      </c>
      <c r="E10" s="6" t="inlineStr"/>
    </row>
    <row r="11">
      <c r="A11" s="6" t="inlineStr">
        <is>
          <t>5970 Marion Drive — FY2024</t>
        </is>
      </c>
      <c r="B11" s="27" t="inlineStr">
        <is>
          <t>Expense</t>
        </is>
      </c>
      <c r="C11" s="6" t="inlineStr">
        <is>
          <t>Snow Removal</t>
        </is>
      </c>
      <c r="D11" s="22" t="n">
        <v>927.47</v>
      </c>
      <c r="E11" s="6" t="inlineStr"/>
    </row>
    <row r="12">
      <c r="A12" s="6" t="inlineStr">
        <is>
          <t>5970 Marion Drive — FY2024</t>
        </is>
      </c>
      <c r="B12" s="27" t="inlineStr">
        <is>
          <t>Expense</t>
        </is>
      </c>
      <c r="C12" s="6" t="inlineStr">
        <is>
          <t>Common Area Clean</t>
        </is>
      </c>
      <c r="D12" s="22" t="n">
        <v>200</v>
      </c>
      <c r="E12" s="6" t="inlineStr"/>
    </row>
    <row r="13">
      <c r="A13" s="6" t="inlineStr">
        <is>
          <t>5970 Marion Drive — FY2024</t>
        </is>
      </c>
      <c r="B13" s="27" t="inlineStr">
        <is>
          <t>Expense</t>
        </is>
      </c>
      <c r="C13" s="6" t="inlineStr">
        <is>
          <t>Property Management</t>
        </is>
      </c>
      <c r="D13" s="22" t="n">
        <v>6000</v>
      </c>
      <c r="E13" s="6" t="inlineStr">
        <is>
          <t>Deerwoods</t>
        </is>
      </c>
    </row>
    <row r="14">
      <c r="A14" s="6" t="inlineStr">
        <is>
          <t>5970 Marion Drive — FY2024</t>
        </is>
      </c>
      <c r="B14" s="27" t="inlineStr">
        <is>
          <t>Expense</t>
        </is>
      </c>
      <c r="C14" s="6" t="inlineStr">
        <is>
          <t>Eviction Fees</t>
        </is>
      </c>
      <c r="D14" s="22" t="n">
        <v>0</v>
      </c>
      <c r="E14" s="6" t="inlineStr">
        <is>
          <t>net $0</t>
        </is>
      </c>
    </row>
    <row r="15">
      <c r="A15" s="6" t="inlineStr">
        <is>
          <t>5970 Marion Drive — FY2024</t>
        </is>
      </c>
      <c r="B15" s="27" t="inlineStr">
        <is>
          <t>Expense</t>
        </is>
      </c>
      <c r="C15" s="6" t="inlineStr">
        <is>
          <t>Insurance</t>
        </is>
      </c>
      <c r="D15" s="22" t="n">
        <v>10241.26</v>
      </c>
      <c r="E15" s="6" t="inlineStr">
        <is>
          <t>Farmers</t>
        </is>
      </c>
    </row>
    <row r="16">
      <c r="A16" s="6" t="inlineStr">
        <is>
          <t>5970 Marion Drive — FY2024</t>
        </is>
      </c>
      <c r="B16" s="27" t="inlineStr">
        <is>
          <t>Expense</t>
        </is>
      </c>
      <c r="C16" s="6" t="inlineStr">
        <is>
          <t>Taxes - Real Property</t>
        </is>
      </c>
      <c r="D16" s="22" t="n">
        <v>62852.62</v>
      </c>
      <c r="E16" s="6" t="inlineStr">
        <is>
          <t>Adams Co.</t>
        </is>
      </c>
    </row>
    <row r="17">
      <c r="A17" s="6" t="inlineStr">
        <is>
          <t>5970 Marion Drive — FY2024</t>
        </is>
      </c>
      <c r="B17" s="27" t="inlineStr">
        <is>
          <t>Expense</t>
        </is>
      </c>
      <c r="C17" s="6" t="inlineStr">
        <is>
          <t>Taxes Other</t>
        </is>
      </c>
      <c r="D17" s="22" t="n">
        <v>800</v>
      </c>
      <c r="E17" s="6" t="inlineStr"/>
    </row>
    <row r="18">
      <c r="A18" s="6" t="inlineStr">
        <is>
          <t>5970 Marion Drive — FY2024</t>
        </is>
      </c>
      <c r="B18" s="27" t="inlineStr">
        <is>
          <t>Expense</t>
        </is>
      </c>
      <c r="C18" s="6" t="inlineStr">
        <is>
          <t>Mortgage Principal</t>
        </is>
      </c>
      <c r="D18" s="22" t="n">
        <v>27586.31</v>
      </c>
      <c r="E18" s="6" t="inlineStr">
        <is>
          <t>Alpine Bank</t>
        </is>
      </c>
    </row>
    <row r="19">
      <c r="A19" s="6" t="inlineStr">
        <is>
          <t>5970 Marion Drive — FY2024</t>
        </is>
      </c>
      <c r="B19" s="27" t="inlineStr">
        <is>
          <t>Expense</t>
        </is>
      </c>
      <c r="C19" s="6" t="inlineStr">
        <is>
          <t>Mortgage Interest</t>
        </is>
      </c>
      <c r="D19" s="22" t="n">
        <v>50738.17</v>
      </c>
      <c r="E19" s="6" t="inlineStr">
        <is>
          <t>Alpine Bank</t>
        </is>
      </c>
    </row>
    <row r="20">
      <c r="A20" s="6" t="inlineStr">
        <is>
          <t>5970 Marion Drive — FY2024</t>
        </is>
      </c>
      <c r="B20" s="27" t="inlineStr">
        <is>
          <t>Expense</t>
        </is>
      </c>
      <c r="C20" s="6" t="inlineStr">
        <is>
          <t>Legal &amp; Professional</t>
        </is>
      </c>
      <c r="D20" s="22" t="n">
        <v>465</v>
      </c>
      <c r="E20" s="6" t="inlineStr"/>
    </row>
    <row r="21">
      <c r="A21" s="6" t="inlineStr">
        <is>
          <t>5970 Marion Drive — FY2024</t>
        </is>
      </c>
      <c r="B21" s="27" t="inlineStr">
        <is>
          <t>Expense</t>
        </is>
      </c>
      <c r="C21" s="6" t="inlineStr">
        <is>
          <t>Other</t>
        </is>
      </c>
      <c r="D21" s="22" t="n">
        <v>293.68</v>
      </c>
      <c r="E21" s="6" t="inlineStr"/>
    </row>
    <row r="22">
      <c r="A22" s="11" t="inlineStr">
        <is>
          <t>5970 Marion Drive — FY2024</t>
        </is>
      </c>
      <c r="B22" s="28" t="inlineStr">
        <is>
          <t>Expense</t>
        </is>
      </c>
      <c r="C22" s="12" t="inlineStr">
        <is>
          <t>TOTAL EXPENSE</t>
        </is>
      </c>
      <c r="D22" s="23">
        <f>SUM(D8:D21)</f>
        <v/>
      </c>
      <c r="E22" s="18" t="inlineStr">
        <is>
          <t>Printed total: $162,774.36. cash basis; incl. debt service &amp; property taxes</t>
        </is>
      </c>
    </row>
    <row r="23">
      <c r="A23" s="6" t="inlineStr">
        <is>
          <t>5970 Marion Drive — FY2023</t>
        </is>
      </c>
      <c r="B23" s="25" t="inlineStr">
        <is>
          <t>Income</t>
        </is>
      </c>
      <c r="C23" s="6" t="inlineStr">
        <is>
          <t>CAM Escrows</t>
        </is>
      </c>
      <c r="D23" s="22" t="n">
        <v>89143.03999999999</v>
      </c>
      <c r="E23" s="6" t="inlineStr"/>
    </row>
    <row r="24">
      <c r="A24" s="6" t="inlineStr">
        <is>
          <t>5970 Marion Drive — FY2023</t>
        </is>
      </c>
      <c r="B24" s="25" t="inlineStr">
        <is>
          <t>Income</t>
        </is>
      </c>
      <c r="C24" s="6" t="inlineStr">
        <is>
          <t>Prior Year CAM</t>
        </is>
      </c>
      <c r="D24" s="22" t="n">
        <v>523.01</v>
      </c>
      <c r="E24" s="6" t="inlineStr"/>
    </row>
    <row r="25">
      <c r="A25" s="6" t="inlineStr">
        <is>
          <t>5970 Marion Drive — FY2023</t>
        </is>
      </c>
      <c r="B25" s="25" t="inlineStr">
        <is>
          <t>Income</t>
        </is>
      </c>
      <c r="C25" s="6" t="inlineStr">
        <is>
          <t>Tenant Admin Fees</t>
        </is>
      </c>
      <c r="D25" s="22" t="n">
        <v>500</v>
      </c>
      <c r="E25" s="6" t="inlineStr"/>
    </row>
    <row r="26">
      <c r="A26" s="6" t="inlineStr">
        <is>
          <t>5970 Marion Drive — FY2023</t>
        </is>
      </c>
      <c r="B26" s="25" t="inlineStr">
        <is>
          <t>Income</t>
        </is>
      </c>
      <c r="C26" s="6" t="inlineStr">
        <is>
          <t>Rent Income</t>
        </is>
      </c>
      <c r="D26" s="22" t="n">
        <v>157145.5</v>
      </c>
      <c r="E26" s="6" t="inlineStr"/>
    </row>
    <row r="27">
      <c r="A27" s="11" t="inlineStr">
        <is>
          <t>5970 Marion Drive — FY2023</t>
        </is>
      </c>
      <c r="B27" s="26" t="inlineStr">
        <is>
          <t>Income</t>
        </is>
      </c>
      <c r="C27" s="12" t="inlineStr">
        <is>
          <t>TOTAL INCOME</t>
        </is>
      </c>
      <c r="D27" s="23">
        <f>SUM(D23:D26)</f>
        <v/>
      </c>
      <c r="E27" s="18" t="inlineStr">
        <is>
          <t>Printed total: $247,311.55.</t>
        </is>
      </c>
    </row>
    <row r="28">
      <c r="A28" s="6" t="inlineStr">
        <is>
          <t>5970 Marion Drive — FY2023</t>
        </is>
      </c>
      <c r="B28" s="27" t="inlineStr">
        <is>
          <t>Expense</t>
        </is>
      </c>
      <c r="C28" s="6" t="inlineStr">
        <is>
          <t>Electrical Repairs &amp; Lighting</t>
        </is>
      </c>
      <c r="D28" s="22" t="n">
        <v>1550</v>
      </c>
      <c r="E28" s="6" t="inlineStr"/>
    </row>
    <row r="29">
      <c r="A29" s="6" t="inlineStr">
        <is>
          <t>5970 Marion Drive — FY2023</t>
        </is>
      </c>
      <c r="B29" s="27" t="inlineStr">
        <is>
          <t>Expense</t>
        </is>
      </c>
      <c r="C29" s="6" t="inlineStr">
        <is>
          <t>Roofing Repairs</t>
        </is>
      </c>
      <c r="D29" s="22" t="n">
        <v>47000</v>
      </c>
      <c r="E29" s="6" t="inlineStr"/>
    </row>
    <row r="30">
      <c r="A30" s="6" t="inlineStr">
        <is>
          <t>5970 Marion Drive — FY2023</t>
        </is>
      </c>
      <c r="B30" s="27" t="inlineStr">
        <is>
          <t>Expense</t>
        </is>
      </c>
      <c r="C30" s="6" t="inlineStr">
        <is>
          <t>Drywall Repairs</t>
        </is>
      </c>
      <c r="D30" s="22" t="n">
        <v>810</v>
      </c>
      <c r="E30" s="6" t="inlineStr"/>
    </row>
    <row r="31">
      <c r="A31" s="6" t="inlineStr">
        <is>
          <t>5970 Marion Drive — FY2023</t>
        </is>
      </c>
      <c r="B31" s="27" t="inlineStr">
        <is>
          <t>Expense</t>
        </is>
      </c>
      <c r="C31" s="6" t="inlineStr">
        <is>
          <t>Snow Removal</t>
        </is>
      </c>
      <c r="D31" s="22" t="n">
        <v>1016.31</v>
      </c>
      <c r="E31" s="6" t="inlineStr"/>
    </row>
    <row r="32">
      <c r="A32" s="6" t="inlineStr">
        <is>
          <t>5970 Marion Drive — FY2023</t>
        </is>
      </c>
      <c r="B32" s="27" t="inlineStr">
        <is>
          <t>Expense</t>
        </is>
      </c>
      <c r="C32" s="6" t="inlineStr">
        <is>
          <t>Utilities - Water</t>
        </is>
      </c>
      <c r="D32" s="22" t="n">
        <v>2157.08</v>
      </c>
      <c r="E32" s="6" t="inlineStr"/>
    </row>
    <row r="33">
      <c r="A33" s="6" t="inlineStr">
        <is>
          <t>5970 Marion Drive — FY2023</t>
        </is>
      </c>
      <c r="B33" s="27" t="inlineStr">
        <is>
          <t>Expense</t>
        </is>
      </c>
      <c r="C33" s="6" t="inlineStr">
        <is>
          <t>Trash</t>
        </is>
      </c>
      <c r="D33" s="22" t="n">
        <v>151.01</v>
      </c>
      <c r="E33" s="6" t="inlineStr"/>
    </row>
    <row r="34">
      <c r="A34" s="6" t="inlineStr">
        <is>
          <t>5970 Marion Drive — FY2023</t>
        </is>
      </c>
      <c r="B34" s="27" t="inlineStr">
        <is>
          <t>Expense</t>
        </is>
      </c>
      <c r="C34" s="6" t="inlineStr">
        <is>
          <t>Inspection &amp; Compliance</t>
        </is>
      </c>
      <c r="D34" s="22" t="n">
        <v>110</v>
      </c>
      <c r="E34" s="6" t="inlineStr"/>
    </row>
    <row r="35">
      <c r="A35" s="6" t="inlineStr">
        <is>
          <t>5970 Marion Drive — FY2023</t>
        </is>
      </c>
      <c r="B35" s="27" t="inlineStr">
        <is>
          <t>Expense</t>
        </is>
      </c>
      <c r="C35" s="6" t="inlineStr">
        <is>
          <t>Property Management</t>
        </is>
      </c>
      <c r="D35" s="22" t="n">
        <v>6000</v>
      </c>
      <c r="E35" s="6" t="inlineStr"/>
    </row>
    <row r="36">
      <c r="A36" s="6" t="inlineStr">
        <is>
          <t>5970 Marion Drive — FY2023</t>
        </is>
      </c>
      <c r="B36" s="27" t="inlineStr">
        <is>
          <t>Expense</t>
        </is>
      </c>
      <c r="C36" s="6" t="inlineStr">
        <is>
          <t>Bank fees</t>
        </is>
      </c>
      <c r="D36" s="22" t="n">
        <v>180</v>
      </c>
      <c r="E36" s="6" t="inlineStr"/>
    </row>
    <row r="37">
      <c r="A37" s="6" t="inlineStr">
        <is>
          <t>5970 Marion Drive — FY2023</t>
        </is>
      </c>
      <c r="B37" s="27" t="inlineStr">
        <is>
          <t>Expense</t>
        </is>
      </c>
      <c r="C37" s="6" t="inlineStr">
        <is>
          <t>Insurance</t>
        </is>
      </c>
      <c r="D37" s="22" t="n">
        <v>8640.99</v>
      </c>
      <c r="E37" s="6" t="inlineStr"/>
    </row>
    <row r="38">
      <c r="A38" s="6" t="inlineStr">
        <is>
          <t>5970 Marion Drive — FY2023</t>
        </is>
      </c>
      <c r="B38" s="27" t="inlineStr">
        <is>
          <t>Expense</t>
        </is>
      </c>
      <c r="C38" s="6" t="inlineStr">
        <is>
          <t>Taxes - Real Property</t>
        </is>
      </c>
      <c r="D38" s="22" t="n">
        <v>37726.76</v>
      </c>
      <c r="E38" s="6" t="inlineStr"/>
    </row>
    <row r="39">
      <c r="A39" s="6" t="inlineStr">
        <is>
          <t>5970 Marion Drive — FY2023</t>
        </is>
      </c>
      <c r="B39" s="27" t="inlineStr">
        <is>
          <t>Expense</t>
        </is>
      </c>
      <c r="C39" s="6" t="inlineStr">
        <is>
          <t>Taxes Other</t>
        </is>
      </c>
      <c r="D39" s="22" t="n">
        <v>4968.83</v>
      </c>
      <c r="E39" s="6" t="inlineStr"/>
    </row>
    <row r="40">
      <c r="A40" s="6" t="inlineStr">
        <is>
          <t>5970 Marion Drive — FY2023</t>
        </is>
      </c>
      <c r="B40" s="27" t="inlineStr">
        <is>
          <t>Expense</t>
        </is>
      </c>
      <c r="C40" s="6" t="inlineStr">
        <is>
          <t>Mortgage Principal</t>
        </is>
      </c>
      <c r="D40" s="22" t="n">
        <v>26699.59</v>
      </c>
      <c r="E40" s="6" t="inlineStr"/>
    </row>
    <row r="41">
      <c r="A41" s="6" t="inlineStr">
        <is>
          <t>5970 Marion Drive — FY2023</t>
        </is>
      </c>
      <c r="B41" s="27" t="inlineStr">
        <is>
          <t>Expense</t>
        </is>
      </c>
      <c r="C41" s="6" t="inlineStr">
        <is>
          <t>Mortgage Interest</t>
        </is>
      </c>
      <c r="D41" s="22" t="n">
        <v>51624.89</v>
      </c>
      <c r="E41" s="6" t="inlineStr"/>
    </row>
    <row r="42">
      <c r="A42" s="11" t="inlineStr">
        <is>
          <t>5970 Marion Drive — FY2023</t>
        </is>
      </c>
      <c r="B42" s="28" t="inlineStr">
        <is>
          <t>Expense</t>
        </is>
      </c>
      <c r="C42" s="12" t="inlineStr">
        <is>
          <t>TOTAL EXPENSE</t>
        </is>
      </c>
      <c r="D42" s="23">
        <f>SUM(D28:D41)</f>
        <v/>
      </c>
      <c r="E42" s="18" t="inlineStr">
        <is>
          <t>Printed total: $188,635.46. cash basis; Owner Draw $100,000 (financing) excluded</t>
        </is>
      </c>
    </row>
    <row r="43">
      <c r="A43" s="6" t="inlineStr">
        <is>
          <t>2011 E 58th (TempTee) — 2024</t>
        </is>
      </c>
      <c r="B43" s="27" t="inlineStr">
        <is>
          <t>Expense</t>
        </is>
      </c>
      <c r="C43" s="6" t="inlineStr">
        <is>
          <t>Advertising (leasing)</t>
        </is>
      </c>
      <c r="D43" s="22" t="n">
        <v>0</v>
      </c>
      <c r="E43" s="6" t="inlineStr"/>
    </row>
    <row r="44">
      <c r="A44" s="6" t="inlineStr">
        <is>
          <t>2011 E 58th (TempTee) — 2024</t>
        </is>
      </c>
      <c r="B44" s="27" t="inlineStr">
        <is>
          <t>Expense</t>
        </is>
      </c>
      <c r="C44" s="6" t="inlineStr">
        <is>
          <t>Building Insurance</t>
        </is>
      </c>
      <c r="D44" s="22" t="n">
        <v>14050</v>
      </c>
      <c r="E44" s="6" t="inlineStr"/>
    </row>
    <row r="45">
      <c r="A45" s="6" t="inlineStr">
        <is>
          <t>2011 E 58th (TempTee) — 2024</t>
        </is>
      </c>
      <c r="B45" s="27" t="inlineStr">
        <is>
          <t>Expense</t>
        </is>
      </c>
      <c r="C45" s="6" t="inlineStr">
        <is>
          <t>Building Repair &amp; Maintenance</t>
        </is>
      </c>
      <c r="D45" s="22" t="n">
        <v>10000</v>
      </c>
      <c r="E45" s="6" t="inlineStr"/>
    </row>
    <row r="46">
      <c r="A46" s="6" t="inlineStr">
        <is>
          <t>2011 E 58th (TempTee) — 2024</t>
        </is>
      </c>
      <c r="B46" s="27" t="inlineStr">
        <is>
          <t>Expense</t>
        </is>
      </c>
      <c r="C46" s="6" t="inlineStr">
        <is>
          <t>Ground Maintenance</t>
        </is>
      </c>
      <c r="D46" s="22" t="n">
        <v>0</v>
      </c>
      <c r="E46" s="6" t="inlineStr">
        <is>
          <t>'in house'</t>
        </is>
      </c>
    </row>
    <row r="47">
      <c r="A47" s="6" t="inlineStr">
        <is>
          <t>2011 E 58th (TempTee) — 2024</t>
        </is>
      </c>
      <c r="B47" s="27" t="inlineStr">
        <is>
          <t>Expense</t>
        </is>
      </c>
      <c r="C47" s="6" t="inlineStr">
        <is>
          <t>Janitorial</t>
        </is>
      </c>
      <c r="D47" s="22" t="n">
        <v>0</v>
      </c>
      <c r="E47" s="6" t="inlineStr">
        <is>
          <t>'in house'</t>
        </is>
      </c>
    </row>
    <row r="48">
      <c r="A48" s="6" t="inlineStr">
        <is>
          <t>2011 E 58th (TempTee) — 2024</t>
        </is>
      </c>
      <c r="B48" s="27" t="inlineStr">
        <is>
          <t>Expense</t>
        </is>
      </c>
      <c r="C48" s="6" t="inlineStr">
        <is>
          <t>Leasing Commissions</t>
        </is>
      </c>
      <c r="D48" s="22" t="n">
        <v>0</v>
      </c>
      <c r="E48" s="6" t="inlineStr"/>
    </row>
    <row r="49">
      <c r="A49" s="6" t="inlineStr">
        <is>
          <t>2011 E 58th (TempTee) — 2024</t>
        </is>
      </c>
      <c r="B49" s="27" t="inlineStr">
        <is>
          <t>Expense</t>
        </is>
      </c>
      <c r="C49" s="6" t="inlineStr">
        <is>
          <t>Management</t>
        </is>
      </c>
      <c r="D49" s="22" t="n">
        <v>0</v>
      </c>
      <c r="E49" s="6" t="inlineStr"/>
    </row>
    <row r="50">
      <c r="A50" s="6" t="inlineStr">
        <is>
          <t>2011 E 58th (TempTee) — 2024</t>
        </is>
      </c>
      <c r="B50" s="27" t="inlineStr">
        <is>
          <t>Expense</t>
        </is>
      </c>
      <c r="C50" s="6" t="inlineStr">
        <is>
          <t>Snow/Trash Removal</t>
        </is>
      </c>
      <c r="D50" s="22" t="n">
        <v>12000</v>
      </c>
      <c r="E50" s="6" t="inlineStr"/>
    </row>
    <row r="51">
      <c r="A51" s="6" t="inlineStr">
        <is>
          <t>2011 E 58th (TempTee) — 2024</t>
        </is>
      </c>
      <c r="B51" s="27" t="inlineStr">
        <is>
          <t>Expense</t>
        </is>
      </c>
      <c r="C51" s="6" t="inlineStr">
        <is>
          <t>Utilities</t>
        </is>
      </c>
      <c r="D51" s="22" t="n">
        <v>102000</v>
      </c>
      <c r="E51" s="6" t="inlineStr"/>
    </row>
    <row r="52">
      <c r="A52" s="11" t="inlineStr">
        <is>
          <t>2011 E 58th (TempTee) — 2024</t>
        </is>
      </c>
      <c r="B52" s="28" t="inlineStr">
        <is>
          <t>Expense</t>
        </is>
      </c>
      <c r="C52" s="12" t="inlineStr">
        <is>
          <t>TOTAL EXPENSE</t>
        </is>
      </c>
      <c r="D52" s="23">
        <f>SUM(D43:D51)</f>
        <v/>
      </c>
      <c r="E52" s="18" t="inlineStr">
        <is>
          <t>Printed total: $138,050.00. Adams Co. survey; 100% owner-occupied (~17,000 SF); 'in house' items = $0</t>
        </is>
      </c>
    </row>
    <row r="53">
      <c r="A53" s="6" t="inlineStr">
        <is>
          <t>125 Bridge St (Broadview) — Form 8825</t>
        </is>
      </c>
      <c r="B53" s="25" t="inlineStr">
        <is>
          <t>Income</t>
        </is>
      </c>
      <c r="C53" s="6" t="inlineStr">
        <is>
          <t>Gross rents</t>
        </is>
      </c>
      <c r="D53" s="22" t="n">
        <v>307817</v>
      </c>
      <c r="E53" s="6" t="inlineStr">
        <is>
          <t>IRS Form 8825, Property A (125 Bridge St, COMMERCIAL)</t>
        </is>
      </c>
    </row>
    <row r="54">
      <c r="A54" s="11" t="inlineStr">
        <is>
          <t>125 Bridge St (Broadview) — Form 8825</t>
        </is>
      </c>
      <c r="B54" s="26" t="inlineStr">
        <is>
          <t>Income</t>
        </is>
      </c>
      <c r="C54" s="12" t="inlineStr">
        <is>
          <t>TOTAL INCOME</t>
        </is>
      </c>
      <c r="D54" s="23">
        <f>SUM(D53:D53)</f>
        <v/>
      </c>
      <c r="E54" s="18" t="inlineStr">
        <is>
          <t>Printed total: $307,817.00.</t>
        </is>
      </c>
    </row>
    <row r="55">
      <c r="A55" s="6" t="inlineStr">
        <is>
          <t>125 Bridge St (Broadview) — Form 8825</t>
        </is>
      </c>
      <c r="B55" s="27" t="inlineStr">
        <is>
          <t>Expense</t>
        </is>
      </c>
      <c r="C55" s="6" t="inlineStr">
        <is>
          <t>Advertising</t>
        </is>
      </c>
      <c r="D55" s="22" t="n">
        <v>776</v>
      </c>
      <c r="E55" s="6" t="inlineStr"/>
    </row>
    <row r="56">
      <c r="A56" s="6" t="inlineStr">
        <is>
          <t>125 Bridge St (Broadview) — Form 8825</t>
        </is>
      </c>
      <c r="B56" s="27" t="inlineStr">
        <is>
          <t>Expense</t>
        </is>
      </c>
      <c r="C56" s="6" t="inlineStr">
        <is>
          <t>Insurance</t>
        </is>
      </c>
      <c r="D56" s="22" t="n">
        <v>12004</v>
      </c>
      <c r="E56" s="6" t="inlineStr"/>
    </row>
    <row r="57">
      <c r="A57" s="6" t="inlineStr">
        <is>
          <t>125 Bridge St (Broadview) — Form 8825</t>
        </is>
      </c>
      <c r="B57" s="27" t="inlineStr">
        <is>
          <t>Expense</t>
        </is>
      </c>
      <c r="C57" s="6" t="inlineStr">
        <is>
          <t>Legal &amp; professional fees</t>
        </is>
      </c>
      <c r="D57" s="22" t="n">
        <v>10211</v>
      </c>
      <c r="E57" s="6" t="inlineStr"/>
    </row>
    <row r="58">
      <c r="A58" s="6" t="inlineStr">
        <is>
          <t>125 Bridge St (Broadview) — Form 8825</t>
        </is>
      </c>
      <c r="B58" s="27" t="inlineStr">
        <is>
          <t>Expense</t>
        </is>
      </c>
      <c r="C58" s="6" t="inlineStr">
        <is>
          <t>Interest</t>
        </is>
      </c>
      <c r="D58" s="22" t="n">
        <v>98058</v>
      </c>
      <c r="E58" s="6" t="inlineStr"/>
    </row>
    <row r="59">
      <c r="A59" s="6" t="inlineStr">
        <is>
          <t>125 Bridge St (Broadview) — Form 8825</t>
        </is>
      </c>
      <c r="B59" s="27" t="inlineStr">
        <is>
          <t>Expense</t>
        </is>
      </c>
      <c r="C59" s="6" t="inlineStr">
        <is>
          <t>Repairs</t>
        </is>
      </c>
      <c r="D59" s="22" t="n">
        <v>100279</v>
      </c>
      <c r="E59" s="6" t="inlineStr"/>
    </row>
    <row r="60">
      <c r="A60" s="6" t="inlineStr">
        <is>
          <t>125 Bridge St (Broadview) — Form 8825</t>
        </is>
      </c>
      <c r="B60" s="27" t="inlineStr">
        <is>
          <t>Expense</t>
        </is>
      </c>
      <c r="C60" s="6" t="inlineStr">
        <is>
          <t>Utilities</t>
        </is>
      </c>
      <c r="D60" s="22" t="n">
        <v>4731</v>
      </c>
      <c r="E60" s="6" t="inlineStr"/>
    </row>
    <row r="61">
      <c r="A61" s="6" t="inlineStr">
        <is>
          <t>125 Bridge St (Broadview) — Form 8825</t>
        </is>
      </c>
      <c r="B61" s="27" t="inlineStr">
        <is>
          <t>Expense</t>
        </is>
      </c>
      <c r="C61" s="6" t="inlineStr">
        <is>
          <t>Depreciation</t>
        </is>
      </c>
      <c r="D61" s="22" t="n">
        <v>47109</v>
      </c>
      <c r="E61" s="6" t="inlineStr"/>
    </row>
    <row r="62">
      <c r="A62" s="6" t="inlineStr">
        <is>
          <t>125 Bridge St (Broadview) — Form 8825</t>
        </is>
      </c>
      <c r="B62" s="27" t="inlineStr">
        <is>
          <t>Expense</t>
        </is>
      </c>
      <c r="C62" s="6" t="inlineStr">
        <is>
          <t>Meals - 100%</t>
        </is>
      </c>
      <c r="D62" s="22" t="n">
        <v>1080</v>
      </c>
      <c r="E62" s="6" t="inlineStr"/>
    </row>
    <row r="63">
      <c r="A63" s="6" t="inlineStr">
        <is>
          <t>125 Bridge St (Broadview) — Form 8825</t>
        </is>
      </c>
      <c r="B63" s="27" t="inlineStr">
        <is>
          <t>Expense</t>
        </is>
      </c>
      <c r="C63" s="6" t="inlineStr">
        <is>
          <t>Amortization</t>
        </is>
      </c>
      <c r="D63" s="22" t="n">
        <v>2166</v>
      </c>
      <c r="E63" s="6" t="inlineStr"/>
    </row>
    <row r="64">
      <c r="A64" s="6" t="inlineStr">
        <is>
          <t>125 Bridge St (Broadview) — Form 8825</t>
        </is>
      </c>
      <c r="B64" s="27" t="inlineStr">
        <is>
          <t>Expense</t>
        </is>
      </c>
      <c r="C64" s="6" t="inlineStr">
        <is>
          <t>Other (Statement #8A)</t>
        </is>
      </c>
      <c r="D64" s="22" t="n">
        <v>39767</v>
      </c>
      <c r="E64" s="6" t="inlineStr"/>
    </row>
    <row r="65">
      <c r="A65" s="11" t="inlineStr">
        <is>
          <t>125 Bridge St (Broadview) — Form 8825</t>
        </is>
      </c>
      <c r="B65" s="28" t="inlineStr">
        <is>
          <t>Expense</t>
        </is>
      </c>
      <c r="C65" s="12" t="inlineStr">
        <is>
          <t>TOTAL EXPENSE</t>
        </is>
      </c>
      <c r="D65" s="23">
        <f>SUM(D55:D64)</f>
        <v/>
      </c>
      <c r="E65" s="18" t="inlineStr">
        <is>
          <t>Printed total: $316,181.00. IRS Form 8825; net rental loss $(8,364). Tax basis (incl. depreciation, amortization &amp; interest).</t>
        </is>
      </c>
    </row>
    <row r="66">
      <c r="A66" s="33" t="inlineStr">
        <is>
          <t>10350 Washington St (R0040829) — 2026 Proforma</t>
        </is>
      </c>
      <c r="B66" s="33" t="inlineStr">
        <is>
          <t>Income</t>
        </is>
      </c>
      <c r="C66" s="33" t="inlineStr">
        <is>
          <t>Gross Potential Rent (Base Rent, NNN, $16.50/SF)</t>
        </is>
      </c>
      <c r="D66" s="34" t="n">
        <v>796125</v>
      </c>
      <c r="E66" s="33" t="n"/>
    </row>
    <row r="67">
      <c r="A67" s="33" t="inlineStr">
        <is>
          <t>10350 Washington St (R0040829) — 2026 Proforma</t>
        </is>
      </c>
      <c r="B67" s="33" t="inlineStr">
        <is>
          <t>Income</t>
        </is>
      </c>
      <c r="C67" s="33" t="inlineStr">
        <is>
          <t>Less: Vacancy &amp; Credit Loss (15%)</t>
        </is>
      </c>
      <c r="D67" s="34" t="n">
        <v>-119419</v>
      </c>
      <c r="E67" s="33" t="n"/>
    </row>
    <row r="68">
      <c r="A68" s="33" t="inlineStr">
        <is>
          <t>10350 Washington St (R0040829) — 2026 Proforma</t>
        </is>
      </c>
      <c r="B68" s="33" t="inlineStr">
        <is>
          <t>Income</t>
        </is>
      </c>
      <c r="C68" s="33" t="inlineStr">
        <is>
          <t>TOTAL INCOME</t>
        </is>
      </c>
      <c r="D68" s="34">
        <f>SUM(D66:D67)</f>
        <v/>
      </c>
      <c r="E68" s="33" t="inlineStr">
        <is>
          <t>Printed total.</t>
        </is>
      </c>
    </row>
    <row r="69">
      <c r="A69" s="33" t="inlineStr">
        <is>
          <t>10350 Washington St (R0040829) — 2026 Proforma</t>
        </is>
      </c>
      <c r="B69" s="33" t="inlineStr">
        <is>
          <t>Expense</t>
        </is>
      </c>
      <c r="C69" s="33" t="inlineStr">
        <is>
          <t>Non-Reimbursable Expenses (55% of EGI)</t>
        </is>
      </c>
      <c r="D69" s="34" t="n">
        <v>372188</v>
      </c>
      <c r="E69" s="33" t="inlineStr">
        <is>
          <t>Yields NOI $304,518 at 6.75% cap = $4,510,000 indicated value</t>
        </is>
      </c>
    </row>
    <row r="70">
      <c r="A70" s="33" t="inlineStr">
        <is>
          <t>10350 Washington St (R0040829) — 2026 Proforma</t>
        </is>
      </c>
      <c r="B70" s="33" t="inlineStr">
        <is>
          <t>Expense</t>
        </is>
      </c>
      <c r="C70" s="33" t="inlineStr">
        <is>
          <t>TOTAL EXPENSE</t>
        </is>
      </c>
      <c r="D70" s="34">
        <f>SUM(D69:D69)</f>
        <v/>
      </c>
      <c r="E70" s="33" t="inlineStr">
        <is>
          <t>Printed total.</t>
        </is>
      </c>
    </row>
    <row r="72">
      <c r="A72" s="33" t="inlineStr">
        <is>
          <t>15413 E 18th Ave (R0086010) — Actual Dec 2024 YTD</t>
        </is>
      </c>
      <c r="B72" s="33" t="inlineStr">
        <is>
          <t>Income</t>
        </is>
      </c>
      <c r="C72" s="33" t="inlineStr">
        <is>
          <t>Net Rental Income</t>
        </is>
      </c>
      <c r="D72" s="34" t="n">
        <v>731252.08</v>
      </c>
      <c r="E72" s="33" t="n"/>
    </row>
    <row r="73">
      <c r="A73" s="33" t="inlineStr">
        <is>
          <t>15413 E 18th Ave (R0086010) — Actual Dec 2024 YTD</t>
        </is>
      </c>
      <c r="B73" s="33" t="inlineStr">
        <is>
          <t>Income</t>
        </is>
      </c>
      <c r="C73" s="33" t="inlineStr">
        <is>
          <t>Total Fees (admin/late/other, net of waivers &amp; chargebacks)</t>
        </is>
      </c>
      <c r="D73" s="34" t="n">
        <v>51871.17</v>
      </c>
      <c r="E73" s="33" t="n"/>
    </row>
    <row r="74">
      <c r="A74" s="33" t="inlineStr">
        <is>
          <t>15413 E 18th Ave (R0086010) — Actual Dec 2024 YTD</t>
        </is>
      </c>
      <c r="B74" s="33" t="inlineStr">
        <is>
          <t>Income</t>
        </is>
      </c>
      <c r="C74" s="33" t="inlineStr">
        <is>
          <t>Other Income</t>
        </is>
      </c>
      <c r="D74" s="34" t="n">
        <v>0</v>
      </c>
      <c r="E74" s="33" t="n"/>
    </row>
    <row r="75">
      <c r="A75" s="33" t="inlineStr">
        <is>
          <t>15413 E 18th Ave (R0086010) — Actual Dec 2024 YTD</t>
        </is>
      </c>
      <c r="B75" s="33" t="inlineStr">
        <is>
          <t>Income</t>
        </is>
      </c>
      <c r="C75" s="33" t="inlineStr">
        <is>
          <t>TOTAL INCOME</t>
        </is>
      </c>
      <c r="D75" s="34">
        <f>SUM(D72:D74)</f>
        <v/>
      </c>
      <c r="E75" s="33" t="inlineStr">
        <is>
          <t>Printed total.</t>
        </is>
      </c>
    </row>
    <row r="76">
      <c r="A76" s="33" t="inlineStr">
        <is>
          <t>15413 E 18th Ave (R0086010) — Actual Dec 2024 YTD</t>
        </is>
      </c>
      <c r="B76" s="33" t="inlineStr">
        <is>
          <t>Expense</t>
        </is>
      </c>
      <c r="C76" s="33" t="inlineStr">
        <is>
          <t>Payroll Expense</t>
        </is>
      </c>
      <c r="D76" s="34" t="n">
        <v>84368.25</v>
      </c>
      <c r="E76" s="33" t="n"/>
    </row>
    <row r="77">
      <c r="A77" s="33" t="inlineStr">
        <is>
          <t>15413 E 18th Ave (R0086010) — Actual Dec 2024 YTD</t>
        </is>
      </c>
      <c r="B77" s="33" t="inlineStr">
        <is>
          <t>Expense</t>
        </is>
      </c>
      <c r="C77" s="33" t="inlineStr">
        <is>
          <t>Utilities</t>
        </is>
      </c>
      <c r="D77" s="34" t="n">
        <v>20743.13</v>
      </c>
      <c r="E77" s="33" t="n"/>
    </row>
    <row r="78">
      <c r="A78" s="33" t="inlineStr">
        <is>
          <t>15413 E 18th Ave (R0086010) — Actual Dec 2024 YTD</t>
        </is>
      </c>
      <c r="B78" s="33" t="inlineStr">
        <is>
          <t>Expense</t>
        </is>
      </c>
      <c r="C78" s="33" t="inlineStr">
        <is>
          <t>Repairs &amp; Maintenance</t>
        </is>
      </c>
      <c r="D78" s="34" t="n">
        <v>17362.79</v>
      </c>
      <c r="E78" s="33" t="n"/>
    </row>
    <row r="79">
      <c r="A79" s="33" t="inlineStr">
        <is>
          <t>15413 E 18th Ave (R0086010) — Actual Dec 2024 YTD</t>
        </is>
      </c>
      <c r="B79" s="33" t="inlineStr">
        <is>
          <t>Expense</t>
        </is>
      </c>
      <c r="C79" s="33" t="inlineStr">
        <is>
          <t>Other Controllable Expenses</t>
        </is>
      </c>
      <c r="D79" s="34" t="n">
        <v>48137.71</v>
      </c>
      <c r="E79" s="33" t="n"/>
    </row>
    <row r="80">
      <c r="A80" s="33" t="inlineStr">
        <is>
          <t>15413 E 18th Ave (R0086010) — Actual Dec 2024 YTD</t>
        </is>
      </c>
      <c r="B80" s="33" t="inlineStr">
        <is>
          <t>Expense</t>
        </is>
      </c>
      <c r="C80" s="33" t="inlineStr">
        <is>
          <t>Marketing Expense</t>
        </is>
      </c>
      <c r="D80" s="34" t="n">
        <v>25974.66</v>
      </c>
      <c r="E80" s="33" t="n"/>
    </row>
    <row r="81">
      <c r="A81" s="33" t="inlineStr">
        <is>
          <t>15413 E 18th Ave (R0086010) — Actual Dec 2024 YTD</t>
        </is>
      </c>
      <c r="B81" s="33" t="inlineStr">
        <is>
          <t>Expense</t>
        </is>
      </c>
      <c r="C81" s="33" t="inlineStr">
        <is>
          <t>Snow Removal &amp; Salting</t>
        </is>
      </c>
      <c r="D81" s="34" t="n">
        <v>3890</v>
      </c>
      <c r="E81" s="33" t="n"/>
    </row>
    <row r="82">
      <c r="A82" s="33" t="inlineStr">
        <is>
          <t>15413 E 18th Ave (R0086010) — Actual Dec 2024 YTD</t>
        </is>
      </c>
      <c r="B82" s="33" t="inlineStr">
        <is>
          <t>Expense</t>
        </is>
      </c>
      <c r="C82" s="33" t="inlineStr">
        <is>
          <t>Professional Fees</t>
        </is>
      </c>
      <c r="D82" s="34" t="n">
        <v>350</v>
      </c>
      <c r="E82" s="33" t="n"/>
    </row>
    <row r="83">
      <c r="A83" s="33" t="inlineStr">
        <is>
          <t>15413 E 18th Ave (R0086010) — Actual Dec 2024 YTD</t>
        </is>
      </c>
      <c r="B83" s="33" t="inlineStr">
        <is>
          <t>Expense</t>
        </is>
      </c>
      <c r="C83" s="33" t="inlineStr">
        <is>
          <t>Third-Party Management Fees</t>
        </is>
      </c>
      <c r="D83" s="34" t="n">
        <v>41598.27</v>
      </c>
      <c r="E83" s="33" t="n"/>
    </row>
    <row r="84">
      <c r="A84" s="33" t="inlineStr">
        <is>
          <t>15413 E 18th Ave (R0086010) — Actual Dec 2024 YTD</t>
        </is>
      </c>
      <c r="B84" s="33" t="inlineStr">
        <is>
          <t>Expense</t>
        </is>
      </c>
      <c r="C84" s="33" t="inlineStr">
        <is>
          <t>Less: Other Income (Sales Tax Collection Allowance)</t>
        </is>
      </c>
      <c r="D84" s="34" t="n">
        <v>-14.31</v>
      </c>
      <c r="E84" s="33" t="n"/>
    </row>
    <row r="85">
      <c r="A85" s="33" t="inlineStr">
        <is>
          <t>15413 E 18th Ave (R0086010) — Actual Dec 2024 YTD</t>
        </is>
      </c>
      <c r="B85" s="33" t="inlineStr">
        <is>
          <t>Expense</t>
        </is>
      </c>
      <c r="C85" s="33" t="inlineStr">
        <is>
          <t>Property Tax Expense (Gross Receipts Tax)</t>
        </is>
      </c>
      <c r="D85" s="34" t="n">
        <v>246826.26</v>
      </c>
      <c r="E85" s="33" t="n"/>
    </row>
    <row r="86">
      <c r="A86" s="33" t="inlineStr">
        <is>
          <t>15413 E 18th Ave (R0086010) — Actual Dec 2024 YTD</t>
        </is>
      </c>
      <c r="B86" s="33" t="inlineStr">
        <is>
          <t>Expense</t>
        </is>
      </c>
      <c r="C86" s="33" t="inlineStr">
        <is>
          <t>Insurance Expense</t>
        </is>
      </c>
      <c r="D86" s="34" t="n">
        <v>10522.42</v>
      </c>
      <c r="E86" s="33" t="inlineStr">
        <is>
          <t>CubeSmart consolidated income statement, store 6730</t>
        </is>
      </c>
    </row>
    <row r="87">
      <c r="A87" s="33" t="inlineStr">
        <is>
          <t>15413 E 18th Ave (R0086010) — Actual Dec 2024 YTD</t>
        </is>
      </c>
      <c r="B87" s="33" t="inlineStr">
        <is>
          <t>Expense</t>
        </is>
      </c>
      <c r="C87" s="33" t="inlineStr">
        <is>
          <t>TOTAL EXPENSE</t>
        </is>
      </c>
      <c r="D87" s="34">
        <f>SUM(D76:D86)</f>
        <v/>
      </c>
      <c r="E87" s="33" t="inlineStr">
        <is>
          <t>Printed total.</t>
        </is>
      </c>
    </row>
    <row r="89">
      <c r="A89" s="33" t="inlineStr">
        <is>
          <t>1540 Altura Blvd (R0085571) — Actual Dec 2024 YTD</t>
        </is>
      </c>
      <c r="B89" s="33" t="inlineStr">
        <is>
          <t>Income</t>
        </is>
      </c>
      <c r="C89" s="33" t="inlineStr">
        <is>
          <t>Net Rental Income</t>
        </is>
      </c>
      <c r="D89" s="34" t="n">
        <v>383165.98</v>
      </c>
      <c r="E89" s="33" t="n"/>
    </row>
    <row r="90">
      <c r="A90" s="33" t="inlineStr">
        <is>
          <t>1540 Altura Blvd (R0085571) — Actual Dec 2024 YTD</t>
        </is>
      </c>
      <c r="B90" s="33" t="inlineStr">
        <is>
          <t>Income</t>
        </is>
      </c>
      <c r="C90" s="33" t="inlineStr">
        <is>
          <t>Total Fees (admin/late/other, net of waivers &amp; chargebacks)</t>
        </is>
      </c>
      <c r="D90" s="34" t="n">
        <v>31467.84</v>
      </c>
      <c r="E90" s="33" t="n"/>
    </row>
    <row r="91">
      <c r="A91" s="33" t="inlineStr">
        <is>
          <t>1540 Altura Blvd (R0085571) — Actual Dec 2024 YTD</t>
        </is>
      </c>
      <c r="B91" s="33" t="inlineStr">
        <is>
          <t>Income</t>
        </is>
      </c>
      <c r="C91" s="33" t="inlineStr">
        <is>
          <t>Other Income</t>
        </is>
      </c>
      <c r="D91" s="34" t="n">
        <v>0.01</v>
      </c>
      <c r="E91" s="33" t="n"/>
    </row>
    <row r="92">
      <c r="A92" s="33" t="inlineStr">
        <is>
          <t>1540 Altura Blvd (R0085571) — Actual Dec 2024 YTD</t>
        </is>
      </c>
      <c r="B92" s="33" t="inlineStr">
        <is>
          <t>Income</t>
        </is>
      </c>
      <c r="C92" s="33" t="inlineStr">
        <is>
          <t>TOTAL INCOME</t>
        </is>
      </c>
      <c r="D92" s="34">
        <f>SUM(D89:D91)</f>
        <v/>
      </c>
      <c r="E92" s="33" t="inlineStr">
        <is>
          <t>Printed total.</t>
        </is>
      </c>
    </row>
    <row r="93">
      <c r="A93" s="33" t="inlineStr">
        <is>
          <t>1540 Altura Blvd (R0085571) — Actual Dec 2024 YTD</t>
        </is>
      </c>
      <c r="B93" s="33" t="inlineStr">
        <is>
          <t>Expense</t>
        </is>
      </c>
      <c r="C93" s="33" t="inlineStr">
        <is>
          <t>Payroll Expense</t>
        </is>
      </c>
      <c r="D93" s="34" t="n">
        <v>69477.36</v>
      </c>
      <c r="E93" s="33" t="n"/>
    </row>
    <row r="94">
      <c r="A94" s="33" t="inlineStr">
        <is>
          <t>1540 Altura Blvd (R0085571) — Actual Dec 2024 YTD</t>
        </is>
      </c>
      <c r="B94" s="33" t="inlineStr">
        <is>
          <t>Expense</t>
        </is>
      </c>
      <c r="C94" s="33" t="inlineStr">
        <is>
          <t>Utilities</t>
        </is>
      </c>
      <c r="D94" s="34" t="n">
        <v>15848.82</v>
      </c>
      <c r="E94" s="33" t="n"/>
    </row>
    <row r="95">
      <c r="A95" s="33" t="inlineStr">
        <is>
          <t>1540 Altura Blvd (R0085571) — Actual Dec 2024 YTD</t>
        </is>
      </c>
      <c r="B95" s="33" t="inlineStr">
        <is>
          <t>Expense</t>
        </is>
      </c>
      <c r="C95" s="33" t="inlineStr">
        <is>
          <t>Repairs &amp; Maintenance</t>
        </is>
      </c>
      <c r="D95" s="34" t="n">
        <v>25497.14</v>
      </c>
      <c r="E95" s="33" t="n"/>
    </row>
    <row r="96">
      <c r="A96" s="33" t="inlineStr">
        <is>
          <t>1540 Altura Blvd (R0085571) — Actual Dec 2024 YTD</t>
        </is>
      </c>
      <c r="B96" s="33" t="inlineStr">
        <is>
          <t>Expense</t>
        </is>
      </c>
      <c r="C96" s="33" t="inlineStr">
        <is>
          <t>Other Controllable Expenses</t>
        </is>
      </c>
      <c r="D96" s="34" t="n">
        <v>40436.57</v>
      </c>
      <c r="E96" s="33" t="n"/>
    </row>
    <row r="97">
      <c r="A97" s="33" t="inlineStr">
        <is>
          <t>1540 Altura Blvd (R0085571) — Actual Dec 2024 YTD</t>
        </is>
      </c>
      <c r="B97" s="33" t="inlineStr">
        <is>
          <t>Expense</t>
        </is>
      </c>
      <c r="C97" s="33" t="inlineStr">
        <is>
          <t>Marketing Expense</t>
        </is>
      </c>
      <c r="D97" s="34" t="n">
        <v>24474.39</v>
      </c>
      <c r="E97" s="33" t="n"/>
    </row>
    <row r="98">
      <c r="A98" s="33" t="inlineStr">
        <is>
          <t>1540 Altura Blvd (R0085571) — Actual Dec 2024 YTD</t>
        </is>
      </c>
      <c r="B98" s="33" t="inlineStr">
        <is>
          <t>Expense</t>
        </is>
      </c>
      <c r="C98" s="33" t="inlineStr">
        <is>
          <t>Snow Removal &amp; Salting</t>
        </is>
      </c>
      <c r="D98" s="34" t="n">
        <v>2180</v>
      </c>
      <c r="E98" s="33" t="n"/>
    </row>
    <row r="99">
      <c r="A99" s="33" t="inlineStr">
        <is>
          <t>1540 Altura Blvd (R0085571) — Actual Dec 2024 YTD</t>
        </is>
      </c>
      <c r="B99" s="33" t="inlineStr">
        <is>
          <t>Expense</t>
        </is>
      </c>
      <c r="C99" s="33" t="inlineStr">
        <is>
          <t>Professional Fees</t>
        </is>
      </c>
      <c r="D99" s="34" t="n">
        <v>350</v>
      </c>
      <c r="E99" s="33" t="n"/>
    </row>
    <row r="100">
      <c r="A100" s="33" t="inlineStr">
        <is>
          <t>1540 Altura Blvd (R0085571) — Actual Dec 2024 YTD</t>
        </is>
      </c>
      <c r="B100" s="33" t="inlineStr">
        <is>
          <t>Expense</t>
        </is>
      </c>
      <c r="C100" s="33" t="inlineStr">
        <is>
          <t>Third-Party Management Fees</t>
        </is>
      </c>
      <c r="D100" s="34" t="n">
        <v>22457.4</v>
      </c>
      <c r="E100" s="33" t="n"/>
    </row>
    <row r="101">
      <c r="A101" s="33" t="inlineStr">
        <is>
          <t>1540 Altura Blvd (R0085571) — Actual Dec 2024 YTD</t>
        </is>
      </c>
      <c r="B101" s="33" t="inlineStr">
        <is>
          <t>Expense</t>
        </is>
      </c>
      <c r="C101" s="33" t="inlineStr">
        <is>
          <t>Less: Other Income (Sales Tax Collection Allowance)</t>
        </is>
      </c>
      <c r="D101" s="34" t="n">
        <v>-12.01</v>
      </c>
      <c r="E101" s="33" t="n"/>
    </row>
    <row r="102">
      <c r="A102" s="33" t="inlineStr">
        <is>
          <t>1540 Altura Blvd (R0085571) — Actual Dec 2024 YTD</t>
        </is>
      </c>
      <c r="B102" s="33" t="inlineStr">
        <is>
          <t>Expense</t>
        </is>
      </c>
      <c r="C102" s="33" t="inlineStr">
        <is>
          <t>Property Tax Expense (Gross Receipts Tax)</t>
        </is>
      </c>
      <c r="D102" s="34" t="n">
        <v>121803.84</v>
      </c>
      <c r="E102" s="33" t="n"/>
    </row>
    <row r="103">
      <c r="A103" s="33" t="inlineStr">
        <is>
          <t>1540 Altura Blvd (R0085571) — Actual Dec 2024 YTD</t>
        </is>
      </c>
      <c r="B103" s="33" t="inlineStr">
        <is>
          <t>Expense</t>
        </is>
      </c>
      <c r="C103" s="33" t="inlineStr">
        <is>
          <t>Insurance Expense</t>
        </is>
      </c>
      <c r="D103" s="34" t="n">
        <v>5842.43</v>
      </c>
      <c r="E103" s="33" t="inlineStr">
        <is>
          <t>CubeSmart consolidated income statement, store 6731</t>
        </is>
      </c>
    </row>
    <row r="104">
      <c r="A104" s="33" t="inlineStr">
        <is>
          <t>1540 Altura Blvd (R0085571) — Actual Dec 2024 YTD</t>
        </is>
      </c>
      <c r="B104" s="33" t="inlineStr">
        <is>
          <t>Expense</t>
        </is>
      </c>
      <c r="C104" s="33" t="inlineStr">
        <is>
          <t>TOTAL EXPENSE</t>
        </is>
      </c>
      <c r="D104" s="34">
        <f>SUM(D93:D103)</f>
        <v/>
      </c>
      <c r="E104" s="33" t="inlineStr">
        <is>
          <t>Printed total.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8" customWidth="1" min="4" max="4"/>
    <col width="8" customWidth="1" min="5" max="5"/>
  </cols>
  <sheetData>
    <row r="1" ht="26" customHeight="1">
      <c r="A1" s="1" t="inlineStr">
        <is>
          <t>RELATED PARCELS</t>
        </is>
      </c>
    </row>
    <row r="2" ht="14" customHeight="1">
      <c r="A2" s="2" t="inlineStr">
        <is>
          <t>North Side Gardens LLC portfolio — parcel schedule attached to the 7205 Gilpin Way (R0178308) appeal</t>
        </is>
      </c>
    </row>
    <row r="4" ht="28" customHeight="1">
      <c r="A4" s="4" t="inlineStr">
        <is>
          <t>Assessee</t>
        </is>
      </c>
      <c r="B4" s="4" t="inlineStr">
        <is>
          <t>Account Number</t>
        </is>
      </c>
      <c r="C4" s="4" t="inlineStr">
        <is>
          <t>Address</t>
        </is>
      </c>
      <c r="D4" s="4" t="inlineStr">
        <is>
          <t>County</t>
        </is>
      </c>
      <c r="E4" s="4" t="inlineStr">
        <is>
          <t>State</t>
        </is>
      </c>
    </row>
    <row r="5">
      <c r="A5" s="6" t="inlineStr">
        <is>
          <t>North Side Gardens LLC</t>
        </is>
      </c>
      <c r="B5" s="5" t="inlineStr">
        <is>
          <t>R0174928</t>
        </is>
      </c>
      <c r="C5" s="6" t="inlineStr">
        <is>
          <t>7285 Gilpin Way</t>
        </is>
      </c>
      <c r="D5" s="5" t="inlineStr">
        <is>
          <t>Adams County</t>
        </is>
      </c>
      <c r="E5" s="5" t="inlineStr">
        <is>
          <t>CO</t>
        </is>
      </c>
    </row>
    <row r="6">
      <c r="A6" s="12" t="inlineStr">
        <is>
          <t>North Side Gardens LLC</t>
        </is>
      </c>
      <c r="B6" s="24" t="inlineStr">
        <is>
          <t>R0178308</t>
        </is>
      </c>
      <c r="C6" s="12" t="inlineStr">
        <is>
          <t>7205 Gilpin Way</t>
        </is>
      </c>
      <c r="D6" s="24" t="inlineStr">
        <is>
          <t>Adams County</t>
        </is>
      </c>
      <c r="E6" s="24" t="inlineStr">
        <is>
          <t>CO</t>
        </is>
      </c>
    </row>
    <row r="7">
      <c r="A7" s="6" t="inlineStr">
        <is>
          <t>North Side Gardens LLC</t>
        </is>
      </c>
      <c r="B7" s="5" t="inlineStr">
        <is>
          <t>R0189058</t>
        </is>
      </c>
      <c r="C7" s="6" t="inlineStr">
        <is>
          <t>7230 Gilpin Way</t>
        </is>
      </c>
      <c r="D7" s="5" t="inlineStr">
        <is>
          <t>Adams County</t>
        </is>
      </c>
      <c r="E7" s="5" t="inlineStr">
        <is>
          <t>CO</t>
        </is>
      </c>
    </row>
    <row r="8">
      <c r="A8" s="6" t="inlineStr">
        <is>
          <t>North Side Gardens LLC</t>
        </is>
      </c>
      <c r="B8" s="5" t="inlineStr">
        <is>
          <t>R0174929</t>
        </is>
      </c>
      <c r="C8" s="6" t="inlineStr">
        <is>
          <t>7245 Gilpin Way</t>
        </is>
      </c>
      <c r="D8" s="5" t="inlineStr">
        <is>
          <t>Adams County</t>
        </is>
      </c>
      <c r="E8" s="5" t="inlineStr">
        <is>
          <t>CO</t>
        </is>
      </c>
    </row>
    <row r="10" ht="28" customHeight="1">
      <c r="A10" s="18" t="inlineStr">
        <is>
          <t>Highlighted row (R0178308 / 7205 Gilpin Way) is the primary appeal subject; the other three parcels are co-listed on the same authorization schedule. Appeal owner of record: Center Land Properties (signed by Ken R. Lombardi, Manager).</t>
        </is>
      </c>
      <c r="B10" s="20" t="n"/>
      <c r="C10" s="20" t="n"/>
      <c r="D10" s="20" t="n"/>
      <c r="E10" s="21" t="n"/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</cols>
  <sheetData>
    <row r="1" ht="26" customHeight="1">
      <c r="A1" s="35" t="inlineStr">
        <is>
          <t>SELF-STORAGE INCOME &amp; EXPENSE COMPARISON — DECEMBER HEARINGS</t>
        </is>
      </c>
      <c r="B1" s="36" t="n"/>
      <c r="C1" s="36" t="n"/>
      <c r="D1" s="36" t="n"/>
    </row>
    <row r="2" ht="16" customHeight="1">
      <c r="A2" s="37" t="inlineStr">
        <is>
          <t>Subject: 10350 Washington Street (R0040829) vs. comparable Adams County self-storage appeals in the same folder  |  Updated 2026-08-19</t>
        </is>
      </c>
      <c r="B2" s="36" t="n"/>
      <c r="C2" s="36" t="n"/>
      <c r="D2" s="36" t="n"/>
    </row>
    <row r="4" ht="42" customHeight="1">
      <c r="A4" s="38" t="inlineStr"/>
      <c r="B4" s="4" t="inlineStr">
        <is>
          <t>SUBJECT
10350 Washington St
(R0040829)</t>
        </is>
      </c>
      <c r="C4" s="4" t="inlineStr">
        <is>
          <t>COMP 1
15413 E 18th Ave, Aurora
(R0086010)</t>
        </is>
      </c>
      <c r="D4" s="4" t="inlineStr">
        <is>
          <t>COMP 2
1540 Altura Blvd, Aurora
(R0085571)</t>
        </is>
      </c>
    </row>
    <row r="5">
      <c r="A5" s="39" t="inlineStr">
        <is>
          <t>PROPERTY PROFILE</t>
        </is>
      </c>
      <c r="B5" s="40" t="n"/>
      <c r="C5" s="40" t="n"/>
      <c r="D5" s="40" t="n"/>
    </row>
    <row r="6">
      <c r="A6" s="41" t="inlineStr">
        <is>
          <t>Owner / Client</t>
        </is>
      </c>
      <c r="B6" s="42" t="inlineStr">
        <is>
          <t>DSI Special Situations Fund B</t>
        </is>
      </c>
      <c r="C6" s="43" t="inlineStr">
        <is>
          <t>Winner Storage LLC / PTA USI No 730</t>
        </is>
      </c>
      <c r="D6" s="43" t="inlineStr">
        <is>
          <t>Winner Storage LLC / PTA USI No 731</t>
        </is>
      </c>
    </row>
    <row r="7">
      <c r="A7" s="41" t="inlineStr">
        <is>
          <t>Parcel Number</t>
        </is>
      </c>
      <c r="B7" s="42" t="inlineStr">
        <is>
          <t>0171914201013</t>
        </is>
      </c>
      <c r="C7" s="43" t="inlineStr">
        <is>
          <t>0182132318001</t>
        </is>
      </c>
      <c r="D7" s="43" t="inlineStr">
        <is>
          <t>0182131405022</t>
        </is>
      </c>
    </row>
    <row r="8">
      <c r="A8" s="41" t="inlineStr">
        <is>
          <t>Year Built</t>
        </is>
      </c>
      <c r="B8" s="42" t="n">
        <v>1985</v>
      </c>
      <c r="C8" s="43" t="n">
        <v>1984</v>
      </c>
      <c r="D8" s="43" t="n">
        <v>1978</v>
      </c>
    </row>
    <row r="9">
      <c r="A9" s="41" t="inlineStr">
        <is>
          <t>Net Leasable Area (SF)</t>
        </is>
      </c>
      <c r="B9" s="44" t="n">
        <v>48250</v>
      </c>
      <c r="C9" s="45" t="n">
        <v>57742</v>
      </c>
      <c r="D9" s="45" t="n">
        <v>27139</v>
      </c>
    </row>
    <row r="10">
      <c r="A10" s="41" t="inlineStr">
        <is>
          <t>Site Area (Acres)</t>
        </is>
      </c>
      <c r="B10" s="46" t="n">
        <v>2.93</v>
      </c>
      <c r="C10" s="47" t="n">
        <v>4.68</v>
      </c>
      <c r="D10" s="47" t="n">
        <v>2.05</v>
      </c>
    </row>
    <row r="11">
      <c r="A11" s="41" t="inlineStr">
        <is>
          <t>Occupancy (Jun 2024, per appeal)</t>
        </is>
      </c>
      <c r="B11" s="42" t="inlineStr">
        <is>
          <t>84% actual / 85% stabilized</t>
        </is>
      </c>
      <c r="C11" s="43" t="inlineStr">
        <is>
          <t>87% actual / 88% stabilized</t>
        </is>
      </c>
      <c r="D11" s="43" t="inlineStr">
        <is>
          <t>0% vacancy assumed in proforma</t>
        </is>
      </c>
    </row>
    <row r="12">
      <c r="A12" s="39" t="inlineStr">
        <is>
          <t>ASSESSED VALUE</t>
        </is>
      </c>
      <c r="B12" s="40" t="n"/>
      <c r="C12" s="40" t="n"/>
      <c r="D12" s="40" t="n"/>
    </row>
    <row r="13">
      <c r="A13" s="41" t="inlineStr">
        <is>
          <t>Assessor's Value</t>
        </is>
      </c>
      <c r="B13" s="48" t="n">
        <v>5428808</v>
      </c>
      <c r="C13" s="49" t="n">
        <v>8187500</v>
      </c>
      <c r="D13" s="49" t="n">
        <v>3309468</v>
      </c>
    </row>
    <row r="14">
      <c r="A14" s="41" t="inlineStr">
        <is>
          <t>Value per SF</t>
        </is>
      </c>
      <c r="B14" s="50" t="n">
        <v>112.5141554404145</v>
      </c>
      <c r="C14" s="51" t="n">
        <v>141.7945343077829</v>
      </c>
      <c r="D14" s="51" t="n">
        <v>121.9450974612182</v>
      </c>
    </row>
    <row r="15">
      <c r="A15" s="41" t="inlineStr">
        <is>
          <t>Taxpayer's Opinion of Value</t>
        </is>
      </c>
      <c r="B15" s="48" t="n">
        <v>4510000</v>
      </c>
      <c r="C15" s="49" t="n">
        <v>6610000</v>
      </c>
      <c r="D15" s="49" t="n">
        <v>2546900</v>
      </c>
    </row>
    <row r="16">
      <c r="A16" s="41" t="inlineStr">
        <is>
          <t>Opinion per SF</t>
        </is>
      </c>
      <c r="B16" s="50" t="n">
        <v>93.47150259067358</v>
      </c>
      <c r="C16" s="51" t="n">
        <v>114.4747324304666</v>
      </c>
      <c r="D16" s="51" t="n">
        <v>93.84649397545967</v>
      </c>
    </row>
    <row r="17">
      <c r="A17" s="41" t="inlineStr">
        <is>
          <t>Assessment / Tax Year</t>
        </is>
      </c>
      <c r="B17" s="42" t="inlineStr">
        <is>
          <t>2026</t>
        </is>
      </c>
      <c r="C17" s="43" t="inlineStr">
        <is>
          <t>2026</t>
        </is>
      </c>
      <c r="D17" s="43" t="inlineStr">
        <is>
          <t>2025 (per value table; header says 2026)</t>
        </is>
      </c>
    </row>
    <row r="18">
      <c r="A18" s="39" t="inlineStr">
        <is>
          <t>INCOME-APPROACH PROFORMA (Ryan LLC appeal — all three)</t>
        </is>
      </c>
      <c r="B18" s="40" t="n"/>
      <c r="C18" s="40" t="n"/>
      <c r="D18" s="40" t="n"/>
    </row>
    <row r="19">
      <c r="A19" s="41" t="inlineStr">
        <is>
          <t>Gross Potential Rent</t>
        </is>
      </c>
      <c r="B19" s="48" t="n">
        <v>796125</v>
      </c>
      <c r="C19" s="49" t="n">
        <v>750646</v>
      </c>
      <c r="D19" s="49" t="n">
        <v>413870</v>
      </c>
    </row>
    <row r="20">
      <c r="A20" s="41" t="inlineStr">
        <is>
          <t>Base Rent per SF</t>
        </is>
      </c>
      <c r="B20" s="50" t="n">
        <v>16.5</v>
      </c>
      <c r="C20" s="51" t="n">
        <v>13</v>
      </c>
      <c r="D20" s="51" t="n">
        <v>15.25</v>
      </c>
    </row>
    <row r="21">
      <c r="A21" s="41" t="inlineStr">
        <is>
          <t>Vacancy &amp; Credit Loss</t>
        </is>
      </c>
      <c r="B21" s="42" t="inlineStr">
        <is>
          <t>15% / $119,419</t>
        </is>
      </c>
      <c r="C21" s="43" t="inlineStr">
        <is>
          <t>12% / $90,078</t>
        </is>
      </c>
      <c r="D21" s="43" t="inlineStr">
        <is>
          <t>0% / $0</t>
        </is>
      </c>
    </row>
    <row r="22">
      <c r="A22" s="41" t="inlineStr">
        <is>
          <t>Effective Gross Income (EGI)</t>
        </is>
      </c>
      <c r="B22" s="48" t="n">
        <v>676706</v>
      </c>
      <c r="C22" s="49" t="n">
        <v>660568</v>
      </c>
      <c r="D22" s="49" t="n">
        <v>413870</v>
      </c>
    </row>
    <row r="23">
      <c r="A23" s="41" t="inlineStr">
        <is>
          <t>Operating / Non-Reimbursable Expenses</t>
        </is>
      </c>
      <c r="B23" s="42" t="inlineStr">
        <is>
          <t>55% EGI / $372,188</t>
        </is>
      </c>
      <c r="C23" s="43" t="inlineStr">
        <is>
          <t>35% EGI / $231,199</t>
        </is>
      </c>
      <c r="D23" s="43" t="inlineStr">
        <is>
          <t>60% EGI / $248,322</t>
        </is>
      </c>
    </row>
    <row r="24">
      <c r="A24" s="52" t="inlineStr">
        <is>
          <t>Net Operating Income (NOI)</t>
        </is>
      </c>
      <c r="B24" s="53" t="n">
        <v>304518</v>
      </c>
      <c r="C24" s="54" t="n">
        <v>429370</v>
      </c>
      <c r="D24" s="54" t="n">
        <v>165548</v>
      </c>
    </row>
    <row r="25">
      <c r="A25" s="41" t="inlineStr">
        <is>
          <t>NOI per SF</t>
        </is>
      </c>
      <c r="B25" s="50" t="n">
        <v>6.311253886010363</v>
      </c>
      <c r="C25" s="51" t="n">
        <v>7.436008451387205</v>
      </c>
      <c r="D25" s="51" t="n">
        <v>6.100003684734147</v>
      </c>
    </row>
    <row r="26">
      <c r="A26" s="41" t="inlineStr">
        <is>
          <t>Cap Rate</t>
        </is>
      </c>
      <c r="B26" s="55" t="n">
        <v>0.0675</v>
      </c>
      <c r="C26" s="56" t="n">
        <v>0.065</v>
      </c>
      <c r="D26" s="56" t="n">
        <v>0.065</v>
      </c>
    </row>
    <row r="27">
      <c r="A27" s="52" t="inlineStr">
        <is>
          <t>Indicated Value (Income Approach)</t>
        </is>
      </c>
      <c r="B27" s="53" t="n">
        <v>4510000</v>
      </c>
      <c r="C27" s="54" t="n">
        <v>6610000</v>
      </c>
      <c r="D27" s="54" t="n">
        <v>2546900</v>
      </c>
    </row>
    <row r="28">
      <c r="A28" s="39" t="inlineStr">
        <is>
          <t>ACTUAL OPERATING STATEMENT — Dec 2024 YTD (CubeSmart-managed comps only)</t>
        </is>
      </c>
      <c r="B28" s="40" t="n"/>
      <c r="C28" s="40" t="n"/>
      <c r="D28" s="40" t="n"/>
    </row>
    <row r="29">
      <c r="A29" s="41" t="inlineStr">
        <is>
          <t>Net Rental Income</t>
        </is>
      </c>
      <c r="B29" s="42" t="inlineStr">
        <is>
          <t>—</t>
        </is>
      </c>
      <c r="C29" s="49" t="n">
        <v>731252.08</v>
      </c>
      <c r="D29" s="49" t="n">
        <v>383165.98</v>
      </c>
    </row>
    <row r="30">
      <c r="A30" s="41" t="inlineStr">
        <is>
          <t>Fees &amp; Other Income</t>
        </is>
      </c>
      <c r="B30" s="42" t="inlineStr">
        <is>
          <t>—</t>
        </is>
      </c>
      <c r="C30" s="49" t="n">
        <v>51871.17</v>
      </c>
      <c r="D30" s="49" t="n">
        <v>31467.85</v>
      </c>
    </row>
    <row r="31">
      <c r="A31" s="52" t="inlineStr">
        <is>
          <t>TOTAL ACTUAL INCOME</t>
        </is>
      </c>
      <c r="B31" s="57" t="inlineStr">
        <is>
          <t>—</t>
        </is>
      </c>
      <c r="C31" s="54" t="n">
        <v>783123.25</v>
      </c>
      <c r="D31" s="54" t="n">
        <v>414633.83</v>
      </c>
    </row>
    <row r="32">
      <c r="A32" s="41" t="inlineStr">
        <is>
          <t>Payroll Expense</t>
        </is>
      </c>
      <c r="B32" s="42" t="inlineStr">
        <is>
          <t>—</t>
        </is>
      </c>
      <c r="C32" s="49" t="n">
        <v>84368.25</v>
      </c>
      <c r="D32" s="49" t="n">
        <v>69477.36</v>
      </c>
    </row>
    <row r="33">
      <c r="A33" s="41" t="inlineStr">
        <is>
          <t>Utilities</t>
        </is>
      </c>
      <c r="B33" s="42" t="inlineStr">
        <is>
          <t>—</t>
        </is>
      </c>
      <c r="C33" s="49" t="n">
        <v>20743.13</v>
      </c>
      <c r="D33" s="49" t="n">
        <v>15848.82</v>
      </c>
    </row>
    <row r="34">
      <c r="A34" s="41" t="inlineStr">
        <is>
          <t>Repairs &amp; Maintenance</t>
        </is>
      </c>
      <c r="B34" s="42" t="inlineStr">
        <is>
          <t>—</t>
        </is>
      </c>
      <c r="C34" s="49" t="n">
        <v>17362.79</v>
      </c>
      <c r="D34" s="49" t="n">
        <v>25497.14</v>
      </c>
    </row>
    <row r="35">
      <c r="A35" s="41" t="inlineStr">
        <is>
          <t>Marketing</t>
        </is>
      </c>
      <c r="B35" s="42" t="inlineStr">
        <is>
          <t>—</t>
        </is>
      </c>
      <c r="C35" s="49" t="n">
        <v>25974.66</v>
      </c>
      <c r="D35" s="49" t="n">
        <v>24474.39</v>
      </c>
    </row>
    <row r="36">
      <c r="A36" s="41" t="inlineStr">
        <is>
          <t>Other Controllable Expenses</t>
        </is>
      </c>
      <c r="B36" s="42" t="inlineStr">
        <is>
          <t>—</t>
        </is>
      </c>
      <c r="C36" s="49" t="n">
        <v>48137.71</v>
      </c>
      <c r="D36" s="49" t="n">
        <v>40436.57</v>
      </c>
    </row>
    <row r="37">
      <c r="A37" s="41" t="inlineStr">
        <is>
          <t>Property Tax (Gross Receipts Tax)</t>
        </is>
      </c>
      <c r="B37" s="42" t="inlineStr">
        <is>
          <t>—</t>
        </is>
      </c>
      <c r="C37" s="49" t="n">
        <v>246826.26</v>
      </c>
      <c r="D37" s="49" t="n">
        <v>121803.84</v>
      </c>
    </row>
    <row r="38">
      <c r="A38" s="41" t="inlineStr">
        <is>
          <t>Insurance</t>
        </is>
      </c>
      <c r="B38" s="42" t="inlineStr">
        <is>
          <t>—</t>
        </is>
      </c>
      <c r="C38" s="49" t="n">
        <v>10522.42</v>
      </c>
      <c r="D38" s="49" t="n">
        <v>5842.43</v>
      </c>
    </row>
    <row r="39">
      <c r="A39" s="41" t="inlineStr">
        <is>
          <t>Mgmt Fee, Snow Removal, Prof. Fees (net)</t>
        </is>
      </c>
      <c r="B39" s="42" t="inlineStr">
        <is>
          <t>—</t>
        </is>
      </c>
      <c r="C39" s="49" t="n">
        <v>45823.96</v>
      </c>
      <c r="D39" s="49" t="n">
        <v>24975.39</v>
      </c>
    </row>
    <row r="40">
      <c r="A40" s="52" t="inlineStr">
        <is>
          <t>TOTAL ACTUAL EXPENSE</t>
        </is>
      </c>
      <c r="B40" s="57" t="inlineStr">
        <is>
          <t>—</t>
        </is>
      </c>
      <c r="C40" s="54" t="n">
        <v>499759.18</v>
      </c>
      <c r="D40" s="54" t="n">
        <v>328355.94</v>
      </c>
    </row>
    <row r="41">
      <c r="A41" s="52" t="inlineStr">
        <is>
          <t>ACTUAL NET OPERATING INCOME</t>
        </is>
      </c>
      <c r="B41" s="57" t="inlineStr">
        <is>
          <t>—</t>
        </is>
      </c>
      <c r="C41" s="54" t="n">
        <v>283364.07</v>
      </c>
      <c r="D41" s="54" t="n">
        <v>86277.89</v>
      </c>
    </row>
    <row r="42">
      <c r="A42" s="41" t="inlineStr">
        <is>
          <t>Actual NOI per SF</t>
        </is>
      </c>
      <c r="B42" s="42" t="inlineStr">
        <is>
          <t>—</t>
        </is>
      </c>
      <c r="C42" s="51" t="n">
        <v>4.907416958193343</v>
      </c>
      <c r="D42" s="51" t="n">
        <v>3.179110873650466</v>
      </c>
    </row>
    <row r="43">
      <c r="A43" s="41" t="inlineStr">
        <is>
          <t>Actual Expense Ratio (Exp / Total Income)</t>
        </is>
      </c>
      <c r="B43" s="42" t="inlineStr">
        <is>
          <t>—</t>
        </is>
      </c>
      <c r="C43" s="56" t="n">
        <v>0.6381615920610197</v>
      </c>
      <c r="D43" s="56" t="n">
        <v>0.7919178712455759</v>
      </c>
    </row>
    <row r="45" ht="60" customHeight="1">
      <c r="A45" s="58" t="inlineStr">
        <is>
          <t>Notes: All three properties are Adams County self-storage tax appeals prepared by Ryan LLC (Declan Fassig), valued as of 6/30/2024, from the 'R0040829 - 10350 Washington Street' folder under December Hearings. Proforma figures (income-approach appeal) are apples-to-apples across all three. Actual operating statements are only available for the two Winner Storage/CubeSmart comps (15413 E 18th Ave and 1540 Altura Blvd) — 10350 Washington's appeal package did not include an actual P&amp;L, only the income-cap proforma, so its actual-statement cells are marked '—'. 1540 Altura Blvd's header prints 'Assessment Year: 2026' but its own value table and income statement are labeled 2025 — reproduced as printed. Full line-item detail and source citations are in the 'Assessments &amp; Valuation' and 'Income-Expense Detail' tabs.</t>
        </is>
      </c>
    </row>
  </sheetData>
  <mergeCells count="7">
    <mergeCell ref="A1:D1"/>
    <mergeCell ref="A5:D5"/>
    <mergeCell ref="A18:D18"/>
    <mergeCell ref="A45:D45"/>
    <mergeCell ref="A12:D12"/>
    <mergeCell ref="A2:D2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2026-07-30T22:56:27Z</dcterms:created>
  <dcterms:modified xsi:type="dcterms:W3CDTF">2026-08-19T18:46:26Z</dcterms:modified>
</cp:coreProperties>
</file>