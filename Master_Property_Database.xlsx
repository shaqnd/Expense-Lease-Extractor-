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2026-08-18  |  22 subject properties,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5" t="n">
        <v>10</v>
      </c>
      <c r="B15" s="6" t="inlineStr">
        <is>
          <t>R0213618.pdf</t>
        </is>
      </c>
      <c r="C15" s="6" t="inlineStr">
        <is>
          <t>Ground Lease (original) — Scannell/Performance Food Group</t>
        </is>
      </c>
      <c r="D15" s="6" t="inlineStr">
        <is>
          <t>Cast Transportation Sub. (R0213618)</t>
        </is>
      </c>
      <c r="E15" s="5" t="inlineStr">
        <is>
          <t>Eff. 12/9/2021 (20-yr term + 2x5-yr opt.)</t>
        </is>
      </c>
      <c r="F15" s="6" t="inlineStr">
        <is>
          <t>Scannell Properties #534, LLC / Performance Food Group, Inc.</t>
        </is>
      </c>
    </row>
    <row r="16" ht="26" customHeight="1">
      <c r="A16" s="5" t="n">
        <v>11</v>
      </c>
      <c r="B16" s="6" t="inlineStr">
        <is>
          <t>R0213618 2.pdf</t>
        </is>
      </c>
      <c r="C16" s="6" t="inlineStr">
        <is>
          <t>Assignment and Assumption of Lease</t>
        </is>
      </c>
      <c r="D16" s="6" t="inlineStr">
        <is>
          <t>Cast Transportation Sub. (R0213618)</t>
        </is>
      </c>
      <c r="E16" s="5" t="inlineStr">
        <is>
          <t>5/24/2024</t>
        </is>
      </c>
      <c r="F16" s="6" t="inlineStr">
        <is>
          <t>Scannell Properties #534, LLC -&gt; Bel Commerce LLC</t>
        </is>
      </c>
    </row>
    <row r="17" ht="26" customHeight="1">
      <c r="A17" s="5" t="n">
        <v>12</v>
      </c>
      <c r="B17" s="6" t="inlineStr">
        <is>
          <t>R0179014.pdf</t>
        </is>
      </c>
      <c r="C17" s="6" t="inlineStr">
        <is>
          <t>County Commercial-Industrial Income &amp; Expense Survey</t>
        </is>
      </c>
      <c r="D17" s="6" t="inlineStr">
        <is>
          <t>1010 Lousell Blvd (Grand Lake), Westminster</t>
        </is>
      </c>
      <c r="E17" s="5" t="inlineStr">
        <is>
          <t>2023-2024</t>
        </is>
      </c>
      <c r="F17" s="6" t="inlineStr">
        <is>
          <t>Adams County Assessor / Low Down LLC</t>
        </is>
      </c>
    </row>
    <row r="18" ht="26" customHeight="1">
      <c r="A18" s="5" t="n">
        <v>13</v>
      </c>
      <c r="B18" s="6" t="inlineStr">
        <is>
          <t>R0179050.pdf</t>
        </is>
      </c>
      <c r="C18" s="6" t="inlineStr">
        <is>
          <t>Tax appeal (cost approach) cover letter + cost summary + lease</t>
        </is>
      </c>
      <c r="D18" s="6" t="inlineStr">
        <is>
          <t>8510 Brighton Rd, Adams County</t>
        </is>
      </c>
      <c r="E18" s="5" t="inlineStr">
        <is>
          <t>Assess. Yr 2025</t>
        </is>
      </c>
      <c r="F18" s="6" t="inlineStr">
        <is>
          <t>Consultus Asset Valuation, Inc. (Jason Letman)</t>
        </is>
      </c>
    </row>
    <row r="19">
      <c r="A19" s="5" t="n">
        <v>14</v>
      </c>
      <c r="B19" s="6" t="inlineStr">
        <is>
          <t>R0100117.pdf</t>
        </is>
      </c>
      <c r="C19" s="6" t="inlineStr">
        <is>
          <t>County Commercial-Industrial Income &amp; Expense Survey</t>
        </is>
      </c>
      <c r="D19" s="6" t="inlineStr">
        <is>
          <t>3580 W. 72nd Ave, Westminster</t>
        </is>
      </c>
      <c r="E19" s="5" t="inlineStr">
        <is>
          <t>2023-2024</t>
        </is>
      </c>
      <c r="F19" s="6" t="inlineStr">
        <is>
          <t>Adams County Assessor / Bohan Family LP</t>
        </is>
      </c>
    </row>
    <row r="20">
      <c r="A20" s="5" t="n">
        <v>15</v>
      </c>
      <c r="B20" s="6" t="inlineStr">
        <is>
          <t>R0100737.pdf</t>
        </is>
      </c>
      <c r="C20" s="6" t="inlineStr">
        <is>
          <t>Valuation protest letter + rent roll + CoStar sale comp</t>
        </is>
      </c>
      <c r="D20" s="6" t="inlineStr">
        <is>
          <t>6500 N. Federal Blvd, Denver</t>
        </is>
      </c>
      <c r="E20" s="5" t="inlineStr">
        <is>
          <t>Assess. Yr 2025 (rent roll 7/1/2024)</t>
        </is>
      </c>
      <c r="F20" s="6" t="inlineStr">
        <is>
          <t>1st Net Real Estate Services, Inc. (Dan George)</t>
        </is>
      </c>
    </row>
    <row r="21">
      <c r="A21" s="5" t="n">
        <v>16</v>
      </c>
      <c r="B21" s="6" t="inlineStr">
        <is>
          <t>R0099649.pdf</t>
        </is>
      </c>
      <c r="C21" s="6" t="inlineStr">
        <is>
          <t>Petition for Abatement/Refund + income proforma summary</t>
        </is>
      </c>
      <c r="D21" s="6" t="inlineStr">
        <is>
          <t>1225 W 64th Ave, Denver</t>
        </is>
      </c>
      <c r="E21" s="5" t="inlineStr">
        <is>
          <t>Tax Yr 2024</t>
        </is>
      </c>
      <c r="F21" s="6" t="inlineStr">
        <is>
          <t>Stevens &amp; Associates Cost Reduction Specialists, LLC</t>
        </is>
      </c>
    </row>
    <row r="22">
      <c r="A22" s="5" t="n">
        <v>17</v>
      </c>
      <c r="B22" s="6" t="inlineStr">
        <is>
          <t>R0092740.pdf</t>
        </is>
      </c>
      <c r="C22" s="6" t="inlineStr">
        <is>
          <t>County Commercial-Industrial Income &amp; Expense Survey</t>
        </is>
      </c>
      <c r="D22" s="6" t="inlineStr">
        <is>
          <t>1975 Newport St, Commerce City</t>
        </is>
      </c>
      <c r="E22" s="5" t="inlineStr">
        <is>
          <t>2023-2024</t>
        </is>
      </c>
      <c r="F22" s="6" t="inlineStr">
        <is>
          <t>Adams County Assessor / DSP LLC</t>
        </is>
      </c>
    </row>
    <row r="23">
      <c r="A23" s="5" t="n">
        <v>18</v>
      </c>
      <c r="B23" s="6" t="inlineStr">
        <is>
          <t>R0085560.pdf</t>
        </is>
      </c>
      <c r="C23" s="6" t="inlineStr">
        <is>
          <t>Valuation protest letter + 4-yr P&amp;L recap + rent rolls</t>
        </is>
      </c>
      <c r="D23" s="6" t="inlineStr">
        <is>
          <t>14891 East Colfax Avenue</t>
        </is>
      </c>
      <c r="E23" s="5" t="inlineStr">
        <is>
          <t>Assess. Yr 2025 (val. 6/30/2024)</t>
        </is>
      </c>
      <c r="F23" s="6" t="inlineStr">
        <is>
          <t>1st Net Real Estate Services, Inc. (Mike Walter)</t>
        </is>
      </c>
    </row>
    <row r="24">
      <c r="A24" s="5" t="n">
        <v>19</v>
      </c>
      <c r="B24" s="6" t="inlineStr">
        <is>
          <t>R0077963.pdf</t>
        </is>
      </c>
      <c r="C24" s="6" t="inlineStr">
        <is>
          <t>County Commercial-Industrial Income &amp; Expense Survey</t>
        </is>
      </c>
      <c r="D24" s="6" t="inlineStr">
        <is>
          <t>1750 74th Ave, Commerce City</t>
        </is>
      </c>
      <c r="E24" s="5" t="inlineStr">
        <is>
          <t>2023-2024</t>
        </is>
      </c>
      <c r="F24" s="6" t="inlineStr">
        <is>
          <t>Adams County Assessor / Diamond Beall Development LLC</t>
        </is>
      </c>
    </row>
    <row r="25">
      <c r="A25" s="5" t="n">
        <v>20</v>
      </c>
      <c r="B25" s="6" t="inlineStr">
        <is>
          <t>R0077789.pdf</t>
        </is>
      </c>
      <c r="C25" s="6" t="inlineStr">
        <is>
          <t>County Commercial-Industrial Income &amp; Expense Survey</t>
        </is>
      </c>
      <c r="D25" s="6" t="inlineStr">
        <is>
          <t>7908 Highway 85, Commerce City</t>
        </is>
      </c>
      <c r="E25" s="5" t="inlineStr">
        <is>
          <t>2023-2024</t>
        </is>
      </c>
      <c r="F25" s="6" t="inlineStr">
        <is>
          <t>Adams County Assessor / B and M Equipment Company</t>
        </is>
      </c>
    </row>
    <row r="26">
      <c r="A26" s="5" t="n">
        <v>21</v>
      </c>
      <c r="B26" s="6" t="inlineStr">
        <is>
          <t>R0075352.pdf</t>
        </is>
      </c>
      <c r="C26" s="6" t="inlineStr">
        <is>
          <t>County Commercial-Industrial Income &amp; Expense Survey</t>
        </is>
      </c>
      <c r="D26" s="6" t="inlineStr">
        <is>
          <t>(address illegible), Adams County</t>
        </is>
      </c>
      <c r="E26" s="5" t="inlineStr">
        <is>
          <t>2023-2024</t>
        </is>
      </c>
      <c r="F26" s="6" t="inlineStr">
        <is>
          <t>Adams County Assessor / RJR Investments LLC</t>
        </is>
      </c>
    </row>
    <row r="27">
      <c r="A27" s="5" t="n">
        <v>22</v>
      </c>
      <c r="B27" s="6" t="inlineStr">
        <is>
          <t>R0037193.pdf</t>
        </is>
      </c>
      <c r="C27" s="6" t="inlineStr">
        <is>
          <t>County Commercial-Industrial Income &amp; Expense Survey</t>
        </is>
      </c>
      <c r="D27" s="6" t="inlineStr">
        <is>
          <t>(address illegible), Northglenn area</t>
        </is>
      </c>
      <c r="E27" s="5" t="inlineStr">
        <is>
          <t>2023-2024</t>
        </is>
      </c>
      <c r="F27" s="6" t="inlineStr">
        <is>
          <t>Adams County Assessor / Baizer Properties LLC</t>
        </is>
      </c>
    </row>
    <row r="28">
      <c r="A28" s="5" t="n">
        <v>23</v>
      </c>
      <c r="B28" s="6" t="inlineStr">
        <is>
          <t>R0030089.pdf</t>
        </is>
      </c>
      <c r="C28" s="6" t="inlineStr">
        <is>
          <t>Valuation protest letter + operating statement + letter of authority</t>
        </is>
      </c>
      <c r="D28" s="6" t="inlineStr">
        <is>
          <t>11450 Huron St, Denver</t>
        </is>
      </c>
      <c r="E28" s="5" t="inlineStr">
        <is>
          <t>Assess. Yr 2023</t>
        </is>
      </c>
      <c r="F28" s="6" t="inlineStr">
        <is>
          <t>1st Net Real Estate Services, Inc. (Dan George) / Wallace Associates, Inc.</t>
        </is>
      </c>
    </row>
    <row r="29">
      <c r="A29" s="5" t="n">
        <v>24</v>
      </c>
      <c r="B29" s="6" t="inlineStr">
        <is>
          <t>R0030085.pdf</t>
        </is>
      </c>
      <c r="C29" s="6" t="inlineStr">
        <is>
          <t>County Commercial-Industrial Income &amp; Expense Survey</t>
        </is>
      </c>
      <c r="D29" s="6" t="inlineStr">
        <is>
          <t>490 Huron St, Denver</t>
        </is>
      </c>
      <c r="E29" s="5" t="inlineStr">
        <is>
          <t>2023-2024</t>
        </is>
      </c>
      <c r="F29" s="6" t="inlineStr">
        <is>
          <t>Adams County Assessor / Peerless Tyre Co</t>
        </is>
      </c>
    </row>
    <row r="31">
      <c r="A31" s="5" t="inlineStr">
        <is>
          <t>Notes: Figures transcribed from the source documents. Total / net / average cells are live formulas (SUM/AVERAGE) verified against the printed totals; they populate on open in Excel/Sheets.</t>
        </is>
      </c>
      <c r="B31" s="20" t="n"/>
      <c r="C31" s="20" t="n"/>
      <c r="D31" s="20" t="n"/>
      <c r="E31" s="20" t="n"/>
      <c r="F31" s="21" t="n"/>
    </row>
    <row r="32">
      <c r="A32" s="5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 R0179050 original 8.4MB PDF could not be downloaded in this session (repeated Google Drive MCP timeout); its data is transcribed from Google Drive's server-side OCR text extract only. Several 325-folder County Income &amp; Expense Survey scans (R0075352, R0037193, R0179014, R0092740) have partially illegible handwritten $ figures per OCR; illegible fields are left blank and flagged in Property Master / Income-Expense notes rather than guessed.</t>
        </is>
      </c>
      <c r="B32" s="20" t="n"/>
      <c r="C32" s="20" t="n"/>
      <c r="D32" s="20" t="n"/>
      <c r="E32" s="20" t="n"/>
      <c r="F32" s="21" t="n"/>
    </row>
    <row r="33">
      <c r="A33" s="5" t="inlineStr">
        <is>
          <t>5970 Marion cash-basis 'expense' includes mortgage P&amp;I and property taxes (cash flow, not NOI). R0169133 cover value ($3,408,546) differs from its schedule total ($3,114,815); both reproduced as printed. R0030085/R0030088/R0030089 share adjacent Adams Co. schedule numbers (1719-03-0-05-xxx) suggesting units in the same Huron St. complex; relationship noted in Related Parcels but not confirmed from a plat.</t>
        </is>
      </c>
      <c r="B33" s="20" t="n"/>
      <c r="C33" s="20" t="n"/>
      <c r="D33" s="20" t="n"/>
      <c r="E33" s="20" t="n"/>
      <c r="F33" s="21" t="n"/>
    </row>
  </sheetData>
  <mergeCells count="5">
    <mergeCell ref="A2:F2"/>
    <mergeCell ref="A33:F33"/>
    <mergeCell ref="A1:F1"/>
    <mergeCell ref="A32:F32"/>
    <mergeCell ref="A31:F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6" t="inlineStr">
        <is>
          <t>R0213618</t>
        </is>
      </c>
      <c r="B13" s="6" t="inlineStr">
        <is>
          <t>R0213618</t>
        </is>
      </c>
      <c r="C13" s="6" t="inlineStr">
        <is>
          <t>R0213618</t>
        </is>
      </c>
      <c r="D13" s="6" t="inlineStr">
        <is>
          <t>Cast Transportation Sub. (BTS)</t>
        </is>
      </c>
      <c r="E13" s="6" t="inlineStr">
        <is>
          <t>Cast Transportation Subdivision (exact street not in extract)</t>
        </is>
      </c>
      <c r="F13" s="6" t="inlineStr">
        <is>
          <t>Commerce City</t>
        </is>
      </c>
      <c r="G13" s="5" t="inlineStr">
        <is>
          <t>CO</t>
        </is>
      </c>
      <c r="H13" s="6" t="n"/>
      <c r="I13" s="6" t="inlineStr">
        <is>
          <t>Adams</t>
        </is>
      </c>
      <c r="J13" s="6" t="inlineStr">
        <is>
          <t>Bel Commerce LLC (was Scannell Properties #534, LLC)</t>
        </is>
      </c>
      <c r="K13" s="6" t="inlineStr">
        <is>
          <t>Performance Food Group, Inc.</t>
        </is>
      </c>
      <c r="L13" s="6" t="inlineStr">
        <is>
          <t>Industrial - Distribution (BTS)</t>
        </is>
      </c>
      <c r="M13" s="6" t="inlineStr">
        <is>
          <t>Single (Performance Food Group)</t>
        </is>
      </c>
      <c r="N13" s="8" t="n">
        <v>28.47</v>
      </c>
      <c r="O13" s="8" t="n"/>
      <c r="P13" s="6" t="n">
        <v>274992</v>
      </c>
      <c r="Q13" s="8" t="n">
        <v>274992</v>
      </c>
      <c r="R13" s="6" t="n"/>
      <c r="S13" s="6" t="inlineStr">
        <is>
          <t>—</t>
        </is>
      </c>
      <c r="T13" s="6" t="inlineStr">
        <is>
          <t>100% (single tenant)</t>
        </is>
      </c>
      <c r="U13" s="9" t="n"/>
      <c r="V13" s="5" t="inlineStr">
        <is>
          <t>—</t>
        </is>
      </c>
      <c r="W13" s="9" t="inlineStr">
        <is>
          <t>—</t>
        </is>
      </c>
      <c r="X13" s="6" t="inlineStr">
        <is>
          <t>—</t>
        </is>
      </c>
      <c r="Y13" s="6" t="inlineStr">
        <is>
          <t>R0213618.pdf; R0213618 2.pdf</t>
        </is>
      </c>
    </row>
    <row r="14">
      <c r="A14" s="6" t="inlineStr">
        <is>
          <t>R0179014</t>
        </is>
      </c>
      <c r="B14" s="6" t="inlineStr">
        <is>
          <t>R0179014</t>
        </is>
      </c>
      <c r="C14" s="6" t="inlineStr">
        <is>
          <t>0182505219006 / 0182505219005 (footer; discrepancy)</t>
        </is>
      </c>
      <c r="D14" s="6" t="inlineStr">
        <is>
          <t>Grand Lake</t>
        </is>
      </c>
      <c r="E14" s="6" t="inlineStr">
        <is>
          <t>1010 Lousell Blvd</t>
        </is>
      </c>
      <c r="F14" s="6" t="inlineStr">
        <is>
          <t>Westminster</t>
        </is>
      </c>
      <c r="G14" s="5" t="inlineStr">
        <is>
          <t>CO</t>
        </is>
      </c>
      <c r="H14" s="6" t="inlineStr">
        <is>
          <t>80030 (est.)</t>
        </is>
      </c>
      <c r="I14" s="6" t="inlineStr">
        <is>
          <t>Adams</t>
        </is>
      </c>
      <c r="J14" s="6" t="inlineStr">
        <is>
          <t>Low Down LLC</t>
        </is>
      </c>
      <c r="K14" s="6" t="inlineStr">
        <is>
          <t>Low Down LLC</t>
        </is>
      </c>
      <c r="L14" s="6" t="inlineStr">
        <is>
          <t>Warehouse / Light Industrial</t>
        </is>
      </c>
      <c r="M14" s="6" t="inlineStr">
        <is>
          <t>Single-tenant (NNN)</t>
        </is>
      </c>
      <c r="N14" s="8" t="n"/>
      <c r="O14" s="8" t="n"/>
      <c r="P14" s="6" t="n"/>
      <c r="Q14" s="8" t="n"/>
      <c r="R14" s="6" t="n"/>
      <c r="S14" s="6" t="inlineStr">
        <is>
          <t>—</t>
        </is>
      </c>
      <c r="T14" s="6" t="inlineStr">
        <is>
          <t>—</t>
        </is>
      </c>
      <c r="U14" s="9" t="n"/>
      <c r="V14" s="5" t="inlineStr">
        <is>
          <t>—</t>
        </is>
      </c>
      <c r="W14" s="9" t="inlineStr">
        <is>
          <t>—</t>
        </is>
      </c>
      <c r="X14" s="6" t="inlineStr">
        <is>
          <t>—</t>
        </is>
      </c>
      <c r="Y14" s="6" t="inlineStr">
        <is>
          <t>R0179014.pdf</t>
        </is>
      </c>
    </row>
    <row r="15">
      <c r="A15" s="6" t="inlineStr">
        <is>
          <t>R0179050</t>
        </is>
      </c>
      <c r="B15" s="6" t="inlineStr">
        <is>
          <t>R0179050</t>
        </is>
      </c>
      <c r="C15" s="6" t="inlineStr">
        <is>
          <t>R0179050</t>
        </is>
      </c>
      <c r="D15" s="6" t="inlineStr">
        <is>
          <t>8500 Brighton Partners (GRNT-AD-002)</t>
        </is>
      </c>
      <c r="E15" s="6" t="inlineStr">
        <is>
          <t>8510 Brighton Rd</t>
        </is>
      </c>
      <c r="F15" s="6" t="inlineStr">
        <is>
          <t>—</t>
        </is>
      </c>
      <c r="G15" s="5" t="inlineStr">
        <is>
          <t>CO</t>
        </is>
      </c>
      <c r="H15" s="6" t="n"/>
      <c r="I15" s="6" t="inlineStr">
        <is>
          <t>Adams</t>
        </is>
      </c>
      <c r="J15" s="6" t="inlineStr">
        <is>
          <t>8500 Brighton Partners LLC</t>
        </is>
      </c>
      <c r="K15" s="6" t="inlineStr">
        <is>
          <t>8500 Brighton Partners LLC</t>
        </is>
      </c>
      <c r="L15" s="6" t="inlineStr">
        <is>
          <t>Industrial - Vehicle Auction/Storage (metal warehouse + paved yard)</t>
        </is>
      </c>
      <c r="M15" s="6" t="inlineStr">
        <is>
          <t>Single-tenant (Insurance Auto Auctions Inc.)</t>
        </is>
      </c>
      <c r="N15" s="8" t="n"/>
      <c r="O15" s="8" t="n">
        <v>1587544</v>
      </c>
      <c r="P15" s="6" t="n">
        <v>11200</v>
      </c>
      <c r="Q15" s="8" t="n">
        <v>11200</v>
      </c>
      <c r="R15" s="6" t="n">
        <v>2014</v>
      </c>
      <c r="S15" s="6" t="inlineStr">
        <is>
          <t>—</t>
        </is>
      </c>
      <c r="T15" s="6" t="inlineStr">
        <is>
          <t>—</t>
        </is>
      </c>
      <c r="U15" s="9" t="n">
        <v>14971919</v>
      </c>
      <c r="V15" s="5" t="inlineStr">
        <is>
          <t>2025</t>
        </is>
      </c>
      <c r="W15" s="9" t="n">
        <v>12908000</v>
      </c>
      <c r="X15" s="6" t="inlineStr">
        <is>
          <t>—</t>
        </is>
      </c>
      <c r="Y15" s="6" t="inlineStr">
        <is>
          <t>R0179050.pdf (Drive OCR text only; 8.4MB PDF download failed repeatedly in session)</t>
        </is>
      </c>
    </row>
    <row r="16">
      <c r="A16" s="6" t="inlineStr">
        <is>
          <t>R0100117</t>
        </is>
      </c>
      <c r="B16" s="6" t="inlineStr">
        <is>
          <t>R0100117</t>
        </is>
      </c>
      <c r="C16" s="6" t="inlineStr">
        <is>
          <t>0182505224001</t>
        </is>
      </c>
      <c r="D16" s="6" t="inlineStr">
        <is>
          <t>Bohan Family — Auto Body</t>
        </is>
      </c>
      <c r="E16" s="6" t="inlineStr">
        <is>
          <t>3580 W. 72nd Ave</t>
        </is>
      </c>
      <c r="F16" s="6" t="inlineStr">
        <is>
          <t>Westminster</t>
        </is>
      </c>
      <c r="G16" s="5" t="inlineStr">
        <is>
          <t>CO</t>
        </is>
      </c>
      <c r="H16" s="6" t="inlineStr">
        <is>
          <t>80030</t>
        </is>
      </c>
      <c r="I16" s="6" t="inlineStr">
        <is>
          <t>Adams</t>
        </is>
      </c>
      <c r="J16" s="6" t="inlineStr">
        <is>
          <t>Bohan Family Limited Partnership</t>
        </is>
      </c>
      <c r="K16" s="6" t="inlineStr">
        <is>
          <t>Bohan Family Limited Partnership</t>
        </is>
      </c>
      <c r="L16" s="6" t="inlineStr">
        <is>
          <t>Auto Body Shop</t>
        </is>
      </c>
      <c r="M16" s="6" t="inlineStr">
        <is>
          <t>Owner-occupied (portion; grid partly illegible)</t>
        </is>
      </c>
      <c r="N16" s="8" t="n"/>
      <c r="O16" s="8" t="n"/>
      <c r="P16" s="6" t="n"/>
      <c r="Q16" s="8" t="n"/>
      <c r="R16" s="6" t="n"/>
      <c r="S16" s="6" t="inlineStr">
        <is>
          <t>—</t>
        </is>
      </c>
      <c r="T16" s="6" t="inlineStr">
        <is>
          <t>Partial owner-occ. (~688 SF bldg noted; rest illegible)</t>
        </is>
      </c>
      <c r="U16" s="9" t="n"/>
      <c r="V16" s="5" t="inlineStr">
        <is>
          <t>—</t>
        </is>
      </c>
      <c r="W16" s="9" t="inlineStr">
        <is>
          <t>—</t>
        </is>
      </c>
      <c r="X16" s="6" t="inlineStr">
        <is>
          <t>—</t>
        </is>
      </c>
      <c r="Y16" s="6" t="inlineStr">
        <is>
          <t>R0100117.pdf</t>
        </is>
      </c>
    </row>
    <row r="17">
      <c r="A17" s="6" t="inlineStr">
        <is>
          <t>R0100737</t>
        </is>
      </c>
      <c r="B17" s="6" t="inlineStr">
        <is>
          <t>R0100737</t>
        </is>
      </c>
      <c r="C17" s="6" t="inlineStr">
        <is>
          <t>1973-35-2-41-001 (cover); Sch. R0017000001</t>
        </is>
      </c>
      <c r="D17" s="6" t="inlineStr">
        <is>
          <t>Northlawn Auto Center</t>
        </is>
      </c>
      <c r="E17" s="6" t="inlineStr">
        <is>
          <t>6500 N. Federal Blvd</t>
        </is>
      </c>
      <c r="F17" s="6" t="inlineStr">
        <is>
          <t>Denver</t>
        </is>
      </c>
      <c r="G17" s="5" t="inlineStr">
        <is>
          <t>CO</t>
        </is>
      </c>
      <c r="H17" s="6" t="inlineStr">
        <is>
          <t>80221</t>
        </is>
      </c>
      <c r="I17" s="6" t="inlineStr">
        <is>
          <t>Adams</t>
        </is>
      </c>
      <c r="J17" s="6" t="inlineStr">
        <is>
          <t>2626 Sarikov LLC (Mordakhay Sarikov)</t>
        </is>
      </c>
      <c r="K17" s="6" t="inlineStr">
        <is>
          <t>2626 Sarikov LLC</t>
        </is>
      </c>
      <c r="L17" s="6" t="inlineStr">
        <is>
          <t>Retail - Auto Repair/Service (multi-tenant)</t>
        </is>
      </c>
      <c r="M17" s="6" t="inlineStr">
        <is>
          <t>Multi-tenant (4 tenants)</t>
        </is>
      </c>
      <c r="N17" s="8" t="n">
        <v>1.24</v>
      </c>
      <c r="O17" s="8" t="n">
        <v>54014</v>
      </c>
      <c r="P17" s="6" t="n">
        <v>17458</v>
      </c>
      <c r="Q17" s="8" t="n">
        <v>14211</v>
      </c>
      <c r="R17" s="6" t="n">
        <v>1964</v>
      </c>
      <c r="S17" s="6" t="inlineStr">
        <is>
          <t>—</t>
        </is>
      </c>
      <c r="T17" s="6" t="inlineStr">
        <is>
          <t>100% (per 2024 rent roll)</t>
        </is>
      </c>
      <c r="U17" s="9" t="n">
        <v>2602500</v>
      </c>
      <c r="V17" s="5" t="inlineStr">
        <is>
          <t>2025</t>
        </is>
      </c>
      <c r="W17" s="9" t="n">
        <v>2100000</v>
      </c>
      <c r="X17" s="6" t="inlineStr">
        <is>
          <t>—</t>
        </is>
      </c>
      <c r="Y17" s="6" t="inlineStr">
        <is>
          <t>R0100737.pdf</t>
        </is>
      </c>
    </row>
    <row r="18">
      <c r="A18" s="6" t="inlineStr">
        <is>
          <t>R0099649</t>
        </is>
      </c>
      <c r="B18" s="6" t="inlineStr">
        <is>
          <t>R0099649</t>
        </is>
      </c>
      <c r="C18" s="6" t="inlineStr">
        <is>
          <t>182504402007</t>
        </is>
      </c>
      <c r="D18" s="6" t="inlineStr">
        <is>
          <t>Digby Family — 1225 W 64th</t>
        </is>
      </c>
      <c r="E18" s="6" t="inlineStr">
        <is>
          <t>1225 W 64th Ave</t>
        </is>
      </c>
      <c r="F18" s="6" t="inlineStr">
        <is>
          <t>Denver</t>
        </is>
      </c>
      <c r="G18" s="5" t="inlineStr">
        <is>
          <t>CO</t>
        </is>
      </c>
      <c r="H18" s="6" t="n"/>
      <c r="I18" s="6" t="inlineStr">
        <is>
          <t>Adams</t>
        </is>
      </c>
      <c r="J18" s="6" t="inlineStr">
        <is>
          <t>Digby Family LLLP (owner); Navajo Express Inc. (tenant/petitioner)</t>
        </is>
      </c>
      <c r="K18" s="6" t="inlineStr">
        <is>
          <t>Digby Family LLLP</t>
        </is>
      </c>
      <c r="L18" s="6" t="inlineStr">
        <is>
          <t>Industrial</t>
        </is>
      </c>
      <c r="M18" s="6" t="inlineStr">
        <is>
          <t>Single-tenant</t>
        </is>
      </c>
      <c r="N18" s="8" t="n">
        <v>19.63</v>
      </c>
      <c r="O18" s="8" t="n">
        <v>854882</v>
      </c>
      <c r="P18" s="6" t="n">
        <v>29600</v>
      </c>
      <c r="Q18" s="8" t="n">
        <v>29600</v>
      </c>
      <c r="R18" s="6" t="n">
        <v>1974</v>
      </c>
      <c r="S18" s="6" t="inlineStr">
        <is>
          <t>—</t>
        </is>
      </c>
      <c r="T18" s="6" t="inlineStr">
        <is>
          <t>—</t>
        </is>
      </c>
      <c r="U18" s="9" t="n">
        <v>8998894</v>
      </c>
      <c r="V18" s="5" t="inlineStr">
        <is>
          <t>2024</t>
        </is>
      </c>
      <c r="W18" s="9" t="n">
        <v>4500000</v>
      </c>
      <c r="X18" s="6" t="inlineStr">
        <is>
          <t>—</t>
        </is>
      </c>
      <c r="Y18" s="6" t="inlineStr">
        <is>
          <t>R0099649.pdf</t>
        </is>
      </c>
    </row>
    <row r="19">
      <c r="A19" s="6" t="inlineStr">
        <is>
          <t>R0092740</t>
        </is>
      </c>
      <c r="B19" s="6" t="inlineStr">
        <is>
          <t>R0092740</t>
        </is>
      </c>
      <c r="C19" s="6" t="inlineStr">
        <is>
          <t>0182317405014</t>
        </is>
      </c>
      <c r="D19" s="6" t="inlineStr">
        <is>
          <t>DSP LLC — Newport St</t>
        </is>
      </c>
      <c r="E19" s="6" t="inlineStr">
        <is>
          <t>1975 Newport St</t>
        </is>
      </c>
      <c r="F19" s="6" t="inlineStr">
        <is>
          <t>Commerce City</t>
        </is>
      </c>
      <c r="G19" s="5" t="inlineStr">
        <is>
          <t>CO</t>
        </is>
      </c>
      <c r="H19" s="6" t="inlineStr">
        <is>
          <t>80022</t>
        </is>
      </c>
      <c r="I19" s="6" t="inlineStr">
        <is>
          <t>Adams</t>
        </is>
      </c>
      <c r="J19" s="6" t="inlineStr">
        <is>
          <t>DSP LLC (c/o Greg Danenhauer)</t>
        </is>
      </c>
      <c r="K19" s="6" t="inlineStr">
        <is>
          <t>DSP LLC</t>
        </is>
      </c>
      <c r="L19" s="6" t="inlineStr">
        <is>
          <t>Industrial / Warehouse</t>
        </is>
      </c>
      <c r="M19" s="6" t="inlineStr">
        <is>
          <t>Single-tenant (3-yr term; new lease 7/1/22-6/30/24)</t>
        </is>
      </c>
      <c r="N19" s="8" t="n"/>
      <c r="O19" s="8" t="n"/>
      <c r="P19" s="6" t="n"/>
      <c r="Q19" s="8" t="n"/>
      <c r="R19" s="6" t="n"/>
      <c r="S19" s="6" t="inlineStr">
        <is>
          <t>—</t>
        </is>
      </c>
      <c r="T19" s="6" t="inlineStr">
        <is>
          <t>—</t>
        </is>
      </c>
      <c r="U19" s="9" t="n"/>
      <c r="V19" s="5" t="inlineStr">
        <is>
          <t>—</t>
        </is>
      </c>
      <c r="W19" s="9" t="inlineStr">
        <is>
          <t>—</t>
        </is>
      </c>
      <c r="X19" s="6" t="inlineStr">
        <is>
          <t>—</t>
        </is>
      </c>
      <c r="Y19" s="6" t="inlineStr">
        <is>
          <t>R0092740.pdf</t>
        </is>
      </c>
    </row>
    <row r="20">
      <c r="A20" s="6" t="inlineStr">
        <is>
          <t>R0085560</t>
        </is>
      </c>
      <c r="B20" s="6" t="inlineStr">
        <is>
          <t>R0085560</t>
        </is>
      </c>
      <c r="C20" s="6" t="inlineStr">
        <is>
          <t>R0085560</t>
        </is>
      </c>
      <c r="D20" s="6" t="inlineStr">
        <is>
          <t>Meineke Car Care — Colfax Ave</t>
        </is>
      </c>
      <c r="E20" s="6" t="inlineStr">
        <is>
          <t>14891 East Colfax Avenue</t>
        </is>
      </c>
      <c r="F20" s="6" t="inlineStr">
        <is>
          <t>Aurora</t>
        </is>
      </c>
      <c r="G20" s="5" t="inlineStr">
        <is>
          <t>CO</t>
        </is>
      </c>
      <c r="H20" s="6" t="n"/>
      <c r="I20" s="6" t="inlineStr">
        <is>
          <t>Adams</t>
        </is>
      </c>
      <c r="J20" s="6" t="inlineStr">
        <is>
          <t>D Irey Econo Lube LLC et al</t>
        </is>
      </c>
      <c r="K20" s="6" t="inlineStr">
        <is>
          <t>D Irey Econo Lube LLC et al</t>
        </is>
      </c>
      <c r="L20" s="6" t="inlineStr">
        <is>
          <t>Retail - Auto Service (Meineke Car Care)</t>
        </is>
      </c>
      <c r="M20" s="6" t="inlineStr">
        <is>
          <t>Single-tenant</t>
        </is>
      </c>
      <c r="N20" s="8" t="n"/>
      <c r="O20" s="8" t="n"/>
      <c r="P20" s="6" t="n">
        <v>4264</v>
      </c>
      <c r="Q20" s="8" t="n">
        <v>4264</v>
      </c>
      <c r="R20" s="6" t="n"/>
      <c r="S20" s="6" t="inlineStr">
        <is>
          <t>—</t>
        </is>
      </c>
      <c r="T20" s="6" t="inlineStr">
        <is>
          <t>100% (per rent roll as of 6/30/24)</t>
        </is>
      </c>
      <c r="U20" s="9" t="n">
        <v>1172600</v>
      </c>
      <c r="V20" s="5" t="inlineStr">
        <is>
          <t>2025</t>
        </is>
      </c>
      <c r="W20" s="9" t="n">
        <v>870000</v>
      </c>
      <c r="X20" s="6" t="inlineStr">
        <is>
          <t>—</t>
        </is>
      </c>
      <c r="Y20" s="6" t="inlineStr">
        <is>
          <t>R0085560.pdf</t>
        </is>
      </c>
    </row>
    <row r="21">
      <c r="A21" s="6" t="inlineStr">
        <is>
          <t>R0077963</t>
        </is>
      </c>
      <c r="B21" s="6" t="inlineStr">
        <is>
          <t>R0077963</t>
        </is>
      </c>
      <c r="C21" s="6" t="inlineStr">
        <is>
          <t>0172131402020</t>
        </is>
      </c>
      <c r="D21" s="6" t="inlineStr">
        <is>
          <t>Diamond Beall Dev — 74th Ave</t>
        </is>
      </c>
      <c r="E21" s="6" t="inlineStr">
        <is>
          <t>1750 74th Ave</t>
        </is>
      </c>
      <c r="F21" s="6" t="inlineStr">
        <is>
          <t>Commerce City</t>
        </is>
      </c>
      <c r="G21" s="5" t="inlineStr">
        <is>
          <t>CO</t>
        </is>
      </c>
      <c r="H21" s="6" t="inlineStr">
        <is>
          <t>80022</t>
        </is>
      </c>
      <c r="I21" s="6" t="inlineStr">
        <is>
          <t>Adams</t>
        </is>
      </c>
      <c r="J21" s="6" t="inlineStr">
        <is>
          <t>Diamond Beall Development LLC</t>
        </is>
      </c>
      <c r="K21" s="6" t="inlineStr">
        <is>
          <t>Diamond Beall Development LLC</t>
        </is>
      </c>
      <c r="L21" s="6" t="inlineStr">
        <is>
          <t>Industrial (Tank Trailer/Truck Parts &amp; Service)</t>
        </is>
      </c>
      <c r="M21" s="6" t="inlineStr">
        <is>
          <t>Single-tenant (NNN)</t>
        </is>
      </c>
      <c r="N21" s="8" t="n"/>
      <c r="O21" s="8" t="n"/>
      <c r="P21" s="6" t="n">
        <v>18720</v>
      </c>
      <c r="Q21" s="8" t="n">
        <v>18720</v>
      </c>
      <c r="R21" s="6" t="n"/>
      <c r="S21" s="6" t="inlineStr">
        <is>
          <t>—</t>
        </is>
      </c>
      <c r="T21" s="6" t="inlineStr">
        <is>
          <t>100%</t>
        </is>
      </c>
      <c r="U21" s="9" t="n"/>
      <c r="V21" s="5" t="inlineStr">
        <is>
          <t>—</t>
        </is>
      </c>
      <c r="W21" s="9" t="inlineStr">
        <is>
          <t>—</t>
        </is>
      </c>
      <c r="X21" s="6" t="inlineStr">
        <is>
          <t>—</t>
        </is>
      </c>
      <c r="Y21" s="6" t="inlineStr">
        <is>
          <t>R0077963.pdf</t>
        </is>
      </c>
    </row>
    <row r="22">
      <c r="A22" s="6" t="inlineStr">
        <is>
          <t>R0077789</t>
        </is>
      </c>
      <c r="B22" s="6" t="inlineStr">
        <is>
          <t>R0077789</t>
        </is>
      </c>
      <c r="C22" s="6" t="inlineStr">
        <is>
          <t>0172131110004</t>
        </is>
      </c>
      <c r="D22" s="6" t="inlineStr">
        <is>
          <t>B and M Equipment — Hwy 85</t>
        </is>
      </c>
      <c r="E22" s="6" t="inlineStr">
        <is>
          <t>7908 Highway 85</t>
        </is>
      </c>
      <c r="F22" s="6" t="inlineStr">
        <is>
          <t>Commerce City</t>
        </is>
      </c>
      <c r="G22" s="5" t="inlineStr">
        <is>
          <t>CO</t>
        </is>
      </c>
      <c r="H22" s="6" t="n"/>
      <c r="I22" s="6" t="inlineStr">
        <is>
          <t>Adams</t>
        </is>
      </c>
      <c r="J22" s="6" t="inlineStr">
        <is>
          <t>B and M Equipment Company</t>
        </is>
      </c>
      <c r="K22" s="6" t="inlineStr">
        <is>
          <t>B and M Equipment Company</t>
        </is>
      </c>
      <c r="L22" s="6" t="inlineStr">
        <is>
          <t>Industrial (Recycle Asphalt &amp; Concrete)</t>
        </is>
      </c>
      <c r="M22" s="6" t="inlineStr">
        <is>
          <t>Owner-occupied (100%)</t>
        </is>
      </c>
      <c r="N22" s="8" t="n"/>
      <c r="O22" s="8" t="n"/>
      <c r="P22" s="6" t="n"/>
      <c r="Q22" s="8" t="n"/>
      <c r="R22" s="6" t="n"/>
      <c r="S22" s="6" t="inlineStr">
        <is>
          <t>—</t>
        </is>
      </c>
      <c r="T22" s="6" t="inlineStr">
        <is>
          <t>100% Owner-Occupied</t>
        </is>
      </c>
      <c r="U22" s="9" t="n"/>
      <c r="V22" s="5" t="inlineStr">
        <is>
          <t>—</t>
        </is>
      </c>
      <c r="W22" s="9" t="inlineStr">
        <is>
          <t>—</t>
        </is>
      </c>
      <c r="X22" s="6" t="inlineStr">
        <is>
          <t>—</t>
        </is>
      </c>
      <c r="Y22" s="6" t="inlineStr">
        <is>
          <t>R0077789.pdf</t>
        </is>
      </c>
    </row>
    <row r="23">
      <c r="A23" s="6" t="inlineStr">
        <is>
          <t>R0075352</t>
        </is>
      </c>
      <c r="B23" s="6" t="inlineStr">
        <is>
          <t>R0075352</t>
        </is>
      </c>
      <c r="C23" s="6" t="inlineStr">
        <is>
          <t>0172116004003</t>
        </is>
      </c>
      <c r="D23" s="6" t="inlineStr">
        <is>
          <t>RJR Investments — Adams Co.</t>
        </is>
      </c>
      <c r="E23" s="6" t="inlineStr">
        <is>
          <t>(address illegible in OCR)</t>
        </is>
      </c>
      <c r="F23" s="6" t="inlineStr">
        <is>
          <t>—</t>
        </is>
      </c>
      <c r="G23" s="5" t="inlineStr">
        <is>
          <t>CO</t>
        </is>
      </c>
      <c r="H23" s="6" t="n"/>
      <c r="I23" s="6" t="inlineStr">
        <is>
          <t>Adams</t>
        </is>
      </c>
      <c r="J23" s="6" t="inlineStr">
        <is>
          <t>RJR Investments LLC (mailing: 8155 Moore St, Arvada CO)</t>
        </is>
      </c>
      <c r="K23" s="6" t="inlineStr">
        <is>
          <t>RJR Investments LLC</t>
        </is>
      </c>
      <c r="L23" s="6" t="inlineStr">
        <is>
          <t>Warehouse / Office / Shop / Outside Storage</t>
        </is>
      </c>
      <c r="M23" s="6" t="inlineStr">
        <is>
          <t>Owner-occupied (100%, per survey)</t>
        </is>
      </c>
      <c r="N23" s="8" t="n"/>
      <c r="O23" s="8" t="n"/>
      <c r="P23" s="6" t="n">
        <v>12916</v>
      </c>
      <c r="Q23" s="8" t="n">
        <v>12916</v>
      </c>
      <c r="R23" s="6" t="n"/>
      <c r="S23" s="6" t="inlineStr">
        <is>
          <t>—</t>
        </is>
      </c>
      <c r="T23" s="6" t="inlineStr">
        <is>
          <t>100% Owner-Occupied (grid amounts illegible)</t>
        </is>
      </c>
      <c r="U23" s="9" t="n"/>
      <c r="V23" s="5" t="inlineStr">
        <is>
          <t>—</t>
        </is>
      </c>
      <c r="W23" s="9" t="inlineStr">
        <is>
          <t>—</t>
        </is>
      </c>
      <c r="X23" s="6" t="inlineStr">
        <is>
          <t>—</t>
        </is>
      </c>
      <c r="Y23" s="6" t="inlineStr">
        <is>
          <t>R0075352.pdf</t>
        </is>
      </c>
    </row>
    <row r="24">
      <c r="A24" s="6" t="inlineStr">
        <is>
          <t>R0037193</t>
        </is>
      </c>
      <c r="B24" s="6" t="inlineStr">
        <is>
          <t>R0037193</t>
        </is>
      </c>
      <c r="C24" s="6" t="inlineStr">
        <is>
          <t>0171910307020</t>
        </is>
      </c>
      <c r="D24" s="6" t="inlineStr">
        <is>
          <t>Baizer Properties — Collision Repair</t>
        </is>
      </c>
      <c r="E24" s="6" t="inlineStr">
        <is>
          <t>(address illegible in OCR; Northglenn, CO 80234 area)</t>
        </is>
      </c>
      <c r="F24" s="6" t="inlineStr">
        <is>
          <t>Northglenn</t>
        </is>
      </c>
      <c r="G24" s="5" t="inlineStr">
        <is>
          <t>CO</t>
        </is>
      </c>
      <c r="H24" s="6" t="inlineStr">
        <is>
          <t>80234 (est.)</t>
        </is>
      </c>
      <c r="I24" s="6" t="inlineStr">
        <is>
          <t>Adams</t>
        </is>
      </c>
      <c r="J24" s="6" t="inlineStr">
        <is>
          <t>Baizer Properties LLC</t>
        </is>
      </c>
      <c r="K24" s="6" t="inlineStr">
        <is>
          <t>Baizer Properties LLC</t>
        </is>
      </c>
      <c r="L24" s="6" t="inlineStr">
        <is>
          <t>Collision Repair Shop</t>
        </is>
      </c>
      <c r="M24" s="6" t="inlineStr">
        <is>
          <t>Single-tenant (NNN)</t>
        </is>
      </c>
      <c r="N24" s="8" t="n"/>
      <c r="O24" s="8" t="n"/>
      <c r="P24" s="6" t="n"/>
      <c r="Q24" s="8" t="n"/>
      <c r="R24" s="6" t="n"/>
      <c r="S24" s="6" t="inlineStr">
        <is>
          <t>—</t>
        </is>
      </c>
      <c r="T24" s="6" t="inlineStr">
        <is>
          <t>100% leased</t>
        </is>
      </c>
      <c r="U24" s="9" t="n"/>
      <c r="V24" s="5" t="inlineStr">
        <is>
          <t>—</t>
        </is>
      </c>
      <c r="W24" s="9" t="inlineStr">
        <is>
          <t>—</t>
        </is>
      </c>
      <c r="X24" s="6" t="inlineStr">
        <is>
          <t>—</t>
        </is>
      </c>
      <c r="Y24" s="6" t="inlineStr">
        <is>
          <t>R0037193.pdf</t>
        </is>
      </c>
    </row>
    <row r="25">
      <c r="A25" s="6" t="inlineStr">
        <is>
          <t>R0030089</t>
        </is>
      </c>
      <c r="B25" s="6" t="inlineStr">
        <is>
          <t>R0030089</t>
        </is>
      </c>
      <c r="C25" s="6" t="inlineStr">
        <is>
          <t>1719-03-0-05-016, 019 (covers R0030088 &amp; R0030089)</t>
        </is>
      </c>
      <c r="D25" s="6" t="inlineStr">
        <is>
          <t>11450 Huron St (Wallace Associates)</t>
        </is>
      </c>
      <c r="E25" s="6" t="inlineStr">
        <is>
          <t>11450 Huron St / 11450 N. Huron</t>
        </is>
      </c>
      <c r="F25" s="6" t="inlineStr">
        <is>
          <t>Denver</t>
        </is>
      </c>
      <c r="G25" s="5" t="inlineStr">
        <is>
          <t>CO</t>
        </is>
      </c>
      <c r="H25" s="6" t="n"/>
      <c r="I25" s="6" t="inlineStr">
        <is>
          <t>Adams</t>
        </is>
      </c>
      <c r="J25" s="6" t="inlineStr">
        <is>
          <t>Wallace Associates, Inc. (Drake Asset Management LLC, mgr. agent)</t>
        </is>
      </c>
      <c r="K25" s="6" t="inlineStr">
        <is>
          <t>Wallace Associates, Inc.</t>
        </is>
      </c>
      <c r="L25" s="6" t="inlineStr">
        <is>
          <t>Office / Medical (multi-tenant)</t>
        </is>
      </c>
      <c r="M25" s="6" t="inlineStr">
        <is>
          <t>Multi-tenant</t>
        </is>
      </c>
      <c r="N25" s="8" t="n"/>
      <c r="O25" s="8" t="n"/>
      <c r="P25" s="6" t="n">
        <v>30782</v>
      </c>
      <c r="Q25" s="8" t="n">
        <v>30782</v>
      </c>
      <c r="R25" s="6" t="n"/>
      <c r="S25" s="6" t="inlineStr">
        <is>
          <t>—</t>
        </is>
      </c>
      <c r="T25" s="6" t="inlineStr">
        <is>
          <t>—</t>
        </is>
      </c>
      <c r="U25" s="9" t="n">
        <v>5987885</v>
      </c>
      <c r="V25" s="5" t="inlineStr">
        <is>
          <t>2023</t>
        </is>
      </c>
      <c r="W25" s="9" t="n">
        <v>3500000</v>
      </c>
      <c r="X25" s="6" t="inlineStr">
        <is>
          <t>Drake Asset Management LLC</t>
        </is>
      </c>
      <c r="Y25" s="6" t="inlineStr">
        <is>
          <t>R0030089.pdf (also covers related R0030088, not in this folder)</t>
        </is>
      </c>
    </row>
    <row r="26">
      <c r="A26" s="6" t="inlineStr">
        <is>
          <t>R0030085</t>
        </is>
      </c>
      <c r="B26" s="6" t="inlineStr">
        <is>
          <t>R0030085</t>
        </is>
      </c>
      <c r="C26" s="6" t="inlineStr">
        <is>
          <t>0171903005007</t>
        </is>
      </c>
      <c r="D26" s="6" t="inlineStr">
        <is>
          <t>Peerless Tyre Co — Huron St</t>
        </is>
      </c>
      <c r="E26" s="6" t="inlineStr">
        <is>
          <t>490 Huron St, Unit 144 (est.; OCR unclear — parcel numbering suggests same complex as R0030089)</t>
        </is>
      </c>
      <c r="F26" s="6" t="inlineStr">
        <is>
          <t>Denver</t>
        </is>
      </c>
      <c r="G26" s="5" t="inlineStr">
        <is>
          <t>CO</t>
        </is>
      </c>
      <c r="H26" s="6" t="inlineStr">
        <is>
          <t>80239 (est.)</t>
        </is>
      </c>
      <c r="I26" s="6" t="inlineStr">
        <is>
          <t>Adams</t>
        </is>
      </c>
      <c r="J26" s="6" t="inlineStr">
        <is>
          <t>Peerless Tyre Co</t>
        </is>
      </c>
      <c r="K26" s="6" t="inlineStr">
        <is>
          <t>Peerless Tyre Co</t>
        </is>
      </c>
      <c r="L26" s="6" t="inlineStr">
        <is>
          <t>Retail - Tire Store / Light Mechanical Repair</t>
        </is>
      </c>
      <c r="M26" s="6" t="inlineStr">
        <is>
          <t>Owner-occupied (100%)</t>
        </is>
      </c>
      <c r="N26" s="8" t="n"/>
      <c r="O26" s="8" t="n"/>
      <c r="P26" s="6" t="n">
        <v>3840</v>
      </c>
      <c r="Q26" s="8" t="n">
        <v>3840</v>
      </c>
      <c r="R26" s="6" t="n"/>
      <c r="S26" s="6" t="inlineStr">
        <is>
          <t>—</t>
        </is>
      </c>
      <c r="T26" s="6" t="inlineStr">
        <is>
          <t>100% Owner-Occupied</t>
        </is>
      </c>
      <c r="U26" s="9" t="n"/>
      <c r="V26" s="5" t="inlineStr">
        <is>
          <t>—</t>
        </is>
      </c>
      <c r="W26" s="9" t="inlineStr">
        <is>
          <t>—</t>
        </is>
      </c>
      <c r="X26" s="6" t="inlineStr">
        <is>
          <t>—</t>
        </is>
      </c>
      <c r="Y26" s="6" t="inlineStr">
        <is>
          <t>R0030085.pdf</t>
        </is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7">
      <c r="A27" s="10" t="inlineStr">
        <is>
          <t>Cast Transportation Sub., Commerce City (R0213618) — Ground Lease (ex. Scannell Properties #534 LLC, now Bel Commerce LLC)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1" t="n"/>
    </row>
    <row r="28">
      <c r="A28" s="6" t="inlineStr">
        <is>
          <t>Cast Transportation Sub. (R0213618)</t>
        </is>
      </c>
      <c r="B28" s="6" t="inlineStr">
        <is>
          <t>Whole (BTS)</t>
        </is>
      </c>
      <c r="C28" s="6" t="inlineStr">
        <is>
          <t>Performance Food Group, Inc.</t>
        </is>
      </c>
      <c r="D28" s="6" t="inlineStr">
        <is>
          <t>NNN (Ground Lease)</t>
        </is>
      </c>
      <c r="E28" s="9" t="n"/>
      <c r="F28" s="6" t="n"/>
      <c r="G28" s="6" t="n"/>
      <c r="H28" s="5" t="inlineStr">
        <is>
          <t>12/9/2021 (Effective; Commencement = 30 days after Substantial Completion)</t>
        </is>
      </c>
      <c r="I28" s="5" t="inlineStr">
        <is>
          <t>20 yrs from Commencement Date + 2x5-yr options</t>
        </is>
      </c>
      <c r="J28" s="5" t="inlineStr">
        <is>
          <t>20-yr initial + 2x5-yr ext.</t>
        </is>
      </c>
      <c r="K28" s="9" t="n"/>
      <c r="L28" s="6" t="n"/>
      <c r="M28" s="6" t="inlineStr">
        <is>
          <t>Landlord interest assigned Scannell Properties #534, LLC -&gt; Bel Commerce LLC 5/24/2024. Building 274,992 SF (28,962 office / 108,989 dry wh / 31,318 cooler / 42,616 cool dock / 49,403 freezer / 4,039 equip / 9,665 veh maint) on 28.47 AC. Rent amount not present in extracted lease text.</t>
        </is>
      </c>
    </row>
    <row r="29">
      <c r="A29" s="10" t="inlineStr">
        <is>
          <t>8510 Brighton Rd, Adams County (R0179050) — Lease (Lessor: 8500 Brighton LLC)</t>
        </is>
      </c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1" t="n"/>
    </row>
    <row r="30">
      <c r="A30" s="6" t="inlineStr">
        <is>
          <t>8510 Brighton Rd (R0179050)</t>
        </is>
      </c>
      <c r="B30" s="6" t="inlineStr">
        <is>
          <t>Whole</t>
        </is>
      </c>
      <c r="C30" s="6" t="inlineStr">
        <is>
          <t>Insurance Auto Auctions, Inc.</t>
        </is>
      </c>
      <c r="D30" s="6" t="inlineStr">
        <is>
          <t>NNN</t>
        </is>
      </c>
      <c r="E30" s="9" t="n"/>
      <c r="F30" s="6" t="n"/>
      <c r="G30" s="6" t="n"/>
      <c r="H30" s="5" t="inlineStr">
        <is>
          <t>11/7/2013</t>
        </is>
      </c>
      <c r="I30" s="5" t="inlineStr">
        <is>
          <t>240 mos. (20 yrs) from Commencement Date</t>
        </is>
      </c>
      <c r="J30" s="5" t="inlineStr">
        <is>
          <t>20-yr initial term</t>
        </is>
      </c>
      <c r="K30" s="9" t="n"/>
      <c r="L30" s="6" t="n"/>
      <c r="M30" s="6" t="inlineStr">
        <is>
          <t>Premises 45.97 gross AC (Initial Phase 29.75 AC w/ ~11,270 RSF bldg + Additional Phase 16.22 AC). Lessee pays Taxes directly as Additional Rent. Rent amount not present in extracted lease text.</t>
        </is>
      </c>
    </row>
    <row r="31">
      <c r="A31" s="10" t="inlineStr">
        <is>
          <t>1225 W 64th Ave, Denver (R0099649) — Fee-Simple Income Proforma (Stevens &amp; Associates appeal)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1" t="n"/>
    </row>
    <row r="32">
      <c r="A32" s="6" t="inlineStr">
        <is>
          <t>1225 W 64th Ave (R0099649)</t>
        </is>
      </c>
      <c r="B32" s="6" t="inlineStr">
        <is>
          <t>Whole</t>
        </is>
      </c>
      <c r="C32" s="6" t="inlineStr">
        <is>
          <t>Navajo Express Inc. (actual occupant / petitioner)</t>
        </is>
      </c>
      <c r="D32" s="6" t="inlineStr">
        <is>
          <t>Proforma NNN</t>
        </is>
      </c>
      <c r="E32" s="9" t="n"/>
      <c r="F32" s="6" t="n">
        <v>170200</v>
      </c>
      <c r="G32" s="6" t="n">
        <v>5.75</v>
      </c>
      <c r="H32" s="5" t="inlineStr">
        <is>
          <t>—</t>
        </is>
      </c>
      <c r="I32" s="5" t="inlineStr">
        <is>
          <t>—</t>
        </is>
      </c>
      <c r="J32" s="5" t="inlineStr">
        <is>
          <t>—</t>
        </is>
      </c>
      <c r="K32" s="9" t="n"/>
      <c r="L32" s="6" t="n"/>
      <c r="M32" s="6" t="inlineStr">
        <is>
          <t>PGI $170,200 (NNN $5.75/sf indicated lease rate); 5% vac.; 8% OpEx; 2% reserves (Stevens &amp; Associates appeal proforma).</t>
        </is>
      </c>
    </row>
    <row r="33">
      <c r="A33" s="10" t="inlineStr">
        <is>
          <t>6500 N. Federal Blvd, Denver — Northlawn Auto Center (R0100737) — Rent Roll (as of 7/1/2024)</t>
        </is>
      </c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1" t="n"/>
    </row>
    <row r="34">
      <c r="A34" s="6" t="inlineStr">
        <is>
          <t>6500 N. Federal Blvd (R0100737)</t>
        </is>
      </c>
      <c r="B34" s="6" t="inlineStr">
        <is>
          <t>Ste A (2,550 SF)</t>
        </is>
      </c>
      <c r="C34" s="6" t="inlineStr">
        <is>
          <t>Martinez Auto Repair</t>
        </is>
      </c>
      <c r="D34" s="6" t="inlineStr">
        <is>
          <t>NNN</t>
        </is>
      </c>
      <c r="E34" s="9" t="n">
        <v>2100</v>
      </c>
      <c r="F34" s="6" t="n">
        <v>25200</v>
      </c>
      <c r="G34" s="6" t="n">
        <v>9.880000000000001</v>
      </c>
      <c r="H34" s="5" t="inlineStr">
        <is>
          <t>6/1/2024</t>
        </is>
      </c>
      <c r="I34" s="5" t="inlineStr">
        <is>
          <t>5/31/2027</t>
        </is>
      </c>
      <c r="J34" s="5" t="inlineStr">
        <is>
          <t>36-mo term</t>
        </is>
      </c>
      <c r="K34" s="9" t="n"/>
      <c r="L34" s="6" t="n"/>
      <c r="M34" s="6" t="n"/>
    </row>
    <row r="35">
      <c r="A35" s="6" t="inlineStr">
        <is>
          <t>6500 N. Federal Blvd (R0100737)</t>
        </is>
      </c>
      <c r="B35" s="6" t="inlineStr">
        <is>
          <t>Ste B (5,631 SF)</t>
        </is>
      </c>
      <c r="C35" s="6" t="inlineStr">
        <is>
          <t>Tokayos</t>
        </is>
      </c>
      <c r="D35" s="6" t="inlineStr">
        <is>
          <t>NNN</t>
        </is>
      </c>
      <c r="E35" s="9" t="n">
        <v>5500</v>
      </c>
      <c r="F35" s="6" t="n">
        <v>66000</v>
      </c>
      <c r="G35" s="6" t="n">
        <v>11.72</v>
      </c>
      <c r="H35" s="5" t="inlineStr">
        <is>
          <t>6/1/2024</t>
        </is>
      </c>
      <c r="I35" s="5" t="inlineStr">
        <is>
          <t>5/31/2027</t>
        </is>
      </c>
      <c r="J35" s="5" t="inlineStr">
        <is>
          <t>36-mo term</t>
        </is>
      </c>
      <c r="K35" s="9" t="n"/>
      <c r="L35" s="6" t="n"/>
      <c r="M35" s="6" t="n"/>
    </row>
    <row r="36">
      <c r="A36" s="6" t="inlineStr">
        <is>
          <t>6500 N. Federal Blvd (R0100737)</t>
        </is>
      </c>
      <c r="B36" s="6" t="inlineStr">
        <is>
          <t>Ste C (2,550 SF)</t>
        </is>
      </c>
      <c r="C36" s="6" t="inlineStr">
        <is>
          <t>Auto Expert Service LLC</t>
        </is>
      </c>
      <c r="D36" s="6" t="inlineStr">
        <is>
          <t>NNN</t>
        </is>
      </c>
      <c r="E36" s="9" t="n">
        <v>3200</v>
      </c>
      <c r="F36" s="6" t="n">
        <v>38400</v>
      </c>
      <c r="G36" s="6" t="n">
        <v>15.06</v>
      </c>
      <c r="H36" s="5" t="inlineStr">
        <is>
          <t>6/1/2024</t>
        </is>
      </c>
      <c r="I36" s="5" t="inlineStr">
        <is>
          <t>5/31/2027</t>
        </is>
      </c>
      <c r="J36" s="5" t="inlineStr">
        <is>
          <t>36-mo term</t>
        </is>
      </c>
      <c r="K36" s="9" t="n"/>
      <c r="L36" s="6" t="n"/>
      <c r="M36" s="6" t="n"/>
    </row>
    <row r="37">
      <c r="A37" s="6" t="inlineStr">
        <is>
          <t>6500 N. Federal Blvd (R0100737)</t>
        </is>
      </c>
      <c r="B37" s="6" t="inlineStr">
        <is>
          <t>Ste D (3,480 SF)</t>
        </is>
      </c>
      <c r="C37" s="6" t="inlineStr">
        <is>
          <t>David Gonzalez</t>
        </is>
      </c>
      <c r="D37" s="6" t="inlineStr">
        <is>
          <t>NNN</t>
        </is>
      </c>
      <c r="E37" s="9" t="n">
        <v>3400</v>
      </c>
      <c r="F37" s="6" t="n">
        <v>40800</v>
      </c>
      <c r="G37" s="6" t="n">
        <v>11.72</v>
      </c>
      <c r="H37" s="5" t="inlineStr">
        <is>
          <t>6/1/2024</t>
        </is>
      </c>
      <c r="I37" s="5" t="inlineStr">
        <is>
          <t>5/31/2027</t>
        </is>
      </c>
      <c r="J37" s="5" t="inlineStr">
        <is>
          <t>36-mo term</t>
        </is>
      </c>
      <c r="K37" s="9" t="n"/>
      <c r="L37" s="6" t="n"/>
      <c r="M37" s="6" t="n"/>
    </row>
    <row r="38">
      <c r="A38" s="6" t="inlineStr">
        <is>
          <t>6500 N. Federal Blvd (R0100737)</t>
        </is>
      </c>
      <c r="B38" s="6" t="inlineStr">
        <is>
          <t>TOTALS</t>
        </is>
      </c>
      <c r="C38" s="6" t="inlineStr">
        <is>
          <t>Total Rental Income (14,211 SF)</t>
        </is>
      </c>
      <c r="D38" s="6" t="n"/>
      <c r="E38" s="9">
        <f>SUM(E34:E37)</f>
        <v/>
      </c>
      <c r="F38" s="6">
        <f>SUM(F34:F37)</f>
        <v/>
      </c>
      <c r="G38" s="6" t="n"/>
      <c r="H38" s="5" t="n"/>
      <c r="I38" s="5" t="n"/>
      <c r="J38" s="5" t="n"/>
      <c r="K38" s="9" t="n"/>
      <c r="L38" s="6" t="n"/>
      <c r="M38" s="6" t="inlineStr">
        <is>
          <t>Printed total: $14,200/mo, $170,400/yr, 100% occupied (per rent roll).</t>
        </is>
      </c>
    </row>
    <row r="39">
      <c r="A39" s="10" t="inlineStr">
        <is>
          <t>14891 East Colfax Avenue (R0085560) — Meineke Car Care lease (rent roll as of 6/30/24)</t>
        </is>
      </c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1" t="n"/>
    </row>
    <row r="40">
      <c r="A40" s="6" t="inlineStr">
        <is>
          <t>14891 E Colfax Ave (R0085560)</t>
        </is>
      </c>
      <c r="B40" s="6" t="inlineStr">
        <is>
          <t>COLFX14891</t>
        </is>
      </c>
      <c r="C40" s="6" t="inlineStr">
        <is>
          <t>Meineke Car Care (Meineke CE)</t>
        </is>
      </c>
      <c r="D40" s="6" t="inlineStr">
        <is>
          <t>Actual (NNN w/ CAM/tax reimbursement)</t>
        </is>
      </c>
      <c r="E40" s="9" t="n">
        <v>6338.96</v>
      </c>
      <c r="F40" s="6" t="n">
        <v>76067.52</v>
      </c>
      <c r="G40" s="6" t="n">
        <v>17.84</v>
      </c>
      <c r="H40" s="5" t="inlineStr">
        <is>
          <t>12/1/2021</t>
        </is>
      </c>
      <c r="I40" s="5" t="inlineStr">
        <is>
          <t>7/31/2026</t>
        </is>
      </c>
      <c r="J40" s="5" t="inlineStr">
        <is>
          <t>Rent escalates annually to $18.93/sf by 2025-26</t>
        </is>
      </c>
      <c r="K40" s="9" t="n">
        <v>3017.69</v>
      </c>
      <c r="L40" s="6" t="n"/>
      <c r="M40" s="6" t="inlineStr">
        <is>
          <t>4,264 SF, 100% occupied. Monthly CAM/tax reimb. $3,017.69 (~$36,212/yr) ties closely to 2024 Real Estate Taxes expense line in P&amp;L.</t>
        </is>
      </c>
    </row>
    <row r="41">
      <c r="A41" s="10" t="inlineStr">
        <is>
          <t>1750 74th Ave, Commerce City (R0077963) — Diamond Beall Development LLC (tenant name not stated)</t>
        </is>
      </c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1" t="n"/>
    </row>
    <row r="42">
      <c r="A42" s="6" t="inlineStr">
        <is>
          <t>1750 74th Ave (R0077963)</t>
        </is>
      </c>
      <c r="B42" s="6" t="inlineStr">
        <is>
          <t>Whole</t>
        </is>
      </c>
      <c r="C42" s="6" t="inlineStr">
        <is>
          <t>(unnamed — Tank Trailer/Truck Parts &amp; Service)</t>
        </is>
      </c>
      <c r="D42" s="6" t="inlineStr">
        <is>
          <t>NNN</t>
        </is>
      </c>
      <c r="E42" s="9" t="inlineStr">
        <is>
          <t>22,000 (2023) / 22,500 (2024)</t>
        </is>
      </c>
      <c r="F42" s="6" t="n">
        <v>264000</v>
      </c>
      <c r="G42" s="6" t="n">
        <v>14.1</v>
      </c>
      <c r="H42" s="5" t="inlineStr">
        <is>
          <t>—</t>
        </is>
      </c>
      <c r="I42" s="5" t="inlineStr">
        <is>
          <t>7/31/2027 (renewal term #2)</t>
        </is>
      </c>
      <c r="J42" s="5" t="inlineStr">
        <is>
          <t>Renewal Term #2, 5 yrs (2023-2027)</t>
        </is>
      </c>
      <c r="K42" s="9" t="n"/>
      <c r="L42" s="6" t="n"/>
      <c r="M42" s="6" t="inlineStr">
        <is>
          <t>18,720 SF, 100% leased. Scheduled rent $14.10/sf; actual rent $264,000/yr.</t>
        </is>
      </c>
    </row>
    <row r="43">
      <c r="A43" s="10" t="inlineStr">
        <is>
          <t>1010 Lousell Blvd, Westminster (R0179014) — Grand Lake / Low Down LLC (tenant name not stated)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1" t="n"/>
    </row>
    <row r="44">
      <c r="A44" s="6" t="inlineStr">
        <is>
          <t>1010 Lousell Blvd (R0179014)</t>
        </is>
      </c>
      <c r="B44" s="6" t="inlineStr">
        <is>
          <t>Whole</t>
        </is>
      </c>
      <c r="C44" s="6" t="inlineStr">
        <is>
          <t>(unnamed — single tenant)</t>
        </is>
      </c>
      <c r="D44" s="6" t="inlineStr">
        <is>
          <t>NNN</t>
        </is>
      </c>
      <c r="E44" s="9" t="n"/>
      <c r="F44" s="6" t="n"/>
      <c r="G44" s="6" t="n">
        <v>2.6</v>
      </c>
      <c r="H44" s="5" t="inlineStr">
        <is>
          <t>—</t>
        </is>
      </c>
      <c r="I44" s="5" t="inlineStr">
        <is>
          <t>—</t>
        </is>
      </c>
      <c r="J44" s="5" t="inlineStr">
        <is>
          <t>—</t>
        </is>
      </c>
      <c r="K44" s="9" t="n">
        <v>5.99</v>
      </c>
      <c r="L44" s="6" t="n"/>
      <c r="M44" s="6" t="inlineStr">
        <is>
          <t>OCR of handwritten survey partly illegible: "Scheduled Rent $2.60/sf" and "CAM Fee $5.99/sf" as printed; actual-rent figure illegible. Figures reproduced as-is, not verified.</t>
        </is>
      </c>
    </row>
    <row r="45">
      <c r="A45" s="10" t="inlineStr">
        <is>
          <t>1975 Newport St, Commerce City (R0092740) — DSP LLC (tenant name not stated)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1" t="n"/>
    </row>
    <row r="46">
      <c r="A46" s="6" t="inlineStr">
        <is>
          <t>1975 Newport St (R0092740)</t>
        </is>
      </c>
      <c r="B46" s="6" t="inlineStr">
        <is>
          <t>Whole</t>
        </is>
      </c>
      <c r="C46" s="6" t="inlineStr">
        <is>
          <t>(unnamed)</t>
        </is>
      </c>
      <c r="D46" s="6" t="inlineStr">
        <is>
          <t>—</t>
        </is>
      </c>
      <c r="E46" s="9" t="n"/>
      <c r="F46" s="6" t="n"/>
      <c r="G46" s="6" t="n"/>
      <c r="H46" s="5" t="inlineStr">
        <is>
          <t>—</t>
        </is>
      </c>
      <c r="I46" s="5" t="inlineStr">
        <is>
          <t>—</t>
        </is>
      </c>
      <c r="J46" s="5" t="inlineStr">
        <is>
          <t>3-yr term; new lease 7/1/22-6/30/24</t>
        </is>
      </c>
      <c r="K46" s="9" t="n"/>
      <c r="L46" s="6" t="n"/>
      <c r="M46" s="6" t="inlineStr">
        <is>
          <t>Scheduled/actual rent illegible in OCR. Owner-side expense grid reported Building Insurance $4,600; Leasing Commissions $24,748; Utilities $22,336 (period unclear).</t>
        </is>
      </c>
    </row>
    <row r="47">
      <c r="A47" s="10" t="inlineStr">
        <is>
          <t>(address illegible), Northglenn area (R0037193) — Baizer Properties LLC — Collision Repair Shop (tenant name not stated)</t>
        </is>
      </c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1" t="n"/>
    </row>
    <row r="48">
      <c r="A48" s="6" t="inlineStr">
        <is>
          <t>R0037193 (Baizer Properties LLC)</t>
        </is>
      </c>
      <c r="B48" s="6" t="inlineStr">
        <is>
          <t>Whole</t>
        </is>
      </c>
      <c r="C48" s="6" t="inlineStr">
        <is>
          <t>(unnamed — Collision Repair Shop)</t>
        </is>
      </c>
      <c r="D48" s="6" t="inlineStr">
        <is>
          <t>NNN</t>
        </is>
      </c>
      <c r="E48" s="9" t="n">
        <v>26638.7</v>
      </c>
      <c r="F48" s="6" t="n">
        <v>319664.4</v>
      </c>
      <c r="G48" s="6" t="n"/>
      <c r="H48" s="5" t="inlineStr">
        <is>
          <t>—</t>
        </is>
      </c>
      <c r="I48" s="5" t="inlineStr">
        <is>
          <t>—</t>
        </is>
      </c>
      <c r="J48" s="5" t="inlineStr">
        <is>
          <t>—</t>
        </is>
      </c>
      <c r="K48" s="9" t="n"/>
      <c r="L48" s="6" t="n"/>
      <c r="M48" s="6" t="inlineStr">
        <is>
          <t>Tenant pays own NNN items directly (amounts not reported to owner). Owner-side Building Insurance $5,176.30.</t>
        </is>
      </c>
    </row>
  </sheetData>
  <mergeCells count="14">
    <mergeCell ref="A1:M1"/>
    <mergeCell ref="A45:M45"/>
    <mergeCell ref="A5:M5"/>
    <mergeCell ref="A27:M27"/>
    <mergeCell ref="A31:M31"/>
    <mergeCell ref="A33:M33"/>
    <mergeCell ref="A18:M18"/>
    <mergeCell ref="A21:M21"/>
    <mergeCell ref="A39:M39"/>
    <mergeCell ref="A29:M29"/>
    <mergeCell ref="A43:M43"/>
    <mergeCell ref="A41:M41"/>
    <mergeCell ref="A2:M2"/>
    <mergeCell ref="A47:M4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2" ht="28" customHeight="1">
      <c r="A12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</t>
        </is>
      </c>
      <c r="B12" s="20" t="n"/>
      <c r="C12" s="20" t="n"/>
      <c r="D12" s="20" t="n"/>
      <c r="E12" s="20" t="n"/>
      <c r="F12" s="20" t="n"/>
      <c r="G12" s="20" t="n"/>
      <c r="H12" s="21" t="n"/>
    </row>
    <row r="14">
      <c r="A14" s="17" t="inlineStr">
        <is>
          <t>B. Income-Approach Proformas</t>
        </is>
      </c>
      <c r="B14" s="20" t="n"/>
      <c r="C14" s="20" t="n"/>
      <c r="D14" s="20" t="n"/>
      <c r="E14" s="20" t="n"/>
      <c r="F14" s="20" t="n"/>
      <c r="G14" s="20" t="n"/>
      <c r="H14" s="21" t="n"/>
    </row>
    <row r="15" ht="30" customHeight="1">
      <c r="A15" s="4" t="inlineStr">
        <is>
          <t>Property</t>
        </is>
      </c>
      <c r="B15" s="4" t="inlineStr">
        <is>
          <t>PGI</t>
        </is>
      </c>
      <c r="C15" s="4" t="inlineStr">
        <is>
          <t>Vacancy</t>
        </is>
      </c>
      <c r="D15" s="4" t="inlineStr">
        <is>
          <t>EGI</t>
        </is>
      </c>
      <c r="E15" s="4" t="inlineStr">
        <is>
          <t>Operating Exp</t>
        </is>
      </c>
      <c r="F15" s="4" t="inlineStr">
        <is>
          <t>NOI</t>
        </is>
      </c>
      <c r="G15" s="4" t="inlineStr">
        <is>
          <t>Cap Rate</t>
        </is>
      </c>
      <c r="H15" s="4" t="inlineStr">
        <is>
          <t>Indicated Value</t>
        </is>
      </c>
    </row>
    <row r="16">
      <c r="A16" s="6" t="inlineStr">
        <is>
          <t>7205 Gilpin Way</t>
        </is>
      </c>
      <c r="B16" s="9" t="n">
        <v>359394</v>
      </c>
      <c r="C16" s="9" t="n">
        <v>-17970</v>
      </c>
      <c r="D16" s="9" t="n">
        <v>341424</v>
      </c>
      <c r="E16" s="9" t="n">
        <v>-27314</v>
      </c>
      <c r="F16" s="14" t="n">
        <v>314110</v>
      </c>
      <c r="G16" s="19" t="n">
        <v>0.065</v>
      </c>
      <c r="H16" s="14" t="n">
        <v>4832500</v>
      </c>
    </row>
    <row r="17">
      <c r="A17" s="6" t="inlineStr">
        <is>
          <t>17608 E. 24th Dr</t>
        </is>
      </c>
      <c r="B17" s="9" t="n">
        <v>209100</v>
      </c>
      <c r="C17" s="9" t="n">
        <v>-10455</v>
      </c>
      <c r="D17" s="9" t="n">
        <v>198645</v>
      </c>
      <c r="E17" s="9" t="n">
        <v>-15892</v>
      </c>
      <c r="F17" s="14" t="n">
        <v>182753</v>
      </c>
      <c r="G17" s="19" t="n">
        <v>0.06</v>
      </c>
      <c r="H17" s="14" t="n">
        <v>3050000</v>
      </c>
    </row>
    <row r="18">
      <c r="A18" s="6" t="inlineStr">
        <is>
          <t>12260 Pennsylvania St</t>
        </is>
      </c>
      <c r="B18" s="9" t="n">
        <v>237290</v>
      </c>
      <c r="C18" s="9" t="n">
        <v>-16610</v>
      </c>
      <c r="D18" s="9" t="n">
        <v>220680</v>
      </c>
      <c r="E18" s="9" t="n">
        <v>-22068</v>
      </c>
      <c r="F18" s="14" t="n">
        <v>198612</v>
      </c>
      <c r="G18" s="19" t="n">
        <v>0.07000000000000001</v>
      </c>
      <c r="H18" s="14" t="n">
        <v>2837000</v>
      </c>
    </row>
    <row r="19">
      <c r="A19" s="6" t="inlineStr">
        <is>
          <t>6770 E. 56th Ave</t>
        </is>
      </c>
      <c r="B19" s="9" t="n">
        <v>115824</v>
      </c>
      <c r="C19" s="9" t="n">
        <v>-5791</v>
      </c>
      <c r="D19" s="9" t="n">
        <v>110033</v>
      </c>
      <c r="E19" s="9" t="n">
        <v>-5502</v>
      </c>
      <c r="F19" s="14" t="n">
        <v>104531</v>
      </c>
      <c r="G19" s="19" t="n">
        <v>0.07000000000000001</v>
      </c>
      <c r="H19" s="14" t="n">
        <v>1493302</v>
      </c>
    </row>
    <row r="20">
      <c r="A20" s="6" t="inlineStr">
        <is>
          <t>5970 Marion Drive (mkt)</t>
        </is>
      </c>
      <c r="B20" s="9" t="n">
        <v>172800</v>
      </c>
      <c r="C20" s="9" t="n">
        <v>-8640</v>
      </c>
      <c r="D20" s="9" t="n">
        <v>164160</v>
      </c>
      <c r="E20" s="9" t="n">
        <v>-4223</v>
      </c>
      <c r="F20" s="14" t="n">
        <v>159937</v>
      </c>
      <c r="G20" s="19" t="n">
        <v>0.065</v>
      </c>
      <c r="H20" s="14" t="n">
        <v>2460577</v>
      </c>
    </row>
    <row r="22" ht="28" customHeight="1">
      <c r="A22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</t>
        </is>
      </c>
      <c r="B22" s="20" t="n"/>
      <c r="C22" s="20" t="n"/>
      <c r="D22" s="20" t="n"/>
      <c r="E22" s="20" t="n"/>
      <c r="F22" s="20" t="n"/>
      <c r="G22" s="20" t="n"/>
      <c r="H22" s="21" t="n"/>
    </row>
    <row r="24">
      <c r="A24" s="17" t="inlineStr">
        <is>
          <t>C. Assessed / County Values — 325 Folder Batch</t>
        </is>
      </c>
      <c r="B24" s="20" t="n"/>
      <c r="C24" s="20" t="n"/>
      <c r="D24" s="20" t="n"/>
      <c r="E24" s="20" t="n"/>
      <c r="F24" s="20" t="n"/>
      <c r="G24" s="20" t="n"/>
      <c r="H24" s="21" t="n"/>
    </row>
    <row r="25">
      <c r="A25" s="4" t="inlineStr">
        <is>
          <t>Property</t>
        </is>
      </c>
      <c r="B25" s="4" t="inlineStr">
        <is>
          <t>Assess/Tax Yr</t>
        </is>
      </c>
      <c r="C25" s="4" t="inlineStr">
        <is>
          <t>Assessor / County Value</t>
        </is>
      </c>
      <c r="D25" s="4" t="inlineStr">
        <is>
          <t>Value PSF</t>
        </is>
      </c>
      <c r="E25" s="4" t="inlineStr">
        <is>
          <t>Taxpayer / Petitioner Opinion</t>
        </is>
      </c>
      <c r="F25" s="4" t="inlineStr">
        <is>
          <t>Opinion PSF</t>
        </is>
      </c>
      <c r="G25" s="4" t="inlineStr">
        <is>
          <t>Prior-Yr Value</t>
        </is>
      </c>
      <c r="H25" s="4" t="inlineStr">
        <is>
          <t>Source</t>
        </is>
      </c>
    </row>
    <row r="26">
      <c r="A26" s="6" t="inlineStr">
        <is>
          <t>8510 Brighton Rd (R0179050)</t>
        </is>
      </c>
      <c r="B26" s="5" t="inlineStr">
        <is>
          <t>2025</t>
        </is>
      </c>
      <c r="C26" s="9" t="n">
        <v>14971919</v>
      </c>
      <c r="D26" s="16" t="n"/>
      <c r="E26" s="9" t="n">
        <v>12908000</v>
      </c>
      <c r="F26" s="16" t="n"/>
      <c r="G26" s="9" t="n"/>
      <c r="H26" s="6" t="inlineStr">
        <is>
          <t>R0179050 (cost-approach summary sheet)</t>
        </is>
      </c>
    </row>
    <row r="27">
      <c r="A27" s="6" t="inlineStr">
        <is>
          <t>6500 N. Federal Blvd (R0100737)</t>
        </is>
      </c>
      <c r="B27" s="5" t="inlineStr">
        <is>
          <t>2025</t>
        </is>
      </c>
      <c r="C27" s="9" t="n">
        <v>2602500</v>
      </c>
      <c r="D27" s="16" t="n">
        <v>183.14</v>
      </c>
      <c r="E27" s="9" t="n">
        <v>2100000</v>
      </c>
      <c r="F27" s="16" t="n">
        <v>147.77</v>
      </c>
      <c r="G27" s="9" t="n"/>
      <c r="H27" s="6" t="inlineStr">
        <is>
          <t>R0100737</t>
        </is>
      </c>
    </row>
    <row r="28">
      <c r="A28" s="6" t="inlineStr">
        <is>
          <t>1225 W 64th Ave (R0099649)</t>
        </is>
      </c>
      <c r="B28" s="5" t="inlineStr">
        <is>
          <t>2024</t>
        </is>
      </c>
      <c r="C28" s="9" t="n">
        <v>8998894</v>
      </c>
      <c r="D28" s="16" t="n">
        <v>304.02</v>
      </c>
      <c r="E28" s="9" t="n">
        <v>4500000</v>
      </c>
      <c r="F28" s="16" t="n">
        <v>152.03</v>
      </c>
      <c r="G28" s="9" t="n"/>
      <c r="H28" s="6" t="inlineStr">
        <is>
          <t>R0099649</t>
        </is>
      </c>
    </row>
    <row r="29">
      <c r="A29" s="6" t="inlineStr">
        <is>
          <t>14891 E Colfax Ave (R0085560)</t>
        </is>
      </c>
      <c r="B29" s="5" t="inlineStr">
        <is>
          <t>2025 (val. 6/30/24)</t>
        </is>
      </c>
      <c r="C29" s="9" t="n">
        <v>1172600</v>
      </c>
      <c r="D29" s="16" t="n"/>
      <c r="E29" s="9" t="n">
        <v>870000</v>
      </c>
      <c r="F29" s="16" t="n"/>
      <c r="G29" s="9" t="n"/>
      <c r="H29" s="6" t="inlineStr">
        <is>
          <t>R0085560</t>
        </is>
      </c>
    </row>
    <row r="30">
      <c r="A30" s="6" t="inlineStr">
        <is>
          <t>11450 Huron St (R0030089, incl. R0030088)</t>
        </is>
      </c>
      <c r="B30" s="5" t="inlineStr">
        <is>
          <t>2023</t>
        </is>
      </c>
      <c r="C30" s="9" t="n">
        <v>5987885</v>
      </c>
      <c r="D30" s="16" t="n"/>
      <c r="E30" s="9" t="n">
        <v>3500000</v>
      </c>
      <c r="F30" s="16" t="n"/>
      <c r="G30" s="9" t="n"/>
      <c r="H30" s="6" t="inlineStr">
        <is>
          <t>R0030089</t>
        </is>
      </c>
    </row>
    <row r="32">
      <c r="A32" s="18" t="inlineStr">
        <is>
          <t>R0179050 TAV ($14,971,919) is printed as-is on the Marshall &amp; Swift cost-approach summary sheet (2025 Land $11,906,580 + 2025 Imps $3,065,339); the taxpayer's own cost-approach conclusion on the same sheet reads $12,905,080, while the cover letter requests $12,908,000 — all three reproduced as printed. R0100737 &amp; R0099649 PSF figures computed from GBA/NRA in Property Master; R0085560 &amp; R0030089 PSF not computed (GBA uncertain / multi-parcel).</t>
        </is>
      </c>
      <c r="B32" s="20" t="n"/>
      <c r="C32" s="20" t="n"/>
      <c r="D32" s="20" t="n"/>
      <c r="E32" s="20" t="n"/>
      <c r="F32" s="20" t="n"/>
      <c r="G32" s="20" t="n"/>
      <c r="H32" s="21" t="n"/>
    </row>
    <row r="34">
      <c r="A34" s="17" t="inlineStr">
        <is>
          <t>D. Income-Approach Proformas — 325 Folder Batch</t>
        </is>
      </c>
      <c r="B34" s="20" t="n"/>
      <c r="C34" s="20" t="n"/>
      <c r="D34" s="20" t="n"/>
      <c r="E34" s="20" t="n"/>
      <c r="F34" s="20" t="n"/>
      <c r="G34" s="20" t="n"/>
      <c r="H34" s="21" t="n"/>
    </row>
    <row r="35">
      <c r="A35" s="4" t="inlineStr">
        <is>
          <t>Property</t>
        </is>
      </c>
      <c r="B35" s="4" t="inlineStr">
        <is>
          <t>PGI</t>
        </is>
      </c>
      <c r="C35" s="4" t="inlineStr">
        <is>
          <t>Vacancy</t>
        </is>
      </c>
      <c r="D35" s="4" t="inlineStr">
        <is>
          <t>EGI</t>
        </is>
      </c>
      <c r="E35" s="4" t="inlineStr">
        <is>
          <t>Operating Exp</t>
        </is>
      </c>
      <c r="F35" s="4" t="inlineStr">
        <is>
          <t>NOI</t>
        </is>
      </c>
      <c r="G35" s="4" t="inlineStr">
        <is>
          <t>Cap Rate</t>
        </is>
      </c>
      <c r="H35" s="4" t="inlineStr">
        <is>
          <t>Indicated Value</t>
        </is>
      </c>
    </row>
    <row r="36">
      <c r="A36" s="6" t="inlineStr">
        <is>
          <t>1225 W 64th Ave (R0099649) — bldg only</t>
        </is>
      </c>
      <c r="B36" s="5" t="n">
        <v>170200</v>
      </c>
      <c r="C36" s="9" t="n">
        <v>-8510</v>
      </c>
      <c r="D36" s="16" t="n">
        <v>161690</v>
      </c>
      <c r="E36" s="9" t="n">
        <v>-16169</v>
      </c>
      <c r="F36" s="16" t="n">
        <v>145521</v>
      </c>
      <c r="G36" s="9" t="n">
        <v>0.065</v>
      </c>
      <c r="H36" s="6" t="n">
        <v>2238785</v>
      </c>
    </row>
    <row r="37">
      <c r="A37" s="6" t="inlineStr">
        <is>
          <t>1225 W 64th Ave (R0099649) — + excess land</t>
        </is>
      </c>
      <c r="B37" s="5" t="n"/>
      <c r="C37" s="9" t="n"/>
      <c r="D37" s="16" t="n"/>
      <c r="E37" s="9" t="n"/>
      <c r="F37" s="16" t="n"/>
      <c r="G37" s="9" t="n"/>
      <c r="H37" s="6" t="n">
        <v>2298247</v>
      </c>
    </row>
    <row r="38">
      <c r="A38" s="6" t="inlineStr">
        <is>
          <t>6500 N. Federal Blvd (R0100737) — petitioner proforma</t>
        </is>
      </c>
      <c r="B38" s="5" t="n">
        <v>170532</v>
      </c>
      <c r="C38" s="9" t="n">
        <v>-8527</v>
      </c>
      <c r="D38" s="16" t="n">
        <v>162005</v>
      </c>
      <c r="E38" s="9" t="n">
        <v>-12960</v>
      </c>
      <c r="F38" s="16" t="n">
        <v>149045</v>
      </c>
      <c r="G38" s="9" t="n">
        <v>0.07000000000000001</v>
      </c>
      <c r="H38" s="6" t="n">
        <v>2129214</v>
      </c>
    </row>
    <row r="39">
      <c r="A39" s="6" t="inlineStr">
        <is>
          <t>11450 Huron St (R0030089) — 2021 actual</t>
        </is>
      </c>
      <c r="B39" s="5" t="n">
        <v>388340</v>
      </c>
      <c r="C39" s="9" t="n"/>
      <c r="D39" s="16" t="n"/>
      <c r="E39" s="9" t="n">
        <v>-219538</v>
      </c>
      <c r="F39" s="16" t="n">
        <v>168802</v>
      </c>
      <c r="G39" s="9" t="n">
        <v>0.07000000000000001</v>
      </c>
      <c r="H39" s="6" t="n">
        <v>2411453</v>
      </c>
    </row>
    <row r="40">
      <c r="A40" s="6" t="inlineStr">
        <is>
          <t>11450 Huron St (R0030089) — 2022 actual</t>
        </is>
      </c>
      <c r="B40" s="5" t="n">
        <v>503431</v>
      </c>
      <c r="C40" s="9" t="n"/>
      <c r="D40" s="16" t="n"/>
      <c r="E40" s="9" t="n">
        <v>-247634</v>
      </c>
      <c r="F40" s="16" t="n">
        <v>255797</v>
      </c>
      <c r="G40" s="9" t="n">
        <v>0.07000000000000001</v>
      </c>
      <c r="H40" s="6" t="n">
        <v>3654247</v>
      </c>
    </row>
    <row r="42">
      <c r="A42" s="18" t="inlineStr">
        <is>
          <t>R0099649: capitalized building value $2,238,785 (NOI/6.5%) + excess land value $2,298,247 (at $3.00/sf) = total reconciled value $4,537,032, rounded to requested $4,500,000 (Stevens &amp; Associates). R0100737: petitioner's (1st Net) own proforma using actual 2024 rent roll; indicated value $2,129,214 vs. requested $2,100,000. R0085560 protest letter states assumptions only (rent $17.85/sf, 7% vac., 8% exp., 7.5% cap -&gt; indicated $868,290) without a printed PGI/EGI/NOI table, so it is not itemized here — see letter cited in Source Documents. R0030089 EGI/vacancy not broken out in source; Operating Exp shown = Total Actual Operating Revenue less Net Income from Rental Real Estate, as printed.</t>
        </is>
      </c>
      <c r="B42" s="20" t="n"/>
      <c r="C42" s="20" t="n"/>
      <c r="D42" s="20" t="n"/>
      <c r="E42" s="20" t="n"/>
      <c r="F42" s="20" t="n"/>
      <c r="G42" s="20" t="n"/>
      <c r="H42" s="21" t="n"/>
    </row>
  </sheetData>
  <mergeCells count="10">
    <mergeCell ref="A12:H12"/>
    <mergeCell ref="A4:H4"/>
    <mergeCell ref="A24:H24"/>
    <mergeCell ref="A2:H2"/>
    <mergeCell ref="A42:H42"/>
    <mergeCell ref="A14:H14"/>
    <mergeCell ref="A1:H1"/>
    <mergeCell ref="A32:H32"/>
    <mergeCell ref="A22:H22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11" t="inlineStr">
        <is>
          <t>14891 E Colfax Ave (R0085560) — FY2021 (cash)</t>
        </is>
      </c>
      <c r="B9" s="22" t="n">
        <v>5975.08</v>
      </c>
      <c r="C9" s="22" t="n">
        <v>0</v>
      </c>
      <c r="D9" s="23">
        <f>B9-C9</f>
        <v/>
      </c>
      <c r="E9" s="6" t="inlineStr">
        <is>
          <t>P&amp;L 4-yr recap (cash basis)</t>
        </is>
      </c>
    </row>
    <row r="10" ht="28" customHeight="1">
      <c r="A10" s="11" t="inlineStr">
        <is>
          <t>14891 E Colfax Ave (R0085560) — FY2022 (cash)</t>
        </is>
      </c>
      <c r="B10" s="22" t="n">
        <v>103401.75</v>
      </c>
      <c r="C10" s="22" t="n">
        <v>25245.32</v>
      </c>
      <c r="D10" s="23">
        <f>B10-C10</f>
        <v/>
      </c>
      <c r="E10" s="6" t="inlineStr">
        <is>
          <t>P&amp;L 4-yr recap (cash basis)</t>
        </is>
      </c>
    </row>
    <row r="11">
      <c r="A11" s="11" t="inlineStr">
        <is>
          <t>14891 E Colfax Ave (R0085560) — FY2023 (cash)</t>
        </is>
      </c>
      <c r="B11" s="22" t="n">
        <v>97149.27</v>
      </c>
      <c r="C11" s="22" t="n">
        <v>24931.34</v>
      </c>
      <c r="D11" s="23">
        <f>B11-C11</f>
        <v/>
      </c>
      <c r="E11" s="6" t="inlineStr">
        <is>
          <t>P&amp;L 4-yr recap (cash basis)</t>
        </is>
      </c>
    </row>
    <row r="12">
      <c r="A12" s="11" t="inlineStr">
        <is>
          <t>14891 E Colfax Ave (R0085560) — FY2024 (cash)</t>
        </is>
      </c>
      <c r="B12" s="22" t="n">
        <v>113858.69</v>
      </c>
      <c r="C12" s="22" t="n">
        <v>36212.3</v>
      </c>
      <c r="D12" s="23">
        <f>B12-C12</f>
        <v/>
      </c>
      <c r="E12" s="6" t="inlineStr">
        <is>
          <t>P&amp;L 4-yr recap (cash basis); Total Expense = Real Estate Taxes only (no other operating exp. reported)</t>
        </is>
      </c>
    </row>
    <row r="13">
      <c r="A13" s="11" t="inlineStr">
        <is>
          <t>6500 N. Federal Blvd (R0100737) — 2024 (petitioner proforma)</t>
        </is>
      </c>
      <c r="B13" s="22" t="n">
        <v>170532</v>
      </c>
      <c r="C13" s="22" t="n">
        <v>12960</v>
      </c>
      <c r="D13" s="23">
        <f>B13-C13</f>
        <v/>
      </c>
      <c r="E13" s="6" t="inlineStr">
        <is>
          <t>1st Net proforma from 2024 rent roll; NNN (mgmt 3% + reserves/owner exp 5% only)</t>
        </is>
      </c>
    </row>
    <row r="14">
      <c r="A14" s="11" t="inlineStr">
        <is>
          <t>1225 W 64th Ave (R0099649) — income proforma</t>
        </is>
      </c>
      <c r="B14" s="22" t="n">
        <v>170200</v>
      </c>
      <c r="C14" s="22" t="n">
        <v>16169</v>
      </c>
      <c r="D14" s="23">
        <f>B14-C14</f>
        <v/>
      </c>
      <c r="E14" s="6" t="inlineStr">
        <is>
          <t>Stevens &amp; Associates fee-simple proforma (8% OpEx + 2% reserves)</t>
        </is>
      </c>
    </row>
    <row r="15">
      <c r="A15" s="11" t="inlineStr">
        <is>
          <t>1975 Newport St (R0092740) — 2023 (partial)</t>
        </is>
      </c>
      <c r="B15" s="22" t="n"/>
      <c r="C15" s="22" t="n">
        <v>51684</v>
      </c>
      <c r="D15" s="23">
        <f>B15-C15</f>
        <v/>
      </c>
      <c r="E15" s="6" t="inlineStr">
        <is>
          <t>Adams Co. survey; owner-side items only (Bldg Ins. $4,600 + Leasing Comm. $24,748 + Utilities $22,336); income illegible in OCR</t>
        </is>
      </c>
    </row>
    <row r="16">
      <c r="A16" s="11" t="inlineStr">
        <is>
          <t>7908 Highway 85 (R0077789) — 2023 (owner-occ.)</t>
        </is>
      </c>
      <c r="B16" s="22" t="n"/>
      <c r="C16" s="22" t="n">
        <v>56150</v>
      </c>
      <c r="D16" s="23">
        <f>B16-C16</f>
        <v/>
      </c>
      <c r="E16" s="6" t="inlineStr">
        <is>
          <t>Adams Co. survey; 100% owner-occupied, OpEx only</t>
        </is>
      </c>
    </row>
    <row r="17">
      <c r="A17" s="11" t="inlineStr">
        <is>
          <t>11450 Huron St (R0030089) — 2021</t>
        </is>
      </c>
      <c r="B17" s="22" t="n">
        <v>388340</v>
      </c>
      <c r="C17" s="22" t="n">
        <v>219538</v>
      </c>
      <c r="D17" s="23">
        <f>B17-C17</f>
        <v/>
      </c>
      <c r="E17" s="6" t="inlineStr">
        <is>
          <t>1st Net operating statement (recoverable + owner's expenses)</t>
        </is>
      </c>
    </row>
    <row r="18">
      <c r="A18" s="11" t="inlineStr">
        <is>
          <t>11450 Huron St (R0030089) — 2022</t>
        </is>
      </c>
      <c r="B18" s="22" t="n">
        <v>503431</v>
      </c>
      <c r="C18" s="22" t="n">
        <v>247634</v>
      </c>
      <c r="D18" s="23">
        <f>B18-C18</f>
        <v/>
      </c>
      <c r="E18" s="6" t="inlineStr">
        <is>
          <t>1st Net operating statement; Total Expense = Revenue - Net Income as printed</t>
        </is>
      </c>
    </row>
    <row r="19">
      <c r="A19" s="11" t="inlineStr">
        <is>
          <t>490 Huron St (R0030085) — 2023-24 (owner-occ.)</t>
        </is>
      </c>
      <c r="B19" s="22" t="n"/>
      <c r="C19" s="22" t="n">
        <v>64535.04</v>
      </c>
      <c r="D19" s="23">
        <f>B19-C19</f>
        <v/>
      </c>
      <c r="E19" s="6" t="inlineStr">
        <is>
          <t>Adams Co. survey; 100% owner-occupied, OpEx only</t>
        </is>
      </c>
    </row>
    <row r="21">
      <c r="A21" s="11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 325-folder additions: R0085560 4-yr cash P&amp;L; R0100737 &amp; R0099649 are proforma (not actual full-year statements); R0092740, R0077789 &amp; R0030085 report Operating Expenses only per the Adams Co. survey (no income reported / owner-occupied); R0030089 Total Expense = printed Total Actual Operating Revenue less printed Net Income from Rental Real Estate (component detail in Income-Expense Detail tab).</t>
        </is>
      </c>
      <c r="B21" s="20" t="n"/>
      <c r="C21" s="20" t="n"/>
      <c r="D21" s="20" t="n"/>
      <c r="E21" s="21" t="n"/>
    </row>
  </sheetData>
  <mergeCells count="3">
    <mergeCell ref="A2:E2"/>
    <mergeCell ref="A1:E1"/>
    <mergeCell ref="A21:E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6">
      <c r="A66" s="6" t="inlineStr">
        <is>
          <t>14891 E Colfax Ave (R0085560) — FY2021</t>
        </is>
      </c>
      <c r="B66" s="25" t="inlineStr">
        <is>
          <t>Income</t>
        </is>
      </c>
      <c r="C66" s="6" t="inlineStr">
        <is>
          <t>4000 - Rent/Lease Income</t>
        </is>
      </c>
      <c r="D66" s="22" t="n">
        <v>5975.08</v>
      </c>
      <c r="E66" s="6" t="n"/>
    </row>
    <row r="67">
      <c r="A67" s="6" t="inlineStr">
        <is>
          <t>14891 E Colfax Ave (R0085560) — FY2021</t>
        </is>
      </c>
      <c r="B67" s="25" t="inlineStr">
        <is>
          <t>Income</t>
        </is>
      </c>
      <c r="C67" s="6" t="inlineStr">
        <is>
          <t>TOTAL INCOME</t>
        </is>
      </c>
      <c r="D67" s="22">
        <f>SUM(D66:D66)</f>
        <v/>
      </c>
      <c r="E67" s="6" t="inlineStr">
        <is>
          <t>Printed total: $5,975.08.</t>
        </is>
      </c>
    </row>
    <row r="68">
      <c r="A68" s="6" t="inlineStr">
        <is>
          <t>14891 E Colfax Ave (R0085560) — FY2021</t>
        </is>
      </c>
      <c r="B68" s="27" t="inlineStr">
        <is>
          <t>Expense</t>
        </is>
      </c>
      <c r="C68" s="6" t="inlineStr">
        <is>
          <t>6010 - Real Estate Taxes</t>
        </is>
      </c>
      <c r="D68" s="22" t="n">
        <v>0</v>
      </c>
      <c r="E68" s="6" t="n"/>
    </row>
    <row r="69">
      <c r="A69" s="6" t="inlineStr">
        <is>
          <t>14891 E Colfax Ave (R0085560) — FY2021</t>
        </is>
      </c>
      <c r="B69" s="27" t="inlineStr">
        <is>
          <t>Expense</t>
        </is>
      </c>
      <c r="C69" s="6" t="inlineStr">
        <is>
          <t>TOTAL EXPENSE</t>
        </is>
      </c>
      <c r="D69" s="22">
        <f>SUM(D68:D68)</f>
        <v/>
      </c>
      <c r="E69" s="6" t="inlineStr">
        <is>
          <t>Printed total: $0.00.</t>
        </is>
      </c>
    </row>
    <row r="70">
      <c r="A70" s="6" t="inlineStr">
        <is>
          <t>14891 E Colfax Ave (R0085560) — FY2022</t>
        </is>
      </c>
      <c r="B70" s="25" t="inlineStr">
        <is>
          <t>Income</t>
        </is>
      </c>
      <c r="C70" s="6" t="inlineStr">
        <is>
          <t>4000 - Rent/Lease Income</t>
        </is>
      </c>
      <c r="D70" s="22" t="n">
        <v>72597.21000000001</v>
      </c>
      <c r="E70" s="6" t="n"/>
    </row>
    <row r="71">
      <c r="A71" s="6" t="inlineStr">
        <is>
          <t>14891 E Colfax Ave (R0085560) — FY2022</t>
        </is>
      </c>
      <c r="B71" s="25" t="inlineStr">
        <is>
          <t>Income</t>
        </is>
      </c>
      <c r="C71" s="6" t="inlineStr">
        <is>
          <t>4020 - Tax Reimbursement</t>
        </is>
      </c>
      <c r="D71" s="22" t="n">
        <v>30804.54</v>
      </c>
      <c r="E71" s="6" t="n"/>
    </row>
    <row r="72">
      <c r="A72" s="6" t="inlineStr">
        <is>
          <t>14891 E Colfax Ave (R0085560) — FY2022</t>
        </is>
      </c>
      <c r="B72" s="25" t="inlineStr">
        <is>
          <t>Income</t>
        </is>
      </c>
      <c r="C72" s="6" t="inlineStr">
        <is>
          <t>TOTAL INCOME</t>
        </is>
      </c>
      <c r="D72" s="22">
        <f>SUM(D70:D71)</f>
        <v/>
      </c>
      <c r="E72" s="6" t="inlineStr">
        <is>
          <t>Printed total: $103,401.75.</t>
        </is>
      </c>
    </row>
    <row r="73">
      <c r="A73" s="6" t="inlineStr">
        <is>
          <t>14891 E Colfax Ave (R0085560) — FY2022</t>
        </is>
      </c>
      <c r="B73" s="27" t="inlineStr">
        <is>
          <t>Expense</t>
        </is>
      </c>
      <c r="C73" s="6" t="inlineStr">
        <is>
          <t>6010 - Real Estate Taxes</t>
        </is>
      </c>
      <c r="D73" s="22" t="n">
        <v>25245.32</v>
      </c>
      <c r="E73" s="6" t="n"/>
    </row>
    <row r="74">
      <c r="A74" s="6" t="inlineStr">
        <is>
          <t>14891 E Colfax Ave (R0085560) — FY2022</t>
        </is>
      </c>
      <c r="B74" s="27" t="inlineStr">
        <is>
          <t>Expense</t>
        </is>
      </c>
      <c r="C74" s="6" t="inlineStr">
        <is>
          <t>TOTAL EXPENSE</t>
        </is>
      </c>
      <c r="D74" s="22">
        <f>SUM(D73:D73)</f>
        <v/>
      </c>
      <c r="E74" s="6" t="inlineStr">
        <is>
          <t>Printed total: $25,245.32.</t>
        </is>
      </c>
    </row>
    <row r="75">
      <c r="A75" s="6" t="inlineStr">
        <is>
          <t>14891 E Colfax Ave (R0085560) — FY2023</t>
        </is>
      </c>
      <c r="B75" s="25" t="inlineStr">
        <is>
          <t>Income</t>
        </is>
      </c>
      <c r="C75" s="6" t="inlineStr">
        <is>
          <t>4000 - Rent/Lease Income</t>
        </is>
      </c>
      <c r="D75" s="22" t="n">
        <v>74775.11</v>
      </c>
      <c r="E75" s="6" t="n"/>
    </row>
    <row r="76">
      <c r="A76" s="6" t="inlineStr">
        <is>
          <t>14891 E Colfax Ave (R0085560) — FY2023</t>
        </is>
      </c>
      <c r="B76" s="25" t="inlineStr">
        <is>
          <t>Income</t>
        </is>
      </c>
      <c r="C76" s="6" t="inlineStr">
        <is>
          <t>4015 - CAM Reconciliation</t>
        </is>
      </c>
      <c r="D76" s="22" t="n">
        <v>-3155</v>
      </c>
      <c r="E76" s="6" t="n"/>
    </row>
    <row r="77">
      <c r="A77" s="6" t="inlineStr">
        <is>
          <t>14891 E Colfax Ave (R0085560) — FY2023</t>
        </is>
      </c>
      <c r="B77" s="25" t="inlineStr">
        <is>
          <t>Income</t>
        </is>
      </c>
      <c r="C77" s="6" t="inlineStr">
        <is>
          <t>4020 - Tax Reimbursement</t>
        </is>
      </c>
      <c r="D77" s="22" t="n">
        <v>25529.16</v>
      </c>
      <c r="E77" s="6" t="n"/>
    </row>
    <row r="78">
      <c r="A78" s="6" t="inlineStr">
        <is>
          <t>14891 E Colfax Ave (R0085560) — FY2023</t>
        </is>
      </c>
      <c r="B78" s="25" t="inlineStr">
        <is>
          <t>Income</t>
        </is>
      </c>
      <c r="C78" s="6" t="inlineStr">
        <is>
          <t>TOTAL INCOME</t>
        </is>
      </c>
      <c r="D78" s="22">
        <f>SUM(D75:D77)</f>
        <v/>
      </c>
      <c r="E78" s="6" t="inlineStr">
        <is>
          <t>Printed total: $97,149.27.</t>
        </is>
      </c>
    </row>
    <row r="79">
      <c r="A79" s="6" t="inlineStr">
        <is>
          <t>14891 E Colfax Ave (R0085560) — FY2023</t>
        </is>
      </c>
      <c r="B79" s="27" t="inlineStr">
        <is>
          <t>Expense</t>
        </is>
      </c>
      <c r="C79" s="6" t="inlineStr">
        <is>
          <t>6010 - Real Estate Taxes</t>
        </is>
      </c>
      <c r="D79" s="22" t="n">
        <v>24931.34</v>
      </c>
      <c r="E79" s="6" t="n"/>
    </row>
    <row r="80">
      <c r="A80" s="6" t="inlineStr">
        <is>
          <t>14891 E Colfax Ave (R0085560) — FY2023</t>
        </is>
      </c>
      <c r="B80" s="27" t="inlineStr">
        <is>
          <t>Expense</t>
        </is>
      </c>
      <c r="C80" s="6" t="inlineStr">
        <is>
          <t>TOTAL EXPENSE</t>
        </is>
      </c>
      <c r="D80" s="22">
        <f>SUM(D79:D79)</f>
        <v/>
      </c>
      <c r="E80" s="6" t="inlineStr">
        <is>
          <t>Printed total: $24,931.34.</t>
        </is>
      </c>
    </row>
    <row r="81">
      <c r="A81" s="6" t="inlineStr">
        <is>
          <t>14891 E Colfax Ave (R0085560) — FY2024</t>
        </is>
      </c>
      <c r="B81" s="25" t="inlineStr">
        <is>
          <t>Income</t>
        </is>
      </c>
      <c r="C81" s="6" t="inlineStr">
        <is>
          <t>4000 - Rent/Lease Income</t>
        </is>
      </c>
      <c r="D81" s="22" t="n">
        <v>77018.37</v>
      </c>
      <c r="E81" s="6" t="n"/>
    </row>
    <row r="82">
      <c r="A82" s="6" t="inlineStr">
        <is>
          <t>14891 E Colfax Ave (R0085560) — FY2024</t>
        </is>
      </c>
      <c r="B82" s="25" t="inlineStr">
        <is>
          <t>Income</t>
        </is>
      </c>
      <c r="C82" s="6" t="inlineStr">
        <is>
          <t>4015 - CAM Reconciliation</t>
        </is>
      </c>
      <c r="D82" s="22" t="n">
        <v>-13.88</v>
      </c>
      <c r="E82" s="6" t="n"/>
    </row>
    <row r="83">
      <c r="A83" s="6" t="inlineStr">
        <is>
          <t>14891 E Colfax Ave (R0085560) — FY2024</t>
        </is>
      </c>
      <c r="B83" s="25" t="inlineStr">
        <is>
          <t>Income</t>
        </is>
      </c>
      <c r="C83" s="6" t="inlineStr">
        <is>
          <t>4020 - Tax Reimbursement</t>
        </is>
      </c>
      <c r="D83" s="22" t="n">
        <v>36182.9</v>
      </c>
      <c r="E83" s="6" t="n"/>
    </row>
    <row r="84">
      <c r="A84" s="6" t="inlineStr">
        <is>
          <t>14891 E Colfax Ave (R0085560) — FY2024</t>
        </is>
      </c>
      <c r="B84" s="25" t="inlineStr">
        <is>
          <t>Income</t>
        </is>
      </c>
      <c r="C84" s="6" t="inlineStr">
        <is>
          <t>4140 - Expense Reimbursement</t>
        </is>
      </c>
      <c r="D84" s="22" t="n">
        <v>671.3</v>
      </c>
      <c r="E84" s="6" t="n"/>
    </row>
    <row r="85">
      <c r="A85" s="6" t="inlineStr">
        <is>
          <t>14891 E Colfax Ave (R0085560) — FY2024</t>
        </is>
      </c>
      <c r="B85" s="25" t="inlineStr">
        <is>
          <t>Income</t>
        </is>
      </c>
      <c r="C85" s="6" t="inlineStr">
        <is>
          <t>TOTAL INCOME</t>
        </is>
      </c>
      <c r="D85" s="22">
        <f>SUM(D81:D84)</f>
        <v/>
      </c>
      <c r="E85" s="6" t="inlineStr">
        <is>
          <t>Printed total: $113,858.69.</t>
        </is>
      </c>
    </row>
    <row r="86">
      <c r="A86" s="6" t="inlineStr">
        <is>
          <t>14891 E Colfax Ave (R0085560) — FY2024</t>
        </is>
      </c>
      <c r="B86" s="27" t="inlineStr">
        <is>
          <t>Expense</t>
        </is>
      </c>
      <c r="C86" s="6" t="inlineStr">
        <is>
          <t>6010 - Real Estate Taxes</t>
        </is>
      </c>
      <c r="D86" s="22" t="n">
        <v>36212.3</v>
      </c>
      <c r="E86" s="6" t="n"/>
    </row>
    <row r="87">
      <c r="A87" s="6" t="inlineStr">
        <is>
          <t>14891 E Colfax Ave (R0085560) — FY2024</t>
        </is>
      </c>
      <c r="B87" s="27" t="inlineStr">
        <is>
          <t>Expense</t>
        </is>
      </c>
      <c r="C87" s="6" t="inlineStr">
        <is>
          <t>TOTAL EXPENSE</t>
        </is>
      </c>
      <c r="D87" s="22">
        <f>SUM(D86:D86)</f>
        <v/>
      </c>
      <c r="E87" s="6" t="inlineStr">
        <is>
          <t>Printed total: $36,212.30.</t>
        </is>
      </c>
    </row>
    <row r="88">
      <c r="A88" s="6" t="inlineStr">
        <is>
          <t>14891 E Colfax Ave (R0085560) — 4-yr N/O Expense detail (all years)</t>
        </is>
      </c>
      <c r="B88" s="27" t="inlineStr">
        <is>
          <t>Expense</t>
        </is>
      </c>
      <c r="C88" s="6" t="inlineStr">
        <is>
          <t>9009 - Reimbursable Expenses</t>
        </is>
      </c>
      <c r="D88" s="22" t="n">
        <v>4131.3</v>
      </c>
      <c r="E88" s="6" t="inlineStr">
        <is>
          <t>2021-24 total</t>
        </is>
      </c>
    </row>
    <row r="89">
      <c r="A89" s="6" t="inlineStr">
        <is>
          <t>14891 E Colfax Ave (R0085560) — 4-yr N/O Expense detail (all years)</t>
        </is>
      </c>
      <c r="B89" s="27" t="inlineStr">
        <is>
          <t>Expense</t>
        </is>
      </c>
      <c r="C89" s="6" t="inlineStr">
        <is>
          <t>9010 - Bank Charges</t>
        </is>
      </c>
      <c r="D89" s="22" t="n">
        <v>3</v>
      </c>
      <c r="E89" s="6" t="inlineStr">
        <is>
          <t>2021-24 total</t>
        </is>
      </c>
    </row>
    <row r="90">
      <c r="A90" s="6" t="inlineStr">
        <is>
          <t>14891 E Colfax Ave (R0085560) — 4-yr N/O Expense detail (all years)</t>
        </is>
      </c>
      <c r="B90" s="27" t="inlineStr">
        <is>
          <t>Expense</t>
        </is>
      </c>
      <c r="C90" s="6" t="inlineStr">
        <is>
          <t>9011 - Postage/Delivery - Owner</t>
        </is>
      </c>
      <c r="D90" s="22" t="n">
        <v>13.21</v>
      </c>
      <c r="E90" s="6" t="inlineStr">
        <is>
          <t>2021-24 total</t>
        </is>
      </c>
    </row>
    <row r="91">
      <c r="A91" s="6" t="inlineStr">
        <is>
          <t>14891 E Colfax Ave (R0085560) — 4-yr N/O Expense detail (all years)</t>
        </is>
      </c>
      <c r="B91" s="27" t="inlineStr">
        <is>
          <t>Expense</t>
        </is>
      </c>
      <c r="C91" s="6" t="inlineStr">
        <is>
          <t>9035 - Management Fees</t>
        </is>
      </c>
      <c r="D91" s="22" t="n">
        <v>24140</v>
      </c>
      <c r="E91" s="6" t="inlineStr">
        <is>
          <t>2021-24 total</t>
        </is>
      </c>
    </row>
    <row r="92">
      <c r="A92" s="6" t="inlineStr">
        <is>
          <t>14891 E Colfax Ave (R0085560) — 4-yr N/O Expense detail (all years)</t>
        </is>
      </c>
      <c r="B92" s="27" t="inlineStr">
        <is>
          <t>Expense</t>
        </is>
      </c>
      <c r="C92" s="6" t="inlineStr">
        <is>
          <t>9036 - Check Printing Fees</t>
        </is>
      </c>
      <c r="D92" s="22" t="n">
        <v>5.79</v>
      </c>
      <c r="E92" s="6" t="inlineStr">
        <is>
          <t>2021-24 total</t>
        </is>
      </c>
    </row>
    <row r="93">
      <c r="A93" s="6" t="inlineStr">
        <is>
          <t>14891 E Colfax Ave (R0085560) — 4-yr N/O Expense detail (all years)</t>
        </is>
      </c>
      <c r="B93" s="27" t="inlineStr">
        <is>
          <t>Expense</t>
        </is>
      </c>
      <c r="C93" s="6" t="inlineStr">
        <is>
          <t>9100 - Broker Commissions</t>
        </is>
      </c>
      <c r="D93" s="22" t="n">
        <v>7627.95</v>
      </c>
      <c r="E93" s="6" t="inlineStr">
        <is>
          <t>2021-24 total</t>
        </is>
      </c>
    </row>
    <row r="94">
      <c r="A94" s="6" t="inlineStr">
        <is>
          <t>14891 E Colfax Ave (R0085560) — 4-yr N/O Expense detail (all years)</t>
        </is>
      </c>
      <c r="B94" s="27" t="inlineStr">
        <is>
          <t>Expense</t>
        </is>
      </c>
      <c r="C94" s="6" t="inlineStr">
        <is>
          <t>TOTAL EXPENSE</t>
        </is>
      </c>
      <c r="D94" s="22">
        <f>SUM(D88:D93)</f>
        <v/>
      </c>
      <c r="E94" s="6" t="inlineStr">
        <is>
          <t>Printed total: $35,921.25. Non-operating items below the NOI line; NOI $233,995.83 less N/O Expense $35,921.25 = Net Income $198,074.58 (4-yr total, cash basis).</t>
        </is>
      </c>
    </row>
    <row r="95">
      <c r="A95" s="6" t="inlineStr">
        <is>
          <t>6500 N. Federal Blvd (R0100737) — 2024 proforma</t>
        </is>
      </c>
      <c r="B95" s="27" t="inlineStr">
        <is>
          <t>Expense</t>
        </is>
      </c>
      <c r="C95" s="6" t="inlineStr">
        <is>
          <t>Management (3% of EGI)</t>
        </is>
      </c>
      <c r="D95" s="22" t="n">
        <v>4860</v>
      </c>
      <c r="E95" s="6" t="n"/>
    </row>
    <row r="96">
      <c r="A96" s="6" t="inlineStr">
        <is>
          <t>6500 N. Federal Blvd (R0100737) — 2024 proforma</t>
        </is>
      </c>
      <c r="B96" s="27" t="inlineStr">
        <is>
          <t>Expense</t>
        </is>
      </c>
      <c r="C96" s="6" t="inlineStr">
        <is>
          <t>Reserves &amp; Owner Exp (5% of EGI)</t>
        </is>
      </c>
      <c r="D96" s="22" t="n">
        <v>8100</v>
      </c>
      <c r="E96" s="6" t="n"/>
    </row>
    <row r="97">
      <c r="A97" s="6" t="inlineStr">
        <is>
          <t>6500 N. Federal Blvd (R0100737) — 2024 proforma</t>
        </is>
      </c>
      <c r="B97" s="27" t="inlineStr">
        <is>
          <t>Expense</t>
        </is>
      </c>
      <c r="C97" s="6" t="inlineStr">
        <is>
          <t>TOTAL EXPENSE</t>
        </is>
      </c>
      <c r="D97" s="22">
        <f>SUM(D95:D96)</f>
        <v/>
      </c>
      <c r="E97" s="6" t="inlineStr">
        <is>
          <t>Printed total: $12,960.00. PGI $170,532 (2024 actual); Vacancy 5% ($8,527); EGI $162,005; NOI $149,045; Cap Rate 7.00%; Indicated Value $2,129,214 (1st Net petitioner proforma).</t>
        </is>
      </c>
    </row>
    <row r="98">
      <c r="A98" s="6" t="inlineStr">
        <is>
          <t>1225 W 64th Ave (R0099649) — income proforma</t>
        </is>
      </c>
      <c r="B98" s="25" t="inlineStr">
        <is>
          <t>Income</t>
        </is>
      </c>
      <c r="C98" s="6" t="inlineStr">
        <is>
          <t>Potential Gross Income (NNN $5.75/sf x 29,600 SF)</t>
        </is>
      </c>
      <c r="D98" s="22" t="n">
        <v>170200</v>
      </c>
      <c r="E98" s="6" t="n"/>
    </row>
    <row r="99">
      <c r="A99" s="6" t="inlineStr">
        <is>
          <t>1225 W 64th Ave (R0099649) — income proforma</t>
        </is>
      </c>
      <c r="B99" s="25" t="inlineStr">
        <is>
          <t>Income</t>
        </is>
      </c>
      <c r="C99" s="6" t="inlineStr">
        <is>
          <t>TOTAL INCOME</t>
        </is>
      </c>
      <c r="D99" s="22">
        <f>SUM(D98:D98)</f>
        <v/>
      </c>
      <c r="E99" s="6" t="inlineStr">
        <is>
          <t>Printed total: $170,200.00.</t>
        </is>
      </c>
    </row>
    <row r="100">
      <c r="A100" s="6" t="inlineStr">
        <is>
          <t>1225 W 64th Ave (R0099649) — income proforma</t>
        </is>
      </c>
      <c r="B100" s="27" t="inlineStr">
        <is>
          <t>Expense</t>
        </is>
      </c>
      <c r="C100" s="6" t="inlineStr">
        <is>
          <t>Vacancy &amp; Collection Loss (5.00%)</t>
        </is>
      </c>
      <c r="D100" s="22" t="n">
        <v>8510</v>
      </c>
      <c r="E100" s="6" t="n"/>
    </row>
    <row r="101">
      <c r="A101" s="6" t="inlineStr">
        <is>
          <t>1225 W 64th Ave (R0099649) — income proforma</t>
        </is>
      </c>
      <c r="B101" s="27" t="inlineStr">
        <is>
          <t>Expense</t>
        </is>
      </c>
      <c r="C101" s="6" t="inlineStr">
        <is>
          <t>Operating Expenses - CAM/Mgmt/etc. (8.00% of EGI)</t>
        </is>
      </c>
      <c r="D101" s="22" t="n">
        <v>12935</v>
      </c>
      <c r="E101" s="6" t="n"/>
    </row>
    <row r="102">
      <c r="A102" s="6" t="inlineStr">
        <is>
          <t>1225 W 64th Ave (R0099649) — income proforma</t>
        </is>
      </c>
      <c r="B102" s="27" t="inlineStr">
        <is>
          <t>Expense</t>
        </is>
      </c>
      <c r="C102" s="6" t="inlineStr">
        <is>
          <t>Reserves (2.00% of EGI)</t>
        </is>
      </c>
      <c r="D102" s="22" t="n">
        <v>3234</v>
      </c>
      <c r="E102" s="6" t="n"/>
    </row>
    <row r="103">
      <c r="A103" s="6" t="inlineStr">
        <is>
          <t>1225 W 64th Ave (R0099649) — income proforma</t>
        </is>
      </c>
      <c r="B103" s="27" t="inlineStr">
        <is>
          <t>Expense</t>
        </is>
      </c>
      <c r="C103" s="6" t="inlineStr">
        <is>
          <t>TOTAL EXPENSE</t>
        </is>
      </c>
      <c r="D103" s="22">
        <f>SUM(D100:D102)</f>
        <v/>
      </c>
      <c r="E103" s="6" t="inlineStr">
        <is>
          <t>Printed total: $24,679.00. EGI $161,690; NOI $145,521; Cap Rate 6.5% -&gt; capitalized bldg value $2,238,785; + Excess Land value $2,298,247 ($3.00/sf) = Total Value $4,537,032; reconciled/requested $4,500,000.</t>
        </is>
      </c>
    </row>
    <row r="104">
      <c r="A104" s="6" t="inlineStr">
        <is>
          <t>1975 Newport St (R0092740) — 2023 survey (owner-side; period as reported)</t>
        </is>
      </c>
      <c r="B104" s="27" t="inlineStr">
        <is>
          <t>Expense</t>
        </is>
      </c>
      <c r="C104" s="6" t="inlineStr">
        <is>
          <t>Building Insurance</t>
        </is>
      </c>
      <c r="D104" s="22" t="n">
        <v>4600</v>
      </c>
      <c r="E104" s="6" t="n"/>
    </row>
    <row r="105">
      <c r="A105" s="6" t="inlineStr">
        <is>
          <t>1975 Newport St (R0092740) — 2023 survey (owner-side; period as reported)</t>
        </is>
      </c>
      <c r="B105" s="27" t="inlineStr">
        <is>
          <t>Expense</t>
        </is>
      </c>
      <c r="C105" s="6" t="inlineStr">
        <is>
          <t>Leasing Commissions</t>
        </is>
      </c>
      <c r="D105" s="22" t="n">
        <v>24748</v>
      </c>
      <c r="E105" s="6" t="inlineStr">
        <is>
          <t>as printed; unusually high for owner-paid column, reproduced as-is</t>
        </is>
      </c>
    </row>
    <row r="106">
      <c r="A106" s="6" t="inlineStr">
        <is>
          <t>1975 Newport St (R0092740) — 2023 survey (owner-side; period as reported)</t>
        </is>
      </c>
      <c r="B106" s="27" t="inlineStr">
        <is>
          <t>Expense</t>
        </is>
      </c>
      <c r="C106" s="6" t="inlineStr">
        <is>
          <t>Utilities</t>
        </is>
      </c>
      <c r="D106" s="22" t="n">
        <v>22336</v>
      </c>
      <c r="E106" s="6" t="n"/>
    </row>
    <row r="107">
      <c r="A107" s="6" t="inlineStr">
        <is>
          <t>1975 Newport St (R0092740) — 2023 survey (owner-side; period as reported)</t>
        </is>
      </c>
      <c r="B107" s="27" t="inlineStr">
        <is>
          <t>Expense</t>
        </is>
      </c>
      <c r="C107" s="6" t="inlineStr">
        <is>
          <t>TOTAL EXPENSE</t>
        </is>
      </c>
      <c r="D107" s="22">
        <f>SUM(D104:D106)</f>
        <v/>
      </c>
      <c r="E107" s="6" t="inlineStr">
        <is>
          <t>Printed total: $51,684.00.</t>
        </is>
      </c>
    </row>
    <row r="108">
      <c r="A108" s="6" t="inlineStr">
        <is>
          <t>7908 Highway 85 (R0077789) — 2023 survey (100% owner-occ.)</t>
        </is>
      </c>
      <c r="B108" s="27" t="inlineStr">
        <is>
          <t>Expense</t>
        </is>
      </c>
      <c r="C108" s="6" t="inlineStr">
        <is>
          <t>Building Insurance</t>
        </is>
      </c>
      <c r="D108" s="22" t="n">
        <v>10572</v>
      </c>
      <c r="E108" s="6" t="n"/>
    </row>
    <row r="109">
      <c r="A109" s="6" t="inlineStr">
        <is>
          <t>7908 Highway 85 (R0077789) — 2023 survey (100% owner-occ.)</t>
        </is>
      </c>
      <c r="B109" s="27" t="inlineStr">
        <is>
          <t>Expense</t>
        </is>
      </c>
      <c r="C109" s="6" t="inlineStr">
        <is>
          <t>Building Repair &amp; Maintenance</t>
        </is>
      </c>
      <c r="D109" s="22" t="n">
        <v>11645</v>
      </c>
      <c r="E109" s="6" t="n"/>
    </row>
    <row r="110">
      <c r="A110" s="6" t="inlineStr">
        <is>
          <t>7908 Highway 85 (R0077789) — 2023 survey (100% owner-occ.)</t>
        </is>
      </c>
      <c r="B110" s="27" t="inlineStr">
        <is>
          <t>Expense</t>
        </is>
      </c>
      <c r="C110" s="6" t="inlineStr">
        <is>
          <t>Ground Maintenance</t>
        </is>
      </c>
      <c r="D110" s="22" t="n">
        <v>4663</v>
      </c>
      <c r="E110" s="6" t="n"/>
    </row>
    <row r="111">
      <c r="A111" s="6" t="inlineStr">
        <is>
          <t>7908 Highway 85 (R0077789) — 2023 survey (100% owner-occ.)</t>
        </is>
      </c>
      <c r="B111" s="27" t="inlineStr">
        <is>
          <t>Expense</t>
        </is>
      </c>
      <c r="C111" s="6" t="inlineStr">
        <is>
          <t>Janitorial Services</t>
        </is>
      </c>
      <c r="D111" s="22" t="n">
        <v>7570</v>
      </c>
      <c r="E111" s="6" t="n"/>
    </row>
    <row r="112">
      <c r="A112" s="6" t="inlineStr">
        <is>
          <t>7908 Highway 85 (R0077789) — 2023 survey (100% owner-occ.)</t>
        </is>
      </c>
      <c r="B112" s="27" t="inlineStr">
        <is>
          <t>Expense</t>
        </is>
      </c>
      <c r="C112" s="6" t="inlineStr">
        <is>
          <t>Snow/Trash Removal</t>
        </is>
      </c>
      <c r="D112" s="22" t="n">
        <v>4800</v>
      </c>
      <c r="E112" s="6" t="n"/>
    </row>
    <row r="113">
      <c r="A113" s="6" t="inlineStr">
        <is>
          <t>7908 Highway 85 (R0077789) — 2023 survey (100% owner-occ.)</t>
        </is>
      </c>
      <c r="B113" s="27" t="inlineStr">
        <is>
          <t>Expense</t>
        </is>
      </c>
      <c r="C113" s="6" t="inlineStr">
        <is>
          <t>Utilities</t>
        </is>
      </c>
      <c r="D113" s="22" t="n">
        <v>16900</v>
      </c>
      <c r="E113" s="6" t="n"/>
    </row>
    <row r="114">
      <c r="A114" s="6" t="inlineStr">
        <is>
          <t>7908 Highway 85 (R0077789) — 2023 survey (100% owner-occ.)</t>
        </is>
      </c>
      <c r="B114" s="27" t="inlineStr">
        <is>
          <t>Expense</t>
        </is>
      </c>
      <c r="C114" s="6" t="inlineStr">
        <is>
          <t>TOTAL EXPENSE</t>
        </is>
      </c>
      <c r="D114" s="22">
        <f>SUM(D108:D113)</f>
        <v/>
      </c>
      <c r="E114" s="6" t="inlineStr">
        <is>
          <t>Printed total: $56,150.00.</t>
        </is>
      </c>
    </row>
    <row r="115">
      <c r="A115" s="6" t="inlineStr">
        <is>
          <t>R0037193 (Baizer Properties LLC) — 2023 survey (owner-side)</t>
        </is>
      </c>
      <c r="B115" s="25" t="inlineStr">
        <is>
          <t>Income</t>
        </is>
      </c>
      <c r="C115" s="6" t="inlineStr">
        <is>
          <t>Scheduled/Actual Rent (NNN, 100% leased)</t>
        </is>
      </c>
      <c r="D115" s="22" t="n">
        <v>319664.4</v>
      </c>
      <c r="E115" s="6" t="n"/>
    </row>
    <row r="116">
      <c r="A116" s="6" t="inlineStr">
        <is>
          <t>R0037193 (Baizer Properties LLC) — 2023 survey (owner-side)</t>
        </is>
      </c>
      <c r="B116" s="25" t="inlineStr">
        <is>
          <t>Income</t>
        </is>
      </c>
      <c r="C116" s="6" t="inlineStr">
        <is>
          <t>TOTAL INCOME</t>
        </is>
      </c>
      <c r="D116" s="22">
        <f>SUM(D115:D115)</f>
        <v/>
      </c>
      <c r="E116" s="6" t="inlineStr">
        <is>
          <t>Printed total: $319,664.40.</t>
        </is>
      </c>
    </row>
    <row r="117">
      <c r="A117" s="6" t="inlineStr">
        <is>
          <t>R0037193 (Baizer Properties LLC) — 2023 survey (owner-side)</t>
        </is>
      </c>
      <c r="B117" s="27" t="inlineStr">
        <is>
          <t>Expense</t>
        </is>
      </c>
      <c r="C117" s="6" t="inlineStr">
        <is>
          <t>Building Insurance</t>
        </is>
      </c>
      <c r="D117" s="22" t="n">
        <v>5176.3</v>
      </c>
      <c r="E117" s="6" t="n"/>
    </row>
    <row r="118">
      <c r="A118" s="6" t="inlineStr">
        <is>
          <t>R0037193 (Baizer Properties LLC) — 2023 survey (owner-side)</t>
        </is>
      </c>
      <c r="B118" s="27" t="inlineStr">
        <is>
          <t>Expense</t>
        </is>
      </c>
      <c r="C118" s="6" t="inlineStr">
        <is>
          <t>TOTAL EXPENSE</t>
        </is>
      </c>
      <c r="D118" s="22">
        <f>SUM(D117:D117)</f>
        <v/>
      </c>
      <c r="E118" s="6" t="inlineStr">
        <is>
          <t>Printed total: $5,176.30. NNN lease; tenant pays other operating items directly (amounts not reported to owner).</t>
        </is>
      </c>
    </row>
    <row r="119">
      <c r="A119" s="6" t="inlineStr">
        <is>
          <t>11450 Huron St (R0030089) — 2021</t>
        </is>
      </c>
      <c r="B119" s="27" t="inlineStr">
        <is>
          <t>Expense</t>
        </is>
      </c>
      <c r="C119" s="6" t="inlineStr">
        <is>
          <t>Management Fee (owner)</t>
        </is>
      </c>
      <c r="D119" s="22" t="n">
        <v>16800</v>
      </c>
      <c r="E119" s="6" t="n"/>
    </row>
    <row r="120">
      <c r="A120" s="6" t="inlineStr">
        <is>
          <t>11450 Huron St (R0030089) — 2021</t>
        </is>
      </c>
      <c r="B120" s="27" t="inlineStr">
        <is>
          <t>Expense</t>
        </is>
      </c>
      <c r="C120" s="6" t="inlineStr">
        <is>
          <t>Real Estate Taxes (recoverable)</t>
        </is>
      </c>
      <c r="D120" s="22" t="n">
        <v>106368</v>
      </c>
      <c r="E120" s="6" t="n"/>
    </row>
    <row r="121">
      <c r="A121" s="6" t="inlineStr">
        <is>
          <t>11450 Huron St (R0030089) — 2021</t>
        </is>
      </c>
      <c r="B121" s="27" t="inlineStr">
        <is>
          <t>Expense</t>
        </is>
      </c>
      <c r="C121" s="6" t="inlineStr">
        <is>
          <t>Trash Pickup Contract</t>
        </is>
      </c>
      <c r="D121" s="22" t="n">
        <v>3762</v>
      </c>
      <c r="E121" s="6" t="n"/>
    </row>
    <row r="122">
      <c r="A122" s="6" t="inlineStr">
        <is>
          <t>11450 Huron St (R0030089) — 2021</t>
        </is>
      </c>
      <c r="B122" s="27" t="inlineStr">
        <is>
          <t>Expense</t>
        </is>
      </c>
      <c r="C122" s="6" t="inlineStr">
        <is>
          <t>Owner Accounting Fee</t>
        </is>
      </c>
      <c r="D122" s="22" t="n">
        <v>1650</v>
      </c>
      <c r="E122" s="6" t="n"/>
    </row>
    <row r="123">
      <c r="A123" s="6" t="inlineStr">
        <is>
          <t>11450 Huron St (R0030089) — 2021</t>
        </is>
      </c>
      <c r="B123" s="27" t="inlineStr">
        <is>
          <t>Expense</t>
        </is>
      </c>
      <c r="C123" s="6" t="inlineStr">
        <is>
          <t>Owner Amortization Expense</t>
        </is>
      </c>
      <c r="D123" s="22" t="n">
        <v>2963</v>
      </c>
      <c r="E123" s="6" t="n"/>
    </row>
    <row r="124">
      <c r="A124" s="6" t="inlineStr">
        <is>
          <t>11450 Huron St (R0030089) — 2021</t>
        </is>
      </c>
      <c r="B124" s="27" t="inlineStr">
        <is>
          <t>Expense</t>
        </is>
      </c>
      <c r="C124" s="6" t="inlineStr">
        <is>
          <t>Owner Depreciation Expense</t>
        </is>
      </c>
      <c r="D124" s="22" t="n">
        <v>16511</v>
      </c>
      <c r="E124" s="6" t="n"/>
    </row>
    <row r="125">
      <c r="A125" s="6" t="inlineStr">
        <is>
          <t>11450 Huron St (R0030089) — 2021</t>
        </is>
      </c>
      <c r="B125" s="27" t="inlineStr">
        <is>
          <t>Expense</t>
        </is>
      </c>
      <c r="C125" s="6" t="inlineStr">
        <is>
          <t>Owner Legal Fees</t>
        </is>
      </c>
      <c r="D125" s="22" t="n">
        <v>8379</v>
      </c>
      <c r="E125" s="6" t="n"/>
    </row>
    <row r="126">
      <c r="A126" s="6" t="inlineStr">
        <is>
          <t>11450 Huron St (R0030089) — 2021</t>
        </is>
      </c>
      <c r="B126" s="27" t="inlineStr">
        <is>
          <t>Expense</t>
        </is>
      </c>
      <c r="C126" s="6" t="inlineStr">
        <is>
          <t>Owner Miscellaneous Admin.</t>
        </is>
      </c>
      <c r="D126" s="22" t="n">
        <v>1120</v>
      </c>
      <c r="E126" s="6" t="n"/>
    </row>
    <row r="127">
      <c r="A127" s="6" t="inlineStr">
        <is>
          <t>11450 Huron St (R0030089) — 2021</t>
        </is>
      </c>
      <c r="B127" s="27" t="inlineStr">
        <is>
          <t>Expense</t>
        </is>
      </c>
      <c r="C127" s="6" t="inlineStr">
        <is>
          <t>Owner Quarterly Estimated Tax</t>
        </is>
      </c>
      <c r="D127" s="22" t="n">
        <v>3600</v>
      </c>
      <c r="E127" s="6" t="n"/>
    </row>
    <row r="128">
      <c r="A128" s="6" t="inlineStr">
        <is>
          <t>11450 Huron St (R0030089) — 2021</t>
        </is>
      </c>
      <c r="B128" s="27" t="inlineStr">
        <is>
          <t>Expense</t>
        </is>
      </c>
      <c r="C128" s="6" t="inlineStr">
        <is>
          <t>Owner Real Estate Taxes</t>
        </is>
      </c>
      <c r="D128" s="22" t="n">
        <v>6520</v>
      </c>
      <c r="E128" s="6" t="n"/>
    </row>
    <row r="129">
      <c r="A129" s="6" t="inlineStr">
        <is>
          <t>11450 Huron St (R0030089) — 2021</t>
        </is>
      </c>
      <c r="B129" s="27" t="inlineStr">
        <is>
          <t>Expense</t>
        </is>
      </c>
      <c r="C129" s="6" t="inlineStr">
        <is>
          <t>Capital Expenditures - Lease Commissions</t>
        </is>
      </c>
      <c r="D129" s="22" t="n">
        <v>6668</v>
      </c>
      <c r="E129" s="6" t="n"/>
    </row>
    <row r="130">
      <c r="A130" s="6" t="inlineStr">
        <is>
          <t>11450 Huron St (R0030089) — 2021</t>
        </is>
      </c>
      <c r="B130" s="27" t="inlineStr">
        <is>
          <t>Expense</t>
        </is>
      </c>
      <c r="C130" s="6" t="inlineStr">
        <is>
          <t>Other / not individually legible in OCR</t>
        </is>
      </c>
      <c r="D130" s="22" t="n">
        <v>45197</v>
      </c>
      <c r="E130" s="6" t="inlineStr">
        <is>
          <t>Balancing figure: printed Total Expenses $219,538 (PSF $7.13) less legible itemized lines above (dense financial grid; some line items illegible).</t>
        </is>
      </c>
    </row>
    <row r="131">
      <c r="A131" s="6" t="inlineStr">
        <is>
          <t>11450 Huron St (R0030089) — 2021</t>
        </is>
      </c>
      <c r="B131" s="27" t="inlineStr">
        <is>
          <t>Expense</t>
        </is>
      </c>
      <c r="C131" s="6" t="inlineStr">
        <is>
          <t>TOTAL EXPENSE</t>
        </is>
      </c>
      <c r="D131" s="22">
        <f>SUM(D119:D130)</f>
        <v/>
      </c>
      <c r="E131" s="6" t="inlineStr">
        <is>
          <t>Printed total: $219,538.00.</t>
        </is>
      </c>
    </row>
    <row r="132">
      <c r="A132" s="6" t="inlineStr">
        <is>
          <t>11450 Huron St (R0030089) — 2022</t>
        </is>
      </c>
      <c r="B132" s="27" t="inlineStr">
        <is>
          <t>Expense</t>
        </is>
      </c>
      <c r="C132" s="6" t="inlineStr">
        <is>
          <t>Management Fee (owner)</t>
        </is>
      </c>
      <c r="D132" s="22" t="n">
        <v>16800</v>
      </c>
      <c r="E132" s="6" t="n"/>
    </row>
    <row r="133">
      <c r="A133" s="6" t="inlineStr">
        <is>
          <t>11450 Huron St (R0030089) — 2022</t>
        </is>
      </c>
      <c r="B133" s="27" t="inlineStr">
        <is>
          <t>Expense</t>
        </is>
      </c>
      <c r="C133" s="6" t="inlineStr">
        <is>
          <t>Real Estate Taxes (recoverable)</t>
        </is>
      </c>
      <c r="D133" s="22" t="n">
        <v>106007</v>
      </c>
      <c r="E133" s="6" t="n"/>
    </row>
    <row r="134">
      <c r="A134" s="6" t="inlineStr">
        <is>
          <t>11450 Huron St (R0030089) — 2022</t>
        </is>
      </c>
      <c r="B134" s="27" t="inlineStr">
        <is>
          <t>Expense</t>
        </is>
      </c>
      <c r="C134" s="6" t="inlineStr">
        <is>
          <t>Trash Pickup Contract</t>
        </is>
      </c>
      <c r="D134" s="22" t="n">
        <v>8309</v>
      </c>
      <c r="E134" s="6" t="n"/>
    </row>
    <row r="135">
      <c r="A135" s="6" t="inlineStr">
        <is>
          <t>11450 Huron St (R0030089) — 2022</t>
        </is>
      </c>
      <c r="B135" s="27" t="inlineStr">
        <is>
          <t>Expense</t>
        </is>
      </c>
      <c r="C135" s="6" t="inlineStr">
        <is>
          <t>Owner Real Estate Taxes</t>
        </is>
      </c>
      <c r="D135" s="22" t="n">
        <v>6900</v>
      </c>
      <c r="E135" s="6" t="n"/>
    </row>
    <row r="136">
      <c r="A136" s="6" t="inlineStr">
        <is>
          <t>11450 Huron St (R0030089) — 2022</t>
        </is>
      </c>
      <c r="B136" s="27" t="inlineStr">
        <is>
          <t>Expense</t>
        </is>
      </c>
      <c r="C136" s="6" t="inlineStr">
        <is>
          <t>Capital Expenditures / General Building</t>
        </is>
      </c>
      <c r="D136" s="22" t="n">
        <v>22340</v>
      </c>
      <c r="E136" s="6" t="n"/>
    </row>
    <row r="137">
      <c r="A137" s="6" t="inlineStr">
        <is>
          <t>11450 Huron St (R0030089) — 2022</t>
        </is>
      </c>
      <c r="B137" s="27" t="inlineStr">
        <is>
          <t>Expense</t>
        </is>
      </c>
      <c r="C137" s="6" t="inlineStr">
        <is>
          <t>Other / not individually legible in OCR</t>
        </is>
      </c>
      <c r="D137" s="22" t="n">
        <v>87277</v>
      </c>
      <c r="E137" s="6" t="inlineStr">
        <is>
          <t>Balancing figure: printed Total Expenses $247,633 (PSF $8.04) less legible itemized lines above (dense financial grid; some line items illegible).</t>
        </is>
      </c>
    </row>
    <row r="138">
      <c r="A138" s="6" t="inlineStr">
        <is>
          <t>11450 Huron St (R0030089) — 2022</t>
        </is>
      </c>
      <c r="B138" s="27" t="inlineStr">
        <is>
          <t>Expense</t>
        </is>
      </c>
      <c r="C138" s="6" t="inlineStr">
        <is>
          <t>TOTAL EXPENSE</t>
        </is>
      </c>
      <c r="D138" s="22">
        <f>SUM(D132:D137)</f>
        <v/>
      </c>
      <c r="E138" s="6" t="inlineStr">
        <is>
          <t>Printed total: $247,633.00.</t>
        </is>
      </c>
    </row>
    <row r="139">
      <c r="A139" s="6" t="inlineStr">
        <is>
          <t>490 Huron St (R0030085) — 2023-24 survey (100% owner-occ.)</t>
        </is>
      </c>
      <c r="B139" s="27" t="inlineStr">
        <is>
          <t>Expense</t>
        </is>
      </c>
      <c r="C139" s="6" t="inlineStr">
        <is>
          <t>Building Repair &amp; Maintenance</t>
        </is>
      </c>
      <c r="D139" s="22" t="n">
        <v>43573.1</v>
      </c>
      <c r="E139" s="6" t="n"/>
    </row>
    <row r="140">
      <c r="A140" s="6" t="inlineStr">
        <is>
          <t>490 Huron St (R0030085) — 2023-24 survey (100% owner-occ.)</t>
        </is>
      </c>
      <c r="B140" s="27" t="inlineStr">
        <is>
          <t>Expense</t>
        </is>
      </c>
      <c r="C140" s="6" t="inlineStr">
        <is>
          <t>Ground Maintenance</t>
        </is>
      </c>
      <c r="D140" s="22" t="n">
        <v>3391.8</v>
      </c>
      <c r="E140" s="6" t="n"/>
    </row>
    <row r="141">
      <c r="A141" s="6" t="inlineStr">
        <is>
          <t>490 Huron St (R0030085) — 2023-24 survey (100% owner-occ.)</t>
        </is>
      </c>
      <c r="B141" s="27" t="inlineStr">
        <is>
          <t>Expense</t>
        </is>
      </c>
      <c r="C141" s="6" t="inlineStr">
        <is>
          <t>Janitorial Services</t>
        </is>
      </c>
      <c r="D141" s="22" t="n">
        <v>12393.31</v>
      </c>
      <c r="E141" s="6" t="n"/>
    </row>
    <row r="142">
      <c r="A142" s="6" t="inlineStr">
        <is>
          <t>490 Huron St (R0030085) — 2023-24 survey (100% owner-occ.)</t>
        </is>
      </c>
      <c r="B142" s="27" t="inlineStr">
        <is>
          <t>Expense</t>
        </is>
      </c>
      <c r="C142" s="6" t="inlineStr">
        <is>
          <t>Snow/Trash Removal</t>
        </is>
      </c>
      <c r="D142" s="22" t="n">
        <v>5176.83</v>
      </c>
      <c r="E142" s="6" t="n"/>
    </row>
    <row r="143">
      <c r="A143" s="6" t="inlineStr">
        <is>
          <t>490 Huron St (R0030085) — 2023-24 survey (100% owner-occ.)</t>
        </is>
      </c>
      <c r="B143" s="27" t="inlineStr">
        <is>
          <t>Expense</t>
        </is>
      </c>
      <c r="C143" s="6" t="inlineStr">
        <is>
          <t>TOTAL EXPENSE</t>
        </is>
      </c>
      <c r="D143" s="22">
        <f>SUM(D139:D142)</f>
        <v/>
      </c>
      <c r="E143" s="6" t="inlineStr">
        <is>
          <t>Printed total: $64,535.04. Building Insurance noted as "included in total" (not broken out separately).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9">
      <c r="A9" s="6" t="inlineStr">
        <is>
          <t>Digby Family LLLP</t>
        </is>
      </c>
      <c r="B9" s="5" t="inlineStr">
        <is>
          <t>R0099649</t>
        </is>
      </c>
      <c r="C9" s="6" t="inlineStr">
        <is>
          <t>1225 W 64th Ave</t>
        </is>
      </c>
      <c r="D9" s="5" t="inlineStr">
        <is>
          <t>Adams County</t>
        </is>
      </c>
      <c r="E9" s="5" t="inlineStr">
        <is>
          <t>CO</t>
        </is>
      </c>
    </row>
    <row r="10" ht="28" customHeight="1">
      <c r="A10" s="6" t="inlineStr">
        <is>
          <t>Digby Family LLLP</t>
        </is>
      </c>
      <c r="B10" s="5" t="inlineStr">
        <is>
          <t>R0153542</t>
        </is>
      </c>
      <c r="C10" s="6" t="inlineStr">
        <is>
          <t>1400 W 64th Ave</t>
        </is>
      </c>
      <c r="D10" s="5" t="inlineStr">
        <is>
          <t>Adams County</t>
        </is>
      </c>
      <c r="E10" s="5" t="inlineStr">
        <is>
          <t>CO</t>
        </is>
      </c>
    </row>
    <row r="11">
      <c r="A11" s="6" t="inlineStr">
        <is>
          <t>Wallace Associates, Inc.</t>
        </is>
      </c>
      <c r="B11" s="5" t="inlineStr">
        <is>
          <t>R0030088</t>
        </is>
      </c>
      <c r="C11" s="6" t="inlineStr">
        <is>
          <t>11450 Huron St (not in 325 folder)</t>
        </is>
      </c>
      <c r="D11" s="5" t="inlineStr">
        <is>
          <t>Adams County</t>
        </is>
      </c>
      <c r="E11" s="5" t="inlineStr">
        <is>
          <t>CO</t>
        </is>
      </c>
    </row>
    <row r="12">
      <c r="A12" s="6" t="inlineStr">
        <is>
          <t>Wallace Associates, Inc.</t>
        </is>
      </c>
      <c r="B12" s="5" t="inlineStr">
        <is>
          <t>R0030089</t>
        </is>
      </c>
      <c r="C12" s="6" t="inlineStr">
        <is>
          <t>11450 Huron St</t>
        </is>
      </c>
      <c r="D12" s="5" t="inlineStr">
        <is>
          <t>Adams County</t>
        </is>
      </c>
      <c r="E12" s="5" t="inlineStr">
        <is>
          <t>CO</t>
        </is>
      </c>
    </row>
    <row r="14">
      <c r="A14" s="6" t="inlineStr">
        <is>
          <t>Highlighted row (R0178308 / 7205 Gilpin Way) is the primary appeal subject; the other three parcels are co-listed on the same authorization schedule. Appeal owner of record: Center Land Properties (signed by Ken R. Lombardi, Manager). Digby Family LLLP: both parcels covered by the same Stevens &amp; Associates agency agreement / abatement petition (Exhibit A); only R0099649 (1225 W 64th Ave) has a source document in the 325 folder. Wallace Associates: R0030088 and R0030089 (11450 Huron St) are protested together in the same 1st Net Real Estate Services letter; only R0030089 has a source document in this folder. R0030085 (Peerless Tyre, 490 Huron St) shares the 1719-03-0-05-xxx schedule-number series with R0030088/89, suggesting the same Huron St. complex, but this is not confirmed from a plat or ownership record.</t>
        </is>
      </c>
      <c r="B14" s="20" t="n"/>
      <c r="C14" s="20" t="n"/>
      <c r="D14" s="20" t="n"/>
      <c r="E14" s="21" t="n"/>
    </row>
  </sheetData>
  <mergeCells count="3">
    <mergeCell ref="A2:E2"/>
    <mergeCell ref="A1:E1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2026-08-18T18:03:23Z</dcterms:modified>
</cp:coreProperties>
</file>