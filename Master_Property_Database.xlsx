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Documents" sheetId="1" state="visible" r:id="rId1"/>
    <sheet name="Property Master" sheetId="2" state="visible" r:id="rId2"/>
    <sheet name="Tenants &amp; Leases" sheetId="3" state="visible" r:id="rId3"/>
    <sheet name="Assessments &amp; Valuation" sheetId="4" state="visible" r:id="rId4"/>
    <sheet name="Income-Expense Summary" sheetId="5" state="visible" r:id="rId5"/>
    <sheet name="Income-Expense Detail" sheetId="6" state="visible" r:id="rId6"/>
    <sheet name="Related Parcels" sheetId="7" state="visible" r:id="rId7"/>
  </sheets>
  <definedNames/>
  <calcPr calcId="124519" fullCalcOnLoad="1"/>
</workbook>
</file>

<file path=xl/styles.xml><?xml version="1.0" encoding="utf-8"?>
<styleSheet xmlns="http://schemas.openxmlformats.org/spreadsheetml/2006/main">
  <numFmts count="8">
    <numFmt numFmtId="164" formatCode="#,##0.###"/>
    <numFmt numFmtId="165" formatCode="$#,##0;($#,##0);-"/>
    <numFmt numFmtId="166" formatCode="$#,##0.00"/>
    <numFmt numFmtId="167" formatCode="$#,##0.00;($#,##0.00);-"/>
    <numFmt numFmtId="168" formatCode="&quot;$&quot;#,##0"/>
    <numFmt numFmtId="169" formatCode="&quot;$&quot;#,##0.00"/>
    <numFmt numFmtId="170" formatCode="0.000"/>
    <numFmt numFmtId="171" formatCode="0.000%"/>
  </numFmts>
  <fonts count="9">
    <font>
      <name val="Calibri"/>
      <family val="2"/>
      <color theme="1"/>
      <sz val="11"/>
      <scheme val="minor"/>
    </font>
    <font>
      <name val="Arial"/>
      <b val="1"/>
      <color rgb="00FFFFFF"/>
      <sz val="14"/>
    </font>
    <font>
      <name val="Arial"/>
      <i val="1"/>
      <color rgb="00FFFFFF"/>
      <sz val="9"/>
    </font>
    <font>
      <name val="Arial"/>
      <b val="1"/>
      <sz val="11"/>
    </font>
    <font>
      <name val="Arial"/>
      <b val="1"/>
      <color rgb="00FFFFFF"/>
      <sz val="10"/>
    </font>
    <font>
      <name val="Arial"/>
      <sz val="10"/>
    </font>
    <font>
      <name val="Arial"/>
      <i val="1"/>
      <color rgb="00808080"/>
      <sz val="8"/>
    </font>
    <font>
      <name val="Arial"/>
      <b val="1"/>
      <sz val="10"/>
    </font>
    <font>
      <name val="Arial"/>
      <b val="1"/>
      <i val="1"/>
      <sz val="10"/>
    </font>
  </fonts>
  <fills count="8">
    <fill>
      <patternFill/>
    </fill>
    <fill>
      <patternFill patternType="gray125"/>
    </fill>
    <fill>
      <patternFill patternType="solid">
        <fgColor rgb="001F3864"/>
      </patternFill>
    </fill>
    <fill>
      <patternFill patternType="solid">
        <fgColor rgb="002E5496"/>
      </patternFill>
    </fill>
    <fill>
      <patternFill patternType="solid">
        <fgColor rgb="00D6E0F0"/>
      </patternFill>
    </fill>
    <fill>
      <patternFill patternType="solid">
        <fgColor rgb="00E2EFDA"/>
      </patternFill>
    </fill>
    <fill>
      <patternFill patternType="solid">
        <fgColor rgb="00DDEBF7"/>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applyAlignment="1" pivotButton="0" quotePrefix="0" xfId="0">
      <alignment horizontal="left" vertical="center" wrapText="1"/>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7" fillId="4" borderId="1" applyAlignment="1" pivotButton="0" quotePrefix="0" xfId="0">
      <alignment horizontal="left" vertical="center" wrapText="1"/>
    </xf>
    <xf numFmtId="0" fontId="7" fillId="0" borderId="1" applyAlignment="1" pivotButton="0" quotePrefix="0" xfId="0">
      <alignment horizontal="left" vertical="center" wrapText="1"/>
    </xf>
    <xf numFmtId="0" fontId="7" fillId="5" borderId="1" applyAlignment="1" pivotButton="0" quotePrefix="0" xfId="0">
      <alignment horizontal="left" vertical="center" wrapText="1"/>
    </xf>
    <xf numFmtId="0" fontId="5" fillId="5" borderId="1" applyAlignment="1" pivotButton="0" quotePrefix="0" xfId="0">
      <alignment horizontal="left" vertical="center" wrapText="1"/>
    </xf>
    <xf numFmtId="165" fontId="7" fillId="5" borderId="1" applyAlignment="1" pivotButton="0" quotePrefix="0" xfId="0">
      <alignment horizontal="right" vertical="center"/>
    </xf>
    <xf numFmtId="0" fontId="6" fillId="5" borderId="1" applyAlignment="1" pivotButton="0" quotePrefix="0" xfId="0">
      <alignment horizontal="left" vertical="center" wrapText="1"/>
    </xf>
    <xf numFmtId="166" fontId="5" fillId="0" borderId="1" applyAlignment="1" pivotButton="0" quotePrefix="0" xfId="0">
      <alignment horizontal="right" vertical="center"/>
    </xf>
    <xf numFmtId="0" fontId="7" fillId="4" borderId="1" pivotButton="0" quotePrefix="0" xfId="0"/>
    <xf numFmtId="0" fontId="6" fillId="0" borderId="1" applyAlignment="1" pivotButton="0" quotePrefix="0" xfId="0">
      <alignment horizontal="left" vertical="center" wrapText="1"/>
    </xf>
    <xf numFmtId="10" fontId="5" fillId="0" borderId="1" applyAlignment="1" pivotButton="0" quotePrefix="0" xfId="0">
      <alignment horizontal="center" vertical="center" wrapText="1"/>
    </xf>
    <xf numFmtId="0" fontId="0" fillId="0" borderId="4" pivotButton="0" quotePrefix="0" xfId="0"/>
    <xf numFmtId="0" fontId="0" fillId="0" borderId="5" pivotButton="0" quotePrefix="0" xfId="0"/>
    <xf numFmtId="167" fontId="5" fillId="0" borderId="1" applyAlignment="1" pivotButton="0" quotePrefix="0" xfId="0">
      <alignment horizontal="right" vertical="center"/>
    </xf>
    <xf numFmtId="167" fontId="7" fillId="5" borderId="1" applyAlignment="1" pivotButton="0" quotePrefix="0" xfId="0">
      <alignment horizontal="right" vertical="center"/>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7" fillId="7" borderId="1" applyAlignment="1" pivotButton="0" quotePrefix="0" xfId="0">
      <alignment horizontal="center" vertical="center" wrapText="1"/>
    </xf>
    <xf numFmtId="3" fontId="5" fillId="0" borderId="1" applyAlignment="1" pivotButton="0" quotePrefix="0" xfId="0">
      <alignment horizontal="right" vertical="center"/>
    </xf>
    <xf numFmtId="3" fontId="7" fillId="5" borderId="1" applyAlignment="1" pivotButton="0" quotePrefix="0" xfId="0">
      <alignment horizontal="right" vertical="center"/>
    </xf>
    <xf numFmtId="166" fontId="7" fillId="5" borderId="1" applyAlignment="1" pivotButton="0" quotePrefix="0" xfId="0">
      <alignment horizontal="right" vertical="center"/>
    </xf>
    <xf numFmtId="0" fontId="5" fillId="0" borderId="1" applyAlignment="1" pivotButton="0" quotePrefix="0" xfId="0">
      <alignment vertical="top" wrapText="1"/>
    </xf>
    <xf numFmtId="2" fontId="5" fillId="0" borderId="1" applyAlignment="1" pivotButton="0" quotePrefix="0" xfId="0">
      <alignment vertical="top" wrapText="1"/>
    </xf>
    <xf numFmtId="3" fontId="5" fillId="0" borderId="1" applyAlignment="1" pivotButton="0" quotePrefix="0" xfId="0">
      <alignment vertical="top" wrapText="1"/>
    </xf>
    <xf numFmtId="1" fontId="5" fillId="0" borderId="1" applyAlignment="1" pivotButton="0" quotePrefix="0" xfId="0">
      <alignment vertical="top" wrapText="1"/>
    </xf>
    <xf numFmtId="168" fontId="5" fillId="0" borderId="1" applyAlignment="1" pivotButton="0" quotePrefix="0" xfId="0">
      <alignment vertical="top" wrapText="1"/>
    </xf>
    <xf numFmtId="169" fontId="5" fillId="0" borderId="1" applyAlignment="1" pivotButton="0" quotePrefix="0" xfId="0">
      <alignment vertical="top" wrapText="1"/>
    </xf>
    <xf numFmtId="168" fontId="7" fillId="5" borderId="1" applyAlignment="1" pivotButton="0" quotePrefix="0" xfId="0">
      <alignment vertical="top" wrapText="1"/>
    </xf>
    <xf numFmtId="10" fontId="5" fillId="0" borderId="1" applyAlignment="1" pivotButton="0" quotePrefix="0" xfId="0">
      <alignment vertical="top" wrapText="1"/>
    </xf>
    <xf numFmtId="0" fontId="7" fillId="0" borderId="1" applyAlignment="1" pivotButton="0" quotePrefix="0" xfId="0">
      <alignment vertical="top" wrapText="1"/>
    </xf>
    <xf numFmtId="169" fontId="7" fillId="5" borderId="1" applyAlignment="1" pivotButton="0" quotePrefix="0" xfId="0">
      <alignment vertical="top" wrapText="1"/>
    </xf>
    <xf numFmtId="0" fontId="5" fillId="6" borderId="1" applyAlignment="1" pivotButton="0" quotePrefix="0" xfId="0">
      <alignment vertical="top" wrapText="1"/>
    </xf>
    <xf numFmtId="169" fontId="7" fillId="0" borderId="1" applyAlignment="1" pivotButton="0" quotePrefix="0" xfId="0">
      <alignment vertical="top" wrapText="1"/>
    </xf>
    <xf numFmtId="0" fontId="8" fillId="0" borderId="0" pivotButton="0" quotePrefix="0" xfId="0"/>
    <xf numFmtId="170" fontId="5" fillId="0" borderId="1" applyAlignment="1" pivotButton="0" quotePrefix="0" xfId="0">
      <alignment vertical="top" wrapText="1"/>
    </xf>
    <xf numFmtId="171"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8"/>
  <sheetViews>
    <sheetView workbookViewId="0">
      <pane ySplit="5" topLeftCell="A6" activePane="bottomLeft" state="frozen"/>
      <selection pane="bottomLeft" activeCell="A1" sqref="A1"/>
    </sheetView>
  </sheetViews>
  <sheetFormatPr baseColWidth="8" defaultRowHeight="15"/>
  <cols>
    <col width="4" customWidth="1" min="1" max="1"/>
    <col width="40" customWidth="1" min="2" max="2"/>
    <col width="42" customWidth="1" min="3" max="3"/>
    <col width="34" customWidth="1" min="4" max="4"/>
    <col width="20" customWidth="1" min="5" max="5"/>
    <col width="34" customWidth="1" min="6" max="6"/>
  </cols>
  <sheetData>
    <row r="1" ht="26" customHeight="1">
      <c r="A1" s="1" t="inlineStr">
        <is>
          <t>MASTER PROPERTY DATABASE  —  Lease &amp; Income/Expense Extract</t>
        </is>
      </c>
    </row>
    <row r="2" ht="14" customHeight="1">
      <c r="A2" s="2" t="inlineStr">
        <is>
          <t>Prepared for Carter Equities  |  Updated 2026-07-30  |  8 subject properties, all Adams County, Colorado</t>
        </is>
      </c>
    </row>
    <row r="4">
      <c r="A4" s="3" t="inlineStr">
        <is>
          <t>Source Documents Index</t>
        </is>
      </c>
    </row>
    <row r="5" ht="30" customHeight="1">
      <c r="A5" s="4" t="inlineStr">
        <is>
          <t>#</t>
        </is>
      </c>
      <c r="B5" s="4" t="inlineStr">
        <is>
          <t>Source File</t>
        </is>
      </c>
      <c r="C5" s="4" t="inlineStr">
        <is>
          <t>Document Type</t>
        </is>
      </c>
      <c r="D5" s="4" t="inlineStr">
        <is>
          <t>Subject / Property</t>
        </is>
      </c>
      <c r="E5" s="4" t="inlineStr">
        <is>
          <t>Period / Year</t>
        </is>
      </c>
      <c r="F5" s="4" t="inlineStr">
        <is>
          <t>Preparer / Source</t>
        </is>
      </c>
    </row>
    <row r="6">
      <c r="A6" s="5" t="n">
        <v>1</v>
      </c>
      <c r="B6" s="6" t="inlineStr">
        <is>
          <t>R0169133.pdf</t>
        </is>
      </c>
      <c r="C6" s="6" t="inlineStr">
        <is>
          <t>Tax appeal — income approach</t>
        </is>
      </c>
      <c r="D6" s="6" t="inlineStr">
        <is>
          <t>17608 E. 24th Drive, Aurora</t>
        </is>
      </c>
      <c r="E6" s="5" t="inlineStr">
        <is>
          <t>Assess. Yr 2025</t>
        </is>
      </c>
      <c r="F6" s="6" t="inlineStr">
        <is>
          <t>Ryan LLC (J. Hoffman) / CoStar</t>
        </is>
      </c>
    </row>
    <row r="7">
      <c r="A7" s="5" t="n">
        <v>2</v>
      </c>
      <c r="B7" s="6" t="inlineStr">
        <is>
          <t>R0178308.pdf</t>
        </is>
      </c>
      <c r="C7" s="6" t="inlineStr">
        <is>
          <t>Tax appeal — income approach + auth letter</t>
        </is>
      </c>
      <c r="D7" s="6" t="inlineStr">
        <is>
          <t>7205 Gilpin Way, Denver</t>
        </is>
      </c>
      <c r="E7" s="5" t="inlineStr">
        <is>
          <t>Assess. Yr 2025</t>
        </is>
      </c>
      <c r="F7" s="6" t="inlineStr">
        <is>
          <t>Ryan LLC (B. Mecom)</t>
        </is>
      </c>
    </row>
    <row r="8">
      <c r="A8" s="5" t="n">
        <v>3</v>
      </c>
      <c r="B8" s="6" t="inlineStr">
        <is>
          <t>R0103792.pdf</t>
        </is>
      </c>
      <c r="C8" s="6" t="inlineStr">
        <is>
          <t>County Commercial-Industrial Income &amp; Expense Survey</t>
        </is>
      </c>
      <c r="D8" s="6" t="inlineStr">
        <is>
          <t>2011 E 58th Ave (TempTee), Denver</t>
        </is>
      </c>
      <c r="E8" s="5" t="inlineStr">
        <is>
          <t>2023-2024</t>
        </is>
      </c>
      <c r="F8" s="6" t="inlineStr">
        <is>
          <t>Adams County Assessor / Owner</t>
        </is>
      </c>
    </row>
    <row r="9">
      <c r="A9" s="5" t="n">
        <v>4</v>
      </c>
      <c r="B9" s="6" t="inlineStr">
        <is>
          <t>5970_Marion_Drive_2024_PL_Detail.pdf / .xlsx</t>
        </is>
      </c>
      <c r="C9" s="6" t="inlineStr">
        <is>
          <t>Income statement detail (+ income-approach block in xlsx)</t>
        </is>
      </c>
      <c r="D9" s="6" t="inlineStr">
        <is>
          <t>5970 Marion Drive, Denver</t>
        </is>
      </c>
      <c r="E9" s="5" t="inlineStr">
        <is>
          <t>FY2024</t>
        </is>
      </c>
      <c r="F9" s="6" t="inlineStr">
        <is>
          <t>Deerwoods Management LLC</t>
        </is>
      </c>
    </row>
    <row r="10">
      <c r="A10" s="5" t="n">
        <v>5</v>
      </c>
      <c r="B10" s="6" t="inlineStr">
        <is>
          <t>5970_Marion_Drive_2023_Cash_Flow_Statement.pdf</t>
        </is>
      </c>
      <c r="C10" s="6" t="inlineStr">
        <is>
          <t>Cash flow statement (cash basis)</t>
        </is>
      </c>
      <c r="D10" s="6" t="inlineStr">
        <is>
          <t>5970 Marion Drive, Denver</t>
        </is>
      </c>
      <c r="E10" s="5" t="inlineStr">
        <is>
          <t>FY2023</t>
        </is>
      </c>
      <c r="F10" s="6" t="inlineStr">
        <is>
          <t>Deerwoods Management LLC</t>
        </is>
      </c>
    </row>
    <row r="11">
      <c r="A11" s="5" t="n">
        <v>6</v>
      </c>
      <c r="B11" s="6" t="inlineStr">
        <is>
          <t>5650_Washington_St.docx</t>
        </is>
      </c>
      <c r="C11" s="6" t="inlineStr">
        <is>
          <t>Restricted Appraisal Report (Industrial/Flex)</t>
        </is>
      </c>
      <c r="D11" s="6" t="inlineStr">
        <is>
          <t>5650 Washington St, Denver</t>
        </is>
      </c>
      <c r="E11" s="5" t="inlineStr">
        <is>
          <t>Tax Yr 2025 (val 6/30/2024)</t>
        </is>
      </c>
      <c r="F11" s="6" t="inlineStr">
        <is>
          <t>Jason Bennett, MAI (Adams County)</t>
        </is>
      </c>
    </row>
    <row r="12">
      <c r="A12" s="5" t="n">
        <v>7</v>
      </c>
      <c r="B12" s="6" t="inlineStr">
        <is>
          <t>R0024442.pdf</t>
        </is>
      </c>
      <c r="C12" s="6" t="inlineStr">
        <is>
          <t>Tax appeal — income approach (Valuation Protest)</t>
        </is>
      </c>
      <c r="D12" s="6" t="inlineStr">
        <is>
          <t>12260 Pennsylvania St, Thornton</t>
        </is>
      </c>
      <c r="E12" s="5" t="inlineStr">
        <is>
          <t>Assess. Yr 2025</t>
        </is>
      </c>
      <c r="F12" s="6" t="inlineStr">
        <is>
          <t>Ryan LLC (B. Mecom)</t>
        </is>
      </c>
    </row>
    <row r="13">
      <c r="A13" s="5" t="n">
        <v>8</v>
      </c>
      <c r="B13" s="6" t="inlineStr">
        <is>
          <t>R0002819.pdf</t>
        </is>
      </c>
      <c r="C13" s="6" t="inlineStr">
        <is>
          <t>Cover letter + IRS Form 8825 + Rent Roll</t>
        </is>
      </c>
      <c r="D13" s="6" t="inlineStr">
        <is>
          <t>125 Bridge St, Brighton</t>
        </is>
      </c>
      <c r="E13" s="5" t="inlineStr">
        <is>
          <t>2024 (rent roll current)</t>
        </is>
      </c>
      <c r="F13" s="6" t="inlineStr">
        <is>
          <t>Stevens &amp; Associates / Broadview LLC</t>
        </is>
      </c>
    </row>
    <row r="14">
      <c r="A14" s="5" t="n">
        <v>9</v>
      </c>
      <c r="B14" s="6" t="inlineStr">
        <is>
          <t>R0092302.pdf</t>
        </is>
      </c>
      <c r="C14" s="6" t="inlineStr">
        <is>
          <t>Appeal of Real Property Valuation — income approach</t>
        </is>
      </c>
      <c r="D14" s="6" t="inlineStr">
        <is>
          <t>6770 E. 56th Ave, Aurora</t>
        </is>
      </c>
      <c r="E14" s="5" t="inlineStr">
        <is>
          <t>Tax Yr 2026</t>
        </is>
      </c>
      <c r="F14" s="6" t="inlineStr">
        <is>
          <t>Property Tax Advisors, Inc.</t>
        </is>
      </c>
    </row>
    <row r="15">
      <c r="A15" s="32" t="n">
        <v>10</v>
      </c>
      <c r="B15" s="32" t="inlineStr">
        <is>
          <t>R0110351.pdf</t>
        </is>
      </c>
      <c r="C15" s="32" t="inlineStr">
        <is>
          <t>Tax appeal - income approach + rent roll + 2yr income statements + LOA</t>
        </is>
      </c>
      <c r="D15" s="32" t="inlineStr">
        <is>
          <t>18300 E 28th Ave, Aurora (ASB Real Estate)</t>
        </is>
      </c>
      <c r="E15" s="32" t="inlineStr">
        <is>
          <t>Tax Yr 2025 (val 6/30/2024)</t>
        </is>
      </c>
      <c r="F15" s="32" t="inlineStr">
        <is>
          <t>Ryan LLC (Ethan Horn) / CoStar</t>
        </is>
      </c>
    </row>
    <row r="16" ht="26" customHeight="1">
      <c r="A16" s="32" t="n">
        <v>11</v>
      </c>
      <c r="B16" s="32" t="inlineStr">
        <is>
          <t>R0111559.pdf</t>
        </is>
      </c>
      <c r="C16" s="32" t="inlineStr">
        <is>
          <t>Assessor protest letter - income approach, base-period leases, rent roll, 2yr I&amp;E</t>
        </is>
      </c>
      <c r="D16" s="32" t="inlineStr">
        <is>
          <t>3590 N Himalaya Rd, Bldg 6, Aurora</t>
        </is>
      </c>
      <c r="E16" s="32" t="inlineStr">
        <is>
          <t>Assess. Yr 2026 (val 6/30/2024)</t>
        </is>
      </c>
      <c r="F16" s="32" t="inlineStr">
        <is>
          <t>Sterling Property Tax Specialists (Brenda L. Fearn)</t>
        </is>
      </c>
    </row>
    <row r="17" ht="26" customHeight="1">
      <c r="A17" s="32" t="n">
        <v>12</v>
      </c>
      <c r="B17" s="32" t="inlineStr">
        <is>
          <t>R0111560.pdf</t>
        </is>
      </c>
      <c r="C17" s="32" t="inlineStr">
        <is>
          <t>Assessor protest letter - income approach, excess-vacancy discounting, rent roll, 2yr I&amp;E</t>
        </is>
      </c>
      <c r="D17" s="32" t="inlineStr">
        <is>
          <t>20320 E. 36th Dr, Bldg 7, Aurora</t>
        </is>
      </c>
      <c r="E17" s="32" t="inlineStr">
        <is>
          <t>Assess. Yr 2026 (val 6/30/2024)</t>
        </is>
      </c>
      <c r="F17" s="32" t="inlineStr">
        <is>
          <t>Sterling Property Tax Specialists (Brenda L. Fearn)</t>
        </is>
      </c>
    </row>
    <row r="18" ht="26" customHeight="1">
      <c r="A18" s="32" t="n">
        <v>13</v>
      </c>
      <c r="B18" s="32" t="inlineStr">
        <is>
          <t>R0114026.pdf</t>
        </is>
      </c>
      <c r="C18" s="32" t="inlineStr">
        <is>
          <t>SB 11-119 submission - 2023 &amp; 2024 P&amp;L (excerpt) + 06/24 rent roll</t>
        </is>
      </c>
      <c r="D18" s="32" t="inlineStr">
        <is>
          <t>6051 Washington St, Adams County</t>
        </is>
      </c>
      <c r="E18" s="32" t="inlineStr">
        <is>
          <t>2023-2024</t>
        </is>
      </c>
      <c r="F18" s="32" t="inlineStr">
        <is>
          <t>Stevens &amp; Associates (Todd J. Stevens)</t>
        </is>
      </c>
    </row>
    <row r="19">
      <c r="A19" s="32" t="n">
        <v>14</v>
      </c>
      <c r="B19" s="32" t="inlineStr">
        <is>
          <t>R0121833.pdf</t>
        </is>
      </c>
      <c r="C19" s="32" t="inlineStr">
        <is>
          <t>Real property summary analysis - income approach, rent roll, 2yr P&amp;L, executed lease</t>
        </is>
      </c>
      <c r="D19" s="32" t="inlineStr">
        <is>
          <t>5360 Washington St (Anchor Business Park), Denver</t>
        </is>
      </c>
      <c r="E19" s="32" t="inlineStr">
        <is>
          <t>As of 1/1/2025 (2023-2024 P&amp;L)</t>
        </is>
      </c>
      <c r="F19" s="32" t="inlineStr">
        <is>
          <t>Joseph C. Sansone Company</t>
        </is>
      </c>
    </row>
    <row r="20">
      <c r="A20" s="32" t="n">
        <v>15</v>
      </c>
      <c r="B20" s="32" t="inlineStr">
        <is>
          <t>R0103518.pdf</t>
        </is>
      </c>
      <c r="C20" s="32" t="inlineStr">
        <is>
          <t>Tax appeal - income approach + 2 rent rolls + CY2023 income statement + 3 lease comps + LOA/40-parcel schedule</t>
        </is>
      </c>
      <c r="D20" s="32" t="inlineStr">
        <is>
          <t>5977-5995 N. Broadway, Denver (First Industrial)</t>
        </is>
      </c>
      <c r="E20" s="32" t="inlineStr">
        <is>
          <t>Assess. Yr 2024</t>
        </is>
      </c>
      <c r="F20" s="32" t="inlineStr">
        <is>
          <t>Ryan LLC (Kim Lust) / CoStar</t>
        </is>
      </c>
    </row>
    <row r="21">
      <c r="A21" s="32" t="n">
        <v>16</v>
      </c>
      <c r="B21" s="32" t="inlineStr">
        <is>
          <t>R0103519.pdf</t>
        </is>
      </c>
      <c r="C21" s="32" t="inlineStr">
        <is>
          <t>Valuation protest letter + LOA + 2023 &amp; 2024 P&amp;L + 5-date rent roll</t>
        </is>
      </c>
      <c r="D21" s="32" t="inlineStr">
        <is>
          <t>5945 &amp; 5957 Broadway (P &amp; J Trujillo LLLP)</t>
        </is>
      </c>
      <c r="E21" s="32" t="inlineStr">
        <is>
          <t>Tax Yr 2025 (val 6/30/2024)</t>
        </is>
      </c>
      <c r="F21" s="32" t="inlineStr">
        <is>
          <t>1st Net Real Estate Services (Mike Walter)</t>
        </is>
      </c>
    </row>
    <row r="22">
      <c r="A22" s="32" t="n">
        <v>17</v>
      </c>
      <c r="B22" s="32" t="inlineStr">
        <is>
          <t>R0103704.pdf</t>
        </is>
      </c>
      <c r="C22" s="32" t="inlineStr">
        <is>
          <t>County Commercial-Industrial Income &amp; Expense Survey (handwritten)</t>
        </is>
      </c>
      <c r="D22" s="32" t="inlineStr">
        <is>
          <t>5720 Washington St, Denver (CB Resources LLC)</t>
        </is>
      </c>
      <c r="E22" s="32" t="inlineStr">
        <is>
          <t>2023-2024</t>
        </is>
      </c>
      <c r="F22" s="32" t="inlineStr">
        <is>
          <t>Adams County Assessor / Owner</t>
        </is>
      </c>
    </row>
    <row r="23">
      <c r="A23" s="32" t="n">
        <v>18</v>
      </c>
      <c r="B23" s="32" t="inlineStr">
        <is>
          <t>R0103779.pdf</t>
        </is>
      </c>
      <c r="C23" s="32" t="inlineStr">
        <is>
          <t>County Commercial-Industrial Income &amp; Expense Survey (handwritten)</t>
        </is>
      </c>
      <c r="D23" s="32" t="inlineStr">
        <is>
          <t>1890 E 58th Ave, Denver (Federal Partners LLC)</t>
        </is>
      </c>
      <c r="E23" s="32" t="inlineStr">
        <is>
          <t>2023-2024</t>
        </is>
      </c>
      <c r="F23" s="32" t="inlineStr">
        <is>
          <t>Adams County Assessor / Owner</t>
        </is>
      </c>
    </row>
    <row r="24">
      <c r="A24" s="32" t="n">
        <v>19</v>
      </c>
      <c r="B24" s="32" t="inlineStr">
        <is>
          <t>R0104122.pdf</t>
        </is>
      </c>
      <c r="C24" s="32" t="inlineStr">
        <is>
          <t>SB 11-119 submission - 06/24 rent roll only</t>
        </is>
      </c>
      <c r="D24" s="32" t="inlineStr">
        <is>
          <t>550 W 53rd Pl (WSDB 550 LLC)</t>
        </is>
      </c>
      <c r="E24" s="32" t="inlineStr">
        <is>
          <t>2024</t>
        </is>
      </c>
      <c r="F24" s="32" t="inlineStr">
        <is>
          <t>Stevens &amp; Associates (Todd J. Stevens)</t>
        </is>
      </c>
    </row>
    <row r="25">
      <c r="A25" s="32" t="n">
        <v>20</v>
      </c>
      <c r="B25" s="32" t="inlineStr">
        <is>
          <t>R0187789.pdf</t>
        </is>
      </c>
      <c r="C25" s="32" t="inlineStr">
        <is>
          <t>Assessor protest - income approach, recreated rent roll, 2yr expenses, 6 lease comps, 4 sale comps, LOA</t>
        </is>
      </c>
      <c r="D25" s="32" t="inlineStr">
        <is>
          <t>5710 E. 56th Avenue, Commerce City (KEW Realty)</t>
        </is>
      </c>
      <c r="E25" s="32" t="inlineStr">
        <is>
          <t>Tax Yr 2025 (val 6/30/2024)</t>
        </is>
      </c>
      <c r="F25" s="32" t="inlineStr">
        <is>
          <t>Sterling Property Tax Specialists (Paul Leonard)</t>
        </is>
      </c>
    </row>
    <row r="26">
      <c r="A26" s="32" t="n">
        <v>21</v>
      </c>
      <c r="B26" s="32" t="inlineStr">
        <is>
          <t>R0188699.pdf</t>
        </is>
      </c>
      <c r="C26" s="32" t="inlineStr">
        <is>
          <t>Tax appeal - market proforma + actual 2024 NNN income analysis + 3 lease comps + LOA</t>
        </is>
      </c>
      <c r="D26" s="32" t="inlineStr">
        <is>
          <t>15100 East 40th Ave, Aurora - Confluent Center 70 (LBA Realty)</t>
        </is>
      </c>
      <c r="E26" s="32" t="inlineStr">
        <is>
          <t>Tax Yr 2025 (val 6/30/2024)</t>
        </is>
      </c>
      <c r="F26" s="32" t="inlineStr">
        <is>
          <t>Ryan LLC (Keegan Conway) / CoStar</t>
        </is>
      </c>
    </row>
    <row r="27">
      <c r="A27" s="32" t="n">
        <v>22</v>
      </c>
      <c r="B27" s="32" t="inlineStr">
        <is>
          <t>R0198179.pdf</t>
        </is>
      </c>
      <c r="C27" s="32" t="inlineStr">
        <is>
          <t>Executed Second Amendment to Lease - State of Colorado (7-step rent schedule, TI allowance, renewal option)</t>
        </is>
      </c>
      <c r="D27" s="32" t="inlineStr">
        <is>
          <t>17851 E 40th Avenue, Aurora</t>
        </is>
      </c>
      <c r="E27" s="32" t="inlineStr">
        <is>
          <t>Renewal term 7/1/2026 - 6/30/2033</t>
        </is>
      </c>
      <c r="F27" s="32" t="inlineStr">
        <is>
          <t>CO Dept of Personnel &amp; Administration / Office of the State Architect</t>
        </is>
      </c>
    </row>
    <row r="28">
      <c r="A28" s="32" t="n">
        <v>23</v>
      </c>
      <c r="B28" s="32" t="inlineStr">
        <is>
          <t>R0191099.pdf</t>
        </is>
      </c>
      <c r="C28" s="32" t="inlineStr">
        <is>
          <t>Assessor protest - income approach, 2 rent-roll dates, CY2024 income statement, base-period lease survey</t>
        </is>
      </c>
      <c r="D28" s="32" t="inlineStr">
        <is>
          <t>3559 N Himalaya Rd, Bldg 5, Aurora (Majestic Commercenter Phase 9)</t>
        </is>
      </c>
      <c r="E28" s="32" t="inlineStr">
        <is>
          <t>Tax Yr 2025 (val 6/30/2024)</t>
        </is>
      </c>
      <c r="F28" s="32" t="inlineStr">
        <is>
          <t>Sterling Property Tax Specialists</t>
        </is>
      </c>
    </row>
    <row r="29">
      <c r="A29" s="32" t="n">
        <v>24</v>
      </c>
      <c r="B29" s="32" t="inlineStr">
        <is>
          <t>R0200721.pdf</t>
        </is>
      </c>
      <c r="C29" s="32" t="inlineStr">
        <is>
          <t>Assessor protest - income approach, 3 rent-roll dates, CY2024 income statement, 5 base-period lease comps</t>
        </is>
      </c>
      <c r="D29" s="32" t="inlineStr">
        <is>
          <t>3420 Lisbon Street, Aurora (Majestic Lisbon Buildings LLC)</t>
        </is>
      </c>
      <c r="E29" s="32" t="inlineStr">
        <is>
          <t>Tax Yr 2025 (val 6/30/2024)</t>
        </is>
      </c>
      <c r="F29" s="32" t="inlineStr">
        <is>
          <t>Sterling Property Tax Specialists</t>
        </is>
      </c>
    </row>
    <row r="30">
      <c r="A30" s="32" t="n">
        <v>25</v>
      </c>
      <c r="B30" s="32" t="inlineStr">
        <is>
          <t>R0187787.pdf</t>
        </is>
      </c>
      <c r="C30" s="32" t="inlineStr">
        <is>
          <t>Assessor protest - income approach, 2 rent rolls, 2yr expenses, 6 lease comps, sale comps, LOA</t>
        </is>
      </c>
      <c r="D30" s="32" t="inlineStr">
        <is>
          <t>5690 E. 56th Avenue, Commerce City (KEW Realty)</t>
        </is>
      </c>
      <c r="E30" s="32" t="inlineStr">
        <is>
          <t>Tax Yr 2025 (val 6/30/2024)</t>
        </is>
      </c>
      <c r="F30" s="32" t="inlineStr">
        <is>
          <t>Sterling Property Tax Specialists (Paul Leonard)</t>
        </is>
      </c>
    </row>
    <row r="31">
      <c r="A31" s="32" t="n">
        <v>26</v>
      </c>
      <c r="B31" s="32" t="inlineStr">
        <is>
          <t>R0157664.pdf</t>
        </is>
      </c>
      <c r="C31" s="32" t="inlineStr">
        <is>
          <t>Protest inquiry + LOA + 4-year income analysis + 2024/2023 and 2022/2021 income statements + May 2024 rent roll</t>
        </is>
      </c>
      <c r="D31" s="32" t="inlineStr">
        <is>
          <t>6045 E 76th Avenue, Commerce City (4711 West Tennessee Avenue LLC)</t>
        </is>
      </c>
      <c r="E31" s="32" t="inlineStr">
        <is>
          <t>Tax Yr 2025 (2021-2024 actuals)</t>
        </is>
      </c>
      <c r="F31" s="32" t="inlineStr">
        <is>
          <t>R.H. Jacobson &amp; Company</t>
        </is>
      </c>
    </row>
    <row r="32">
      <c r="A32" s="32" t="n">
        <v>27</v>
      </c>
      <c r="B32" s="32" t="inlineStr">
        <is>
          <t>R0164588.pdf</t>
        </is>
      </c>
      <c r="C32" s="32" t="inlineStr">
        <is>
          <t>Tax appeal - market proforma + 5 lease comps + vacant rent roll + income statements</t>
        </is>
      </c>
      <c r="D32" s="32" t="inlineStr">
        <is>
          <t>9410 Heinz Way, Commerce City (ASB Real Estate)</t>
        </is>
      </c>
      <c r="E32" s="32" t="inlineStr">
        <is>
          <t>Tax Yr 2025 (val 6/30/2024)</t>
        </is>
      </c>
      <c r="F32" s="32" t="inlineStr">
        <is>
          <t>Ryan LLC (Ethan Horn) / CoStar</t>
        </is>
      </c>
    </row>
    <row r="33">
      <c r="A33" s="32" t="n">
        <v>28</v>
      </c>
      <c r="B33" s="32" t="inlineStr">
        <is>
          <t>R0164287.pdf</t>
        </is>
      </c>
      <c r="C33" s="32" t="inlineStr">
        <is>
          <t>Owner-filed CBOE appeal + 2024 county I&amp;E survey + 2010-2025 rent schedule + income work sheet</t>
        </is>
      </c>
      <c r="D33" s="32" t="inlineStr">
        <is>
          <t>2850 Walden Street, Aurora (EDC Holdings LLC)</t>
        </is>
      </c>
      <c r="E33" s="32" t="inlineStr">
        <is>
          <t>Tax Yr 2025 (rent history 2010-2025)</t>
        </is>
      </c>
      <c r="F33" s="32" t="inlineStr">
        <is>
          <t>EDC Holdings LLC (Edward D Chandler, owner)</t>
        </is>
      </c>
    </row>
    <row r="34">
      <c r="A34" s="32" t="n">
        <v>29</v>
      </c>
      <c r="B34" s="32" t="inlineStr">
        <is>
          <t>R0180894.pdf</t>
        </is>
      </c>
      <c r="C34" s="32" t="inlineStr">
        <is>
          <t>Tax appeal - proforma income analysis + 3-year actual income trends + LOA</t>
        </is>
      </c>
      <c r="D34" s="32" t="inlineStr">
        <is>
          <t>Park 70, 1910 N Gun Club Rd, Aurora (Alpha Industrial Properties)</t>
        </is>
      </c>
      <c r="E34" s="32" t="inlineStr">
        <is>
          <t>Assess. Yr 2025 (2022-2024 actuals)</t>
        </is>
      </c>
      <c r="F34" s="32" t="inlineStr">
        <is>
          <t>Ryan LLC (Beth Diehl)</t>
        </is>
      </c>
    </row>
    <row r="36">
      <c r="A36" s="7" t="inlineStr">
        <is>
          <t>Notes: Figures transcribed from the source documents. Total / net / average cells are live formulas (SUM/AVERAGE) verified against the printed totals; they populate on open in Excel/Sheets.</t>
        </is>
      </c>
    </row>
    <row r="37">
      <c r="A37" s="7" t="inlineStr">
        <is>
          <t>'in house' on the TempTee survey = owner self-performs the service (no $ reported), entered as $0. 5650 Washington St concluded value, rent-roll grid, and income proforma are embedded as EMF vector images in the DOCX and were not text-extractable; narrative figures are captured where stated.</t>
        </is>
      </c>
    </row>
    <row r="38">
      <c r="A38" s="7" t="inlineStr">
        <is>
          <t>5970 Marion cash-basis 'expense' includes mortgage P&amp;I and property taxes (cash flow, not NOI). R0169133 cover value ($3,408,546) differs from its schedule total ($3,114,815); both reproduced as printed.</t>
        </is>
      </c>
    </row>
  </sheetData>
  <mergeCells count="5">
    <mergeCell ref="A38:F38"/>
    <mergeCell ref="A2:F2"/>
    <mergeCell ref="A36:F36"/>
    <mergeCell ref="A1:F1"/>
    <mergeCell ref="A37:F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2"/>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18" customWidth="1" min="3" max="3"/>
    <col width="26" customWidth="1" min="4" max="4"/>
    <col width="22" customWidth="1" min="5" max="5"/>
    <col width="10" customWidth="1" min="6" max="6"/>
    <col width="5" customWidth="1" min="7" max="7"/>
    <col width="13" customWidth="1" min="8" max="8"/>
    <col width="9" customWidth="1" min="9" max="9"/>
    <col width="26" customWidth="1" min="10" max="10"/>
    <col width="26" customWidth="1" min="11" max="11"/>
    <col width="26" customWidth="1" min="12" max="12"/>
    <col width="16" customWidth="1" min="13" max="13"/>
    <col width="11" customWidth="1" min="14" max="14"/>
    <col width="11" customWidth="1" min="15" max="15"/>
    <col width="11" customWidth="1" min="16" max="16"/>
    <col width="12" customWidth="1" min="17" max="17"/>
    <col width="10" customWidth="1" min="18" max="18"/>
    <col width="10" customWidth="1" min="19" max="19"/>
    <col width="18" customWidth="1" min="20" max="20"/>
    <col width="18" customWidth="1" min="21" max="21"/>
    <col width="14" customWidth="1" min="22" max="22"/>
    <col width="18" customWidth="1" min="23" max="23"/>
    <col width="22" customWidth="1" min="24" max="24"/>
    <col width="26" customWidth="1" min="25" max="25"/>
  </cols>
  <sheetData>
    <row r="1" ht="26" customHeight="1">
      <c r="A1" s="1" t="inlineStr">
        <is>
          <t>PROPERTY MASTER</t>
        </is>
      </c>
    </row>
    <row r="2" ht="14" customHeight="1">
      <c r="A2" s="2" t="inlineStr">
        <is>
          <t>One row per subject property — identity, physical characteristics &amp; valuation summary</t>
        </is>
      </c>
    </row>
    <row r="4" ht="42" customHeight="1">
      <c r="A4" s="4" t="inlineStr">
        <is>
          <t>Property ID</t>
        </is>
      </c>
      <c r="B4" s="4" t="inlineStr">
        <is>
          <t>Account / Schedule #</t>
        </is>
      </c>
      <c r="C4" s="4" t="inlineStr">
        <is>
          <t>Parcel / Alt #</t>
        </is>
      </c>
      <c r="D4" s="4" t="inlineStr">
        <is>
          <t>Property Name</t>
        </is>
      </c>
      <c r="E4" s="4" t="inlineStr">
        <is>
          <t>Address</t>
        </is>
      </c>
      <c r="F4" s="4" t="inlineStr">
        <is>
          <t>City</t>
        </is>
      </c>
      <c r="G4" s="4" t="inlineStr">
        <is>
          <t>ST</t>
        </is>
      </c>
      <c r="H4" s="4" t="inlineStr">
        <is>
          <t>ZIP</t>
        </is>
      </c>
      <c r="I4" s="4" t="inlineStr">
        <is>
          <t>County</t>
        </is>
      </c>
      <c r="J4" s="4" t="inlineStr">
        <is>
          <t>Owner / Client</t>
        </is>
      </c>
      <c r="K4" s="4" t="inlineStr">
        <is>
          <t>Assessee (Tax Roll)</t>
        </is>
      </c>
      <c r="L4" s="4" t="inlineStr">
        <is>
          <t>Property Type / Use</t>
        </is>
      </c>
      <c r="M4" s="4" t="inlineStr">
        <is>
          <t>Tenancy</t>
        </is>
      </c>
      <c r="N4" s="4" t="inlineStr">
        <is>
          <t>Site (Acres)</t>
        </is>
      </c>
      <c r="O4" s="4" t="inlineStr">
        <is>
          <t>Site (SF)</t>
        </is>
      </c>
      <c r="P4" s="4" t="inlineStr">
        <is>
          <t>GBA (SF)</t>
        </is>
      </c>
      <c r="Q4" s="4" t="inlineStr">
        <is>
          <t>NRA / NLA (SF)</t>
        </is>
      </c>
      <c r="R4" s="4" t="inlineStr">
        <is>
          <t>Year Built</t>
        </is>
      </c>
      <c r="S4" s="4" t="inlineStr">
        <is>
          <t>Land:Bldg</t>
        </is>
      </c>
      <c r="T4" s="4" t="inlineStr">
        <is>
          <t>Occupancy</t>
        </is>
      </c>
      <c r="U4" s="4" t="inlineStr">
        <is>
          <t>Latest Assessor / County Value</t>
        </is>
      </c>
      <c r="V4" s="4" t="inlineStr">
        <is>
          <t>Assessment/Tax Yr</t>
        </is>
      </c>
      <c r="W4" s="4" t="inlineStr">
        <is>
          <t>Taxpayer / Petitioner Opinion</t>
        </is>
      </c>
      <c r="X4" s="4" t="inlineStr">
        <is>
          <t>Managed By</t>
        </is>
      </c>
      <c r="Y4" s="4" t="inlineStr">
        <is>
          <t>Source File</t>
        </is>
      </c>
    </row>
    <row r="5">
      <c r="A5" s="6" t="inlineStr">
        <is>
          <t>R0178308</t>
        </is>
      </c>
      <c r="B5" s="6" t="inlineStr">
        <is>
          <t>R0178308</t>
        </is>
      </c>
      <c r="C5" s="6" t="inlineStr">
        <is>
          <t>R0178308</t>
        </is>
      </c>
      <c r="D5" s="6" t="inlineStr">
        <is>
          <t>7205 Gilpin Way</t>
        </is>
      </c>
      <c r="E5" s="6" t="inlineStr">
        <is>
          <t>7205 Gilpin Way</t>
        </is>
      </c>
      <c r="F5" s="6" t="inlineStr">
        <is>
          <t>Denver</t>
        </is>
      </c>
      <c r="G5" s="5" t="inlineStr">
        <is>
          <t>CO</t>
        </is>
      </c>
      <c r="H5" s="6" t="inlineStr">
        <is>
          <t>80229</t>
        </is>
      </c>
      <c r="I5" s="6" t="inlineStr">
        <is>
          <t>Adams</t>
        </is>
      </c>
      <c r="J5" s="6" t="inlineStr">
        <is>
          <t>Center Land Properties</t>
        </is>
      </c>
      <c r="K5" s="6" t="inlineStr">
        <is>
          <t>North Side Gardens LLC</t>
        </is>
      </c>
      <c r="L5" s="6" t="inlineStr">
        <is>
          <t>Industrial - Warehouse</t>
        </is>
      </c>
      <c r="M5" s="6" t="inlineStr">
        <is>
          <t>Single (proforma)</t>
        </is>
      </c>
      <c r="N5" s="8" t="n">
        <v>3.33</v>
      </c>
      <c r="O5" s="8" t="n">
        <v>145055</v>
      </c>
      <c r="P5" s="6" t="n"/>
      <c r="Q5" s="8" t="n">
        <v>34228</v>
      </c>
      <c r="R5" s="6" t="n">
        <v>2013</v>
      </c>
      <c r="S5" s="6" t="inlineStr">
        <is>
          <t>4.24:1</t>
        </is>
      </c>
      <c r="T5" s="6" t="inlineStr">
        <is>
          <t>100% (proforma)</t>
        </is>
      </c>
      <c r="U5" s="9" t="n">
        <v>5150325</v>
      </c>
      <c r="V5" s="5" t="inlineStr">
        <is>
          <t>2025</t>
        </is>
      </c>
      <c r="W5" s="9" t="n">
        <v>4832500</v>
      </c>
      <c r="X5" s="6" t="inlineStr">
        <is>
          <t>—</t>
        </is>
      </c>
      <c r="Y5" s="6" t="inlineStr">
        <is>
          <t>R0178308.pdf</t>
        </is>
      </c>
    </row>
    <row r="6">
      <c r="A6" s="6" t="inlineStr">
        <is>
          <t>R0169133</t>
        </is>
      </c>
      <c r="B6" s="6" t="inlineStr">
        <is>
          <t>R0169133</t>
        </is>
      </c>
      <c r="C6" s="6" t="inlineStr">
        <is>
          <t>R0169133</t>
        </is>
      </c>
      <c r="D6" s="6" t="inlineStr">
        <is>
          <t>(7194) CO-Aurora</t>
        </is>
      </c>
      <c r="E6" s="6" t="inlineStr">
        <is>
          <t>17608 E. 24th Drive</t>
        </is>
      </c>
      <c r="F6" s="6" t="inlineStr">
        <is>
          <t>Aurora</t>
        </is>
      </c>
      <c r="G6" s="5" t="inlineStr">
        <is>
          <t>CO</t>
        </is>
      </c>
      <c r="H6" s="6" t="inlineStr">
        <is>
          <t>80011</t>
        </is>
      </c>
      <c r="I6" s="6" t="inlineStr">
        <is>
          <t>Adams</t>
        </is>
      </c>
      <c r="J6" s="6" t="inlineStr">
        <is>
          <t>ABC Supply Co., Inc.</t>
        </is>
      </c>
      <c r="K6" s="6" t="inlineStr">
        <is>
          <t>ABC Supply Co., Inc.</t>
        </is>
      </c>
      <c r="L6" s="6" t="inlineStr">
        <is>
          <t>Industrial - Distribution</t>
        </is>
      </c>
      <c r="M6" s="6" t="inlineStr">
        <is>
          <t>Single (proforma)</t>
        </is>
      </c>
      <c r="N6" s="8" t="n">
        <v>3.4</v>
      </c>
      <c r="O6" s="8" t="n">
        <v>148104</v>
      </c>
      <c r="P6" s="6" t="n"/>
      <c r="Q6" s="8" t="n">
        <v>20910</v>
      </c>
      <c r="R6" s="6" t="n">
        <v>2006</v>
      </c>
      <c r="S6" s="6" t="inlineStr">
        <is>
          <t>7.08:1</t>
        </is>
      </c>
      <c r="T6" s="6" t="inlineStr">
        <is>
          <t>(as of 06/30/2024)</t>
        </is>
      </c>
      <c r="U6" s="9" t="n">
        <v>3408546</v>
      </c>
      <c r="V6" s="5" t="inlineStr">
        <is>
          <t>2025</t>
        </is>
      </c>
      <c r="W6" s="9" t="n">
        <v>3050000</v>
      </c>
      <c r="X6" s="6" t="inlineStr">
        <is>
          <t>—</t>
        </is>
      </c>
      <c r="Y6" s="6" t="inlineStr">
        <is>
          <t>R0169133.pdf</t>
        </is>
      </c>
    </row>
    <row r="7">
      <c r="A7" s="6" t="inlineStr">
        <is>
          <t>R0103792</t>
        </is>
      </c>
      <c r="B7" s="6" t="inlineStr">
        <is>
          <t>R0103792</t>
        </is>
      </c>
      <c r="C7" s="6" t="inlineStr">
        <is>
          <t>0182511406001</t>
        </is>
      </c>
      <c r="D7" s="6" t="inlineStr">
        <is>
          <t>TempTee Brand Steaks</t>
        </is>
      </c>
      <c r="E7" s="6" t="inlineStr">
        <is>
          <t>2011 E 58th Ave</t>
        </is>
      </c>
      <c r="F7" s="6" t="inlineStr">
        <is>
          <t>Denver</t>
        </is>
      </c>
      <c r="G7" s="5" t="inlineStr">
        <is>
          <t>CO</t>
        </is>
      </c>
      <c r="H7" s="6" t="inlineStr">
        <is>
          <t>80216-1517</t>
        </is>
      </c>
      <c r="I7" s="6" t="inlineStr">
        <is>
          <t>Adams</t>
        </is>
      </c>
      <c r="J7" s="6" t="inlineStr">
        <is>
          <t>TempTee Brand Steaks Inc</t>
        </is>
      </c>
      <c r="K7" s="6" t="inlineStr">
        <is>
          <t>TempTee Brand Steaks Inc</t>
        </is>
      </c>
      <c r="L7" s="6" t="inlineStr">
        <is>
          <t>Industrial - Mfg / Food Processing</t>
        </is>
      </c>
      <c r="M7" s="6" t="inlineStr">
        <is>
          <t>Owner-occupied</t>
        </is>
      </c>
      <c r="N7" s="6" t="n"/>
      <c r="O7" s="6" t="n"/>
      <c r="P7" s="6" t="n"/>
      <c r="Q7" s="8" t="n">
        <v>17000</v>
      </c>
      <c r="R7" s="6" t="n"/>
      <c r="S7" s="6" t="inlineStr">
        <is>
          <t>—</t>
        </is>
      </c>
      <c r="T7" s="6" t="inlineStr">
        <is>
          <t>100% Owner-Occupied</t>
        </is>
      </c>
      <c r="U7" s="6" t="n"/>
      <c r="V7" s="5" t="inlineStr">
        <is>
          <t>2025</t>
        </is>
      </c>
      <c r="W7" s="6" t="inlineStr">
        <is>
          <t>—</t>
        </is>
      </c>
      <c r="X7" s="6" t="inlineStr">
        <is>
          <t>—</t>
        </is>
      </c>
      <c r="Y7" s="6" t="inlineStr">
        <is>
          <t>R0103792.pdf</t>
        </is>
      </c>
    </row>
    <row r="8">
      <c r="A8" s="6" t="inlineStr">
        <is>
          <t>5970 Marion</t>
        </is>
      </c>
      <c r="B8" s="6" t="inlineStr">
        <is>
          <t>(none)</t>
        </is>
      </c>
      <c r="C8" s="6" t="inlineStr">
        <is>
          <t>0182511303018</t>
        </is>
      </c>
      <c r="D8" s="6" t="inlineStr">
        <is>
          <t>5970 Marion Drive</t>
        </is>
      </c>
      <c r="E8" s="6" t="inlineStr">
        <is>
          <t>5970 Marion Drive</t>
        </is>
      </c>
      <c r="F8" s="6" t="inlineStr">
        <is>
          <t>Denver</t>
        </is>
      </c>
      <c r="G8" s="5" t="inlineStr">
        <is>
          <t>CO</t>
        </is>
      </c>
      <c r="H8" s="6" t="inlineStr">
        <is>
          <t>80216 (est.)</t>
        </is>
      </c>
      <c r="I8" s="6" t="inlineStr">
        <is>
          <t>Adams</t>
        </is>
      </c>
      <c r="J8" s="6" t="inlineStr">
        <is>
          <t>Ankur Kumar (owner)</t>
        </is>
      </c>
      <c r="K8" s="6" t="inlineStr">
        <is>
          <t>—</t>
        </is>
      </c>
      <c r="L8" s="6" t="inlineStr">
        <is>
          <t>Industrial - 2-unit</t>
        </is>
      </c>
      <c r="M8" s="6" t="inlineStr">
        <is>
          <t>Multi (2 units)</t>
        </is>
      </c>
      <c r="N8" s="6" t="n"/>
      <c r="O8" s="6" t="n"/>
      <c r="P8" s="6" t="n"/>
      <c r="Q8" s="8" t="n">
        <v>14400</v>
      </c>
      <c r="R8" s="6" t="n"/>
      <c r="S8" s="6" t="inlineStr">
        <is>
          <t>—</t>
        </is>
      </c>
      <c r="T8" s="6" t="inlineStr">
        <is>
          <t>100% (2 units leased)</t>
        </is>
      </c>
      <c r="U8" s="9" t="n">
        <v>2527915</v>
      </c>
      <c r="V8" s="5" t="inlineStr">
        <is>
          <t>2025 (assigned)</t>
        </is>
      </c>
      <c r="W8" s="6" t="inlineStr">
        <is>
          <t>—</t>
        </is>
      </c>
      <c r="X8" s="6" t="inlineStr">
        <is>
          <t>Deerwoods Management LLC</t>
        </is>
      </c>
      <c r="Y8" s="6" t="inlineStr">
        <is>
          <t>5970 Marion P&amp;L/CF/xlsx</t>
        </is>
      </c>
    </row>
    <row r="9">
      <c r="A9" s="6" t="inlineStr">
        <is>
          <t>R0103767</t>
        </is>
      </c>
      <c r="B9" s="6" t="inlineStr">
        <is>
          <t>R0103767</t>
        </is>
      </c>
      <c r="C9" s="6" t="inlineStr">
        <is>
          <t>R0103767</t>
        </is>
      </c>
      <c r="D9" s="6" t="inlineStr">
        <is>
          <t>Washington Business Park</t>
        </is>
      </c>
      <c r="E9" s="6" t="inlineStr">
        <is>
          <t>5650 Washington St</t>
        </is>
      </c>
      <c r="F9" s="6" t="inlineStr">
        <is>
          <t>Denver</t>
        </is>
      </c>
      <c r="G9" s="5" t="inlineStr">
        <is>
          <t>CO</t>
        </is>
      </c>
      <c r="H9" s="6" t="inlineStr">
        <is>
          <t>80216 (est.)</t>
        </is>
      </c>
      <c r="I9" s="6" t="inlineStr">
        <is>
          <t>Adams</t>
        </is>
      </c>
      <c r="J9" s="6" t="inlineStr">
        <is>
          <t>Washington Business Park Property LLC</t>
        </is>
      </c>
      <c r="K9" s="6" t="inlineStr">
        <is>
          <t>Washington Business Park Property LLC</t>
        </is>
      </c>
      <c r="L9" s="6" t="inlineStr">
        <is>
          <t>Industrial / Flex (multi-tenant)</t>
        </is>
      </c>
      <c r="M9" s="6" t="inlineStr">
        <is>
          <t>Multi-tenant</t>
        </is>
      </c>
      <c r="N9" s="8" t="n">
        <v>2.31</v>
      </c>
      <c r="O9" s="8" t="n">
        <v>100754</v>
      </c>
      <c r="P9" s="8" t="n">
        <v>35577</v>
      </c>
      <c r="Q9" s="8" t="n">
        <v>34442</v>
      </c>
      <c r="R9" s="6" t="n">
        <v>1988</v>
      </c>
      <c r="S9" s="6" t="inlineStr">
        <is>
          <t>2.83:1</t>
        </is>
      </c>
      <c r="T9" s="6" t="inlineStr">
        <is>
          <t>Multi-tenant (7% vac. assumed)</t>
        </is>
      </c>
      <c r="U9" s="6" t="n"/>
      <c r="V9" s="5" t="inlineStr">
        <is>
          <t>2025</t>
        </is>
      </c>
      <c r="W9" s="6" t="inlineStr">
        <is>
          <t>See appraisal (value in embedded image)</t>
        </is>
      </c>
      <c r="X9" s="6" t="inlineStr">
        <is>
          <t>Owner: Bryan Sperry</t>
        </is>
      </c>
      <c r="Y9" s="6" t="inlineStr">
        <is>
          <t>5650_Washington_St.docx</t>
        </is>
      </c>
    </row>
    <row r="10">
      <c r="A10" s="6" t="inlineStr">
        <is>
          <t>R0024442</t>
        </is>
      </c>
      <c r="B10" s="6" t="inlineStr">
        <is>
          <t>R0024442</t>
        </is>
      </c>
      <c r="C10" s="6" t="inlineStr">
        <is>
          <t>R0024442</t>
        </is>
      </c>
      <c r="D10" s="6" t="inlineStr">
        <is>
          <t>SGS - Pennsylvania Industrial</t>
        </is>
      </c>
      <c r="E10" s="6" t="inlineStr">
        <is>
          <t>12260 Pennsylvania St</t>
        </is>
      </c>
      <c r="F10" s="6" t="inlineStr">
        <is>
          <t>Thornton</t>
        </is>
      </c>
      <c r="G10" s="5" t="inlineStr">
        <is>
          <t>CO</t>
        </is>
      </c>
      <c r="H10" s="6" t="inlineStr">
        <is>
          <t>80241 (est.)</t>
        </is>
      </c>
      <c r="I10" s="6" t="inlineStr">
        <is>
          <t>Adams</t>
        </is>
      </c>
      <c r="J10" s="6" t="inlineStr">
        <is>
          <t>Trinity Real Estate</t>
        </is>
      </c>
      <c r="K10" s="6" t="inlineStr">
        <is>
          <t>Snyder Family Trust Et Al</t>
        </is>
      </c>
      <c r="L10" s="6" t="inlineStr">
        <is>
          <t>Industrial - Warehouse</t>
        </is>
      </c>
      <c r="M10" s="6" t="inlineStr">
        <is>
          <t>Single-tenant</t>
        </is>
      </c>
      <c r="N10" s="8" t="n">
        <v>1</v>
      </c>
      <c r="O10" s="6" t="n"/>
      <c r="P10" s="6" t="n"/>
      <c r="Q10" s="8" t="n">
        <v>23729</v>
      </c>
      <c r="R10" s="6" t="n">
        <v>1984</v>
      </c>
      <c r="S10" s="6" t="inlineStr">
        <is>
          <t>—</t>
        </is>
      </c>
      <c r="T10" s="6" t="inlineStr">
        <is>
          <t>(leased; rent $9.50/sf NNN 1/1/24)</t>
        </is>
      </c>
      <c r="U10" s="9" t="n">
        <v>3876387</v>
      </c>
      <c r="V10" s="5" t="inlineStr">
        <is>
          <t>2025</t>
        </is>
      </c>
      <c r="W10" s="9" t="n">
        <v>2837000</v>
      </c>
      <c r="X10" s="6" t="inlineStr">
        <is>
          <t>—</t>
        </is>
      </c>
      <c r="Y10" s="6" t="inlineStr">
        <is>
          <t>R0024442.pdf</t>
        </is>
      </c>
    </row>
    <row r="11">
      <c r="A11" s="6" t="inlineStr">
        <is>
          <t>R0002819</t>
        </is>
      </c>
      <c r="B11" s="6" t="inlineStr">
        <is>
          <t>R0002819</t>
        </is>
      </c>
      <c r="C11" s="6" t="inlineStr">
        <is>
          <t>01569-06-3-13-002</t>
        </is>
      </c>
      <c r="D11" s="6" t="inlineStr">
        <is>
          <t>Broadview</t>
        </is>
      </c>
      <c r="E11" s="6" t="inlineStr">
        <is>
          <t>125 Bridge St</t>
        </is>
      </c>
      <c r="F11" s="6" t="inlineStr">
        <is>
          <t>Brighton</t>
        </is>
      </c>
      <c r="G11" s="5" t="inlineStr">
        <is>
          <t>CO</t>
        </is>
      </c>
      <c r="H11" s="6" t="inlineStr">
        <is>
          <t>80602</t>
        </is>
      </c>
      <c r="I11" s="6" t="inlineStr">
        <is>
          <t>Adams</t>
        </is>
      </c>
      <c r="J11" s="6" t="inlineStr">
        <is>
          <t>Broadview LLC</t>
        </is>
      </c>
      <c r="K11" s="6" t="inlineStr">
        <is>
          <t>Broadview LLC</t>
        </is>
      </c>
      <c r="L11" s="6" t="inlineStr">
        <is>
          <t>Commercial (multi-tenant industrial)</t>
        </is>
      </c>
      <c r="M11" s="6" t="inlineStr">
        <is>
          <t>Multi-tenant</t>
        </is>
      </c>
      <c r="N11" s="6" t="n"/>
      <c r="O11" s="6" t="n"/>
      <c r="P11" s="6" t="n"/>
      <c r="Q11" s="6" t="n"/>
      <c r="R11" s="6" t="n"/>
      <c r="S11" s="6" t="inlineStr">
        <is>
          <t>—</t>
        </is>
      </c>
      <c r="T11" s="6" t="inlineStr">
        <is>
          <t>Mostly leased (1-2 units vacant)</t>
        </is>
      </c>
      <c r="U11" s="6" t="n"/>
      <c r="V11" s="5" t="inlineStr">
        <is>
          <t>—</t>
        </is>
      </c>
      <c r="W11" s="6" t="inlineStr">
        <is>
          <t>—</t>
        </is>
      </c>
      <c r="X11" s="6" t="inlineStr">
        <is>
          <t>—</t>
        </is>
      </c>
      <c r="Y11" s="6" t="inlineStr">
        <is>
          <t>R0002819.pdf</t>
        </is>
      </c>
    </row>
    <row r="12">
      <c r="A12" s="6" t="inlineStr">
        <is>
          <t>R0092302</t>
        </is>
      </c>
      <c r="B12" s="6" t="inlineStr">
        <is>
          <t>R0092302</t>
        </is>
      </c>
      <c r="C12" s="6" t="inlineStr">
        <is>
          <t>R0092302</t>
        </is>
      </c>
      <c r="D12" s="6" t="inlineStr">
        <is>
          <t>6770 E. 56th Ave</t>
        </is>
      </c>
      <c r="E12" s="6" t="inlineStr">
        <is>
          <t>6770 E. 56th Ave</t>
        </is>
      </c>
      <c r="F12" s="6" t="inlineStr">
        <is>
          <t>Aurora</t>
        </is>
      </c>
      <c r="G12" s="5" t="inlineStr">
        <is>
          <t>CO</t>
        </is>
      </c>
      <c r="H12" s="6" t="inlineStr">
        <is>
          <t>80022 (est.)</t>
        </is>
      </c>
      <c r="I12" s="6" t="inlineStr">
        <is>
          <t>Adams</t>
        </is>
      </c>
      <c r="J12" s="6" t="inlineStr">
        <is>
          <t>56th Ave. J Investments LLC et al</t>
        </is>
      </c>
      <c r="K12" s="6" t="inlineStr">
        <is>
          <t>56th Ave. J Investments LLC et al</t>
        </is>
      </c>
      <c r="L12" s="6" t="inlineStr">
        <is>
          <t>Industrial - Warehouse</t>
        </is>
      </c>
      <c r="M12" s="6" t="inlineStr">
        <is>
          <t>Single-tenant</t>
        </is>
      </c>
      <c r="N12" s="6" t="n"/>
      <c r="O12" s="8" t="n">
        <v>29620</v>
      </c>
      <c r="P12" s="8" t="n">
        <v>9652</v>
      </c>
      <c r="Q12" s="8" t="n">
        <v>9652</v>
      </c>
      <c r="R12" s="6" t="n">
        <v>1973</v>
      </c>
      <c r="S12" s="6" t="inlineStr">
        <is>
          <t>3.0:1</t>
        </is>
      </c>
      <c r="T12" s="6" t="inlineStr">
        <is>
          <t>95% (proforma)</t>
        </is>
      </c>
      <c r="U12" s="9" t="n">
        <v>1815434</v>
      </c>
      <c r="V12" s="5" t="inlineStr">
        <is>
          <t>2026</t>
        </is>
      </c>
      <c r="W12" s="9" t="n">
        <v>1493032</v>
      </c>
      <c r="X12" s="6" t="inlineStr">
        <is>
          <t>—</t>
        </is>
      </c>
      <c r="Y12" s="6" t="inlineStr">
        <is>
          <t>R0092302.pdf</t>
        </is>
      </c>
    </row>
    <row r="13">
      <c r="A13" s="32" t="inlineStr">
        <is>
          <t>R0110351</t>
        </is>
      </c>
      <c r="B13" s="32" t="inlineStr">
        <is>
          <t>R0110351</t>
        </is>
      </c>
      <c r="C13" s="32" t="inlineStr">
        <is>
          <t>R0110351</t>
        </is>
      </c>
      <c r="D13" s="32" t="inlineStr">
        <is>
          <t>18300 E 28th Ave</t>
        </is>
      </c>
      <c r="E13" s="32" t="inlineStr">
        <is>
          <t>18300 E 28th Ave</t>
        </is>
      </c>
      <c r="F13" s="32" t="inlineStr">
        <is>
          <t>Aurora</t>
        </is>
      </c>
      <c r="G13" s="32" t="inlineStr">
        <is>
          <t>CO</t>
        </is>
      </c>
      <c r="H13" s="32" t="inlineStr">
        <is>
          <t>80011 (est.)</t>
        </is>
      </c>
      <c r="I13" s="32" t="inlineStr">
        <is>
          <t>Adams</t>
        </is>
      </c>
      <c r="J13" s="32" t="inlineStr">
        <is>
          <t>ASB Real Estate</t>
        </is>
      </c>
      <c r="K13" s="32" t="inlineStr">
        <is>
          <t>18300 E 28TH OWNER LLC</t>
        </is>
      </c>
      <c r="L13" s="32" t="inlineStr">
        <is>
          <t>Industrial - Warehouse/Distribution</t>
        </is>
      </c>
      <c r="M13" s="32" t="inlineStr">
        <is>
          <t>Single tenant</t>
        </is>
      </c>
      <c r="N13" s="33" t="n">
        <v>4.83</v>
      </c>
      <c r="O13" s="34" t="n"/>
      <c r="P13" s="34" t="n"/>
      <c r="Q13" s="34" t="n">
        <v>85604</v>
      </c>
      <c r="R13" s="35" t="n">
        <v>2000</v>
      </c>
      <c r="S13" s="32" t="n"/>
      <c r="T13" s="32" t="inlineStr">
        <is>
          <t>100% (6/30/2024)</t>
        </is>
      </c>
      <c r="U13" s="36" t="n">
        <v>10683449</v>
      </c>
      <c r="V13" s="32" t="inlineStr">
        <is>
          <t>2025</t>
        </is>
      </c>
      <c r="W13" s="36" t="n">
        <v>7939000</v>
      </c>
      <c r="X13" s="32" t="inlineStr">
        <is>
          <t>Allegiance / ASB Allegiance Fund</t>
        </is>
      </c>
      <c r="Y13" s="32" t="inlineStr">
        <is>
          <t>R0110351.pdf</t>
        </is>
      </c>
    </row>
    <row r="14">
      <c r="A14" s="32" t="inlineStr">
        <is>
          <t>R0111559</t>
        </is>
      </c>
      <c r="B14" s="32" t="inlineStr">
        <is>
          <t>R0111559</t>
        </is>
      </c>
      <c r="C14" s="32" t="inlineStr">
        <is>
          <t>R0111559</t>
        </is>
      </c>
      <c r="D14" s="32" t="inlineStr">
        <is>
          <t>Majestic Commercenter - Building 6</t>
        </is>
      </c>
      <c r="E14" s="32" t="inlineStr">
        <is>
          <t>3590 N Himalaya Road</t>
        </is>
      </c>
      <c r="F14" s="32" t="inlineStr">
        <is>
          <t>Aurora</t>
        </is>
      </c>
      <c r="G14" s="32" t="inlineStr">
        <is>
          <t>CO</t>
        </is>
      </c>
      <c r="H14" s="32" t="inlineStr">
        <is>
          <t>80011</t>
        </is>
      </c>
      <c r="I14" s="32" t="inlineStr">
        <is>
          <t>Adams</t>
        </is>
      </c>
      <c r="J14" s="32" t="inlineStr">
        <is>
          <t>Commercenter #6 LLC</t>
        </is>
      </c>
      <c r="K14" s="32" t="inlineStr">
        <is>
          <t>Commercenter #6 LLC</t>
        </is>
      </c>
      <c r="L14" s="32" t="inlineStr">
        <is>
          <t>Industrial - Warehouse</t>
        </is>
      </c>
      <c r="M14" s="32" t="inlineStr">
        <is>
          <t>Multi (3 tenants)</t>
        </is>
      </c>
      <c r="N14" s="33" t="n"/>
      <c r="O14" s="34" t="n"/>
      <c r="P14" s="34" t="n"/>
      <c r="Q14" s="34" t="n">
        <v>125000</v>
      </c>
      <c r="R14" s="35" t="n">
        <v>1998</v>
      </c>
      <c r="S14" s="32" t="n"/>
      <c r="T14" s="32" t="inlineStr">
        <is>
          <t>100% (6/30/2024 DOV)</t>
        </is>
      </c>
      <c r="U14" s="36" t="n"/>
      <c r="V14" s="32" t="inlineStr">
        <is>
          <t>2026</t>
        </is>
      </c>
      <c r="W14" s="36" t="n">
        <v>8754500</v>
      </c>
      <c r="X14" s="32" t="inlineStr">
        <is>
          <t>Majestic Realty Co. (Nicole Creighton, PM)</t>
        </is>
      </c>
      <c r="Y14" s="32" t="inlineStr">
        <is>
          <t>R0111559.pdf</t>
        </is>
      </c>
    </row>
    <row r="15">
      <c r="A15" s="32" t="inlineStr">
        <is>
          <t>R0111560</t>
        </is>
      </c>
      <c r="B15" s="32" t="inlineStr">
        <is>
          <t>R0111560</t>
        </is>
      </c>
      <c r="C15" s="32" t="inlineStr">
        <is>
          <t>R0111560</t>
        </is>
      </c>
      <c r="D15" s="32" t="inlineStr">
        <is>
          <t>Majestic Commercenter - Building 7</t>
        </is>
      </c>
      <c r="E15" s="32" t="inlineStr">
        <is>
          <t>20320 E. 36th Drive</t>
        </is>
      </c>
      <c r="F15" s="32" t="inlineStr">
        <is>
          <t>Aurora</t>
        </is>
      </c>
      <c r="G15" s="32" t="inlineStr">
        <is>
          <t>CO</t>
        </is>
      </c>
      <c r="H15" s="32" t="inlineStr">
        <is>
          <t>80011</t>
        </is>
      </c>
      <c r="I15" s="32" t="inlineStr">
        <is>
          <t>Adams</t>
        </is>
      </c>
      <c r="J15" s="32" t="inlineStr">
        <is>
          <t>Commercenter #7 LLC</t>
        </is>
      </c>
      <c r="K15" s="32" t="inlineStr">
        <is>
          <t>Commercenter #7 LLC</t>
        </is>
      </c>
      <c r="L15" s="32" t="inlineStr">
        <is>
          <t>Industrial - Warehouse</t>
        </is>
      </c>
      <c r="M15" s="32" t="inlineStr">
        <is>
          <t>Single tenant (vacant at DOV)</t>
        </is>
      </c>
      <c r="N15" s="33" t="n"/>
      <c r="O15" s="34" t="n"/>
      <c r="P15" s="34" t="n"/>
      <c r="Q15" s="34" t="n">
        <v>200000</v>
      </c>
      <c r="R15" s="35" t="n">
        <v>1998</v>
      </c>
      <c r="S15" s="32" t="n"/>
      <c r="T15" s="32" t="inlineStr">
        <is>
          <t>0% - 100% vacant (6/30/2024 DOV)</t>
        </is>
      </c>
      <c r="U15" s="36" t="n"/>
      <c r="V15" s="32" t="inlineStr">
        <is>
          <t>2026</t>
        </is>
      </c>
      <c r="W15" s="36" t="n">
        <v>10345200</v>
      </c>
      <c r="X15" s="32" t="inlineStr">
        <is>
          <t>Majestic Realty Co. (Nicole Creighton, PM)</t>
        </is>
      </c>
      <c r="Y15" s="32" t="inlineStr">
        <is>
          <t>R0111560.pdf</t>
        </is>
      </c>
    </row>
    <row r="16">
      <c r="A16" s="32" t="inlineStr">
        <is>
          <t>R0114026</t>
        </is>
      </c>
      <c r="B16" s="32" t="inlineStr">
        <is>
          <t>R0114026</t>
        </is>
      </c>
      <c r="C16" s="32" t="inlineStr">
        <is>
          <t>01825-10-1-02-023</t>
        </is>
      </c>
      <c r="D16" s="32" t="inlineStr">
        <is>
          <t>6051 Washington St</t>
        </is>
      </c>
      <c r="E16" s="32" t="inlineStr">
        <is>
          <t>6051 Washington St</t>
        </is>
      </c>
      <c r="F16" s="32" t="inlineStr">
        <is>
          <t>(not stated in document)</t>
        </is>
      </c>
      <c r="G16" s="32" t="inlineStr">
        <is>
          <t>CO</t>
        </is>
      </c>
      <c r="H16" s="32" t="inlineStr">
        <is>
          <t>(not stated in document)</t>
        </is>
      </c>
      <c r="I16" s="32" t="inlineStr">
        <is>
          <t>Adams</t>
        </is>
      </c>
      <c r="J16" s="32" t="inlineStr">
        <is>
          <t>Friesen-Washington Street LLC</t>
        </is>
      </c>
      <c r="K16" s="32" t="inlineStr">
        <is>
          <t>Friesen-Washington Street LLC</t>
        </is>
      </c>
      <c r="L16" s="32" t="inlineStr">
        <is>
          <t>Commercial / Industrial (multi-tenant)</t>
        </is>
      </c>
      <c r="M16" s="32" t="inlineStr">
        <is>
          <t>Multi (3 tenants)</t>
        </is>
      </c>
      <c r="N16" s="33" t="n"/>
      <c r="O16" s="34" t="n"/>
      <c r="P16" s="34" t="n"/>
      <c r="Q16" s="34" t="n"/>
      <c r="R16" s="35" t="n"/>
      <c r="S16" s="32" t="n"/>
      <c r="T16" s="32" t="inlineStr">
        <is>
          <t>(not stated in document)</t>
        </is>
      </c>
      <c r="U16" s="36" t="n"/>
      <c r="V16" s="32" t="inlineStr">
        <is>
          <t>2025</t>
        </is>
      </c>
      <c r="W16" s="36" t="n"/>
      <c r="X16" s="32" t="inlineStr">
        <is>
          <t>Owner (Shannon Friesen, bookkeeping)</t>
        </is>
      </c>
      <c r="Y16" s="32" t="inlineStr">
        <is>
          <t>R0114026.pdf</t>
        </is>
      </c>
    </row>
    <row r="17">
      <c r="A17" s="32" t="inlineStr">
        <is>
          <t>R0121833</t>
        </is>
      </c>
      <c r="B17" s="32" t="inlineStr">
        <is>
          <t>R0121833</t>
        </is>
      </c>
      <c r="C17" s="32" t="inlineStr">
        <is>
          <t>25-31459-0001-CO (PTR); Appeal 159402</t>
        </is>
      </c>
      <c r="D17" s="32" t="inlineStr">
        <is>
          <t>Anchor Business Park</t>
        </is>
      </c>
      <c r="E17" s="32" t="inlineStr">
        <is>
          <t>5360 Washington Street</t>
        </is>
      </c>
      <c r="F17" s="32" t="inlineStr">
        <is>
          <t>Denver</t>
        </is>
      </c>
      <c r="G17" s="32" t="inlineStr">
        <is>
          <t>CO</t>
        </is>
      </c>
      <c r="H17" s="32" t="inlineStr">
        <is>
          <t>80216</t>
        </is>
      </c>
      <c r="I17" s="32" t="inlineStr">
        <is>
          <t>Adams</t>
        </is>
      </c>
      <c r="J17" s="32" t="inlineStr">
        <is>
          <t>Anchor Business Park LLC</t>
        </is>
      </c>
      <c r="K17" s="32" t="inlineStr">
        <is>
          <t>Anchor Business Park LLC</t>
        </is>
      </c>
      <c r="L17" s="32" t="inlineStr">
        <is>
          <t>Industrial - Warehouse</t>
        </is>
      </c>
      <c r="M17" s="32" t="inlineStr">
        <is>
          <t>Multi (4 units / 5 leases)</t>
        </is>
      </c>
      <c r="N17" s="33" t="n"/>
      <c r="O17" s="34" t="n"/>
      <c r="P17" s="34" t="n">
        <v>36472</v>
      </c>
      <c r="Q17" s="34" t="n">
        <v>36472</v>
      </c>
      <c r="R17" s="35" t="n">
        <v>2001</v>
      </c>
      <c r="S17" s="32" t="n"/>
      <c r="T17" s="32" t="inlineStr">
        <is>
          <t>100% (5 leases on 2024 rent roll)</t>
        </is>
      </c>
      <c r="U17" s="36" t="n">
        <v>5487982</v>
      </c>
      <c r="V17" s="32" t="inlineStr">
        <is>
          <t>2025</t>
        </is>
      </c>
      <c r="W17" s="36" t="n">
        <v>3919000</v>
      </c>
      <c r="X17" s="32" t="inlineStr">
        <is>
          <t>Bart S. Hansen (Property Manager)</t>
        </is>
      </c>
      <c r="Y17" s="32" t="inlineStr">
        <is>
          <t>R0121833.pdf</t>
        </is>
      </c>
    </row>
    <row r="18">
      <c r="A18" s="32" t="inlineStr">
        <is>
          <t>R0103518</t>
        </is>
      </c>
      <c r="B18" s="32" t="inlineStr">
        <is>
          <t>R0103518</t>
        </is>
      </c>
      <c r="C18" s="32" t="inlineStr">
        <is>
          <t>R0103518</t>
        </is>
      </c>
      <c r="D18" s="32" t="inlineStr">
        <is>
          <t>11459 5977-5995 N Broadway</t>
        </is>
      </c>
      <c r="E18" s="32" t="inlineStr">
        <is>
          <t>5977-5995 N. Broadway</t>
        </is>
      </c>
      <c r="F18" s="32" t="inlineStr">
        <is>
          <t>Denver</t>
        </is>
      </c>
      <c r="G18" s="32" t="inlineStr">
        <is>
          <t>CO</t>
        </is>
      </c>
      <c r="H18" s="32" t="inlineStr">
        <is>
          <t>80216 (per rent roll; cover sheet prints 80012)</t>
        </is>
      </c>
      <c r="I18" s="32" t="inlineStr">
        <is>
          <t>Adams</t>
        </is>
      </c>
      <c r="J18" s="32" t="inlineStr">
        <is>
          <t>First Industrial Colorado</t>
        </is>
      </c>
      <c r="K18" s="32" t="inlineStr">
        <is>
          <t>First Industrial LP</t>
        </is>
      </c>
      <c r="L18" s="32" t="inlineStr">
        <is>
          <t>Industrial - Distribution</t>
        </is>
      </c>
      <c r="M18" s="32" t="inlineStr">
        <is>
          <t>Multi (2 tenants)</t>
        </is>
      </c>
      <c r="N18" s="45" t="n">
        <v>4.96</v>
      </c>
      <c r="O18" s="34" t="n">
        <v>216058</v>
      </c>
      <c r="P18" s="34" t="n"/>
      <c r="Q18" s="34" t="n">
        <v>54431</v>
      </c>
      <c r="R18" s="35" t="n">
        <v>1970</v>
      </c>
      <c r="S18" s="32" t="inlineStr">
        <is>
          <t>3.97 : 1</t>
        </is>
      </c>
      <c r="T18" s="32" t="inlineStr">
        <is>
          <t>100% (rent rolls 1/1/2023 &amp; 1/1/2024)</t>
        </is>
      </c>
      <c r="U18" s="36" t="n">
        <v>6885558</v>
      </c>
      <c r="V18" s="32" t="inlineStr">
        <is>
          <t>2024</t>
        </is>
      </c>
      <c r="W18" s="36" t="n">
        <v>5794600</v>
      </c>
      <c r="X18" s="32" t="inlineStr">
        <is>
          <t>First Industrial Realty Trust, Inc.</t>
        </is>
      </c>
      <c r="Y18" s="32" t="inlineStr">
        <is>
          <t>R0103518.pdf</t>
        </is>
      </c>
    </row>
    <row r="19">
      <c r="A19" s="32" t="inlineStr">
        <is>
          <t>R0103519</t>
        </is>
      </c>
      <c r="B19" s="32" t="inlineStr">
        <is>
          <t>R0103519</t>
        </is>
      </c>
      <c r="C19" s="32" t="inlineStr">
        <is>
          <t>R0103519</t>
        </is>
      </c>
      <c r="D19" s="32" t="inlineStr">
        <is>
          <t>5945 &amp; 5957 Broadway</t>
        </is>
      </c>
      <c r="E19" s="32" t="inlineStr">
        <is>
          <t>5945 Broadway</t>
        </is>
      </c>
      <c r="F19" s="32" t="inlineStr">
        <is>
          <t>Denver</t>
        </is>
      </c>
      <c r="G19" s="32" t="inlineStr">
        <is>
          <t>CO</t>
        </is>
      </c>
      <c r="H19" s="32" t="inlineStr">
        <is>
          <t>80216 (est.)</t>
        </is>
      </c>
      <c r="I19" s="32" t="inlineStr">
        <is>
          <t>Adams</t>
        </is>
      </c>
      <c r="J19" s="32" t="inlineStr">
        <is>
          <t>P &amp; J Trujillo LLLP</t>
        </is>
      </c>
      <c r="K19" s="32" t="inlineStr">
        <is>
          <t>P &amp; J Trujillo LLLP</t>
        </is>
      </c>
      <c r="L19" s="32" t="inlineStr">
        <is>
          <t>Commercial / Industrial (multi-tenant)</t>
        </is>
      </c>
      <c r="M19" s="32" t="inlineStr">
        <is>
          <t>Multi (5 spaces)</t>
        </is>
      </c>
      <c r="N19" s="45" t="n"/>
      <c r="O19" s="34" t="n"/>
      <c r="P19" s="34" t="n"/>
      <c r="Q19" s="34" t="n">
        <v>65227</v>
      </c>
      <c r="R19" s="35" t="n"/>
      <c r="S19" s="32" t="n"/>
      <c r="T19" s="32" t="inlineStr">
        <is>
          <t>100% - 'No vacant space' at all 5 rent-roll dates</t>
        </is>
      </c>
      <c r="U19" s="36" t="n">
        <v>7902868</v>
      </c>
      <c r="V19" s="32" t="inlineStr">
        <is>
          <t>2025</t>
        </is>
      </c>
      <c r="W19" s="36" t="n">
        <v>5900000</v>
      </c>
      <c r="X19" s="32" t="inlineStr">
        <is>
          <t>P &amp; J Trujillo LLLP (Peggy L. Trujillo, GP)</t>
        </is>
      </c>
      <c r="Y19" s="32" t="inlineStr">
        <is>
          <t>R0103519.pdf</t>
        </is>
      </c>
    </row>
    <row r="20">
      <c r="A20" s="32" t="inlineStr">
        <is>
          <t>R0103704</t>
        </is>
      </c>
      <c r="B20" s="32" t="inlineStr">
        <is>
          <t>R0103704</t>
        </is>
      </c>
      <c r="C20" s="32" t="inlineStr">
        <is>
          <t>0182511300068</t>
        </is>
      </c>
      <c r="D20" s="32" t="inlineStr">
        <is>
          <t>5720 Washington St</t>
        </is>
      </c>
      <c r="E20" s="32" t="inlineStr">
        <is>
          <t>5720 Washington St</t>
        </is>
      </c>
      <c r="F20" s="32" t="inlineStr">
        <is>
          <t>Denver</t>
        </is>
      </c>
      <c r="G20" s="32" t="inlineStr">
        <is>
          <t>CO</t>
        </is>
      </c>
      <c r="H20" s="32" t="inlineStr">
        <is>
          <t>80216-1322</t>
        </is>
      </c>
      <c r="I20" s="32" t="inlineStr">
        <is>
          <t>Adams</t>
        </is>
      </c>
      <c r="J20" s="32" t="inlineStr">
        <is>
          <t>CB Resources LLC</t>
        </is>
      </c>
      <c r="K20" s="32" t="inlineStr">
        <is>
          <t>CB Resources LLC</t>
        </is>
      </c>
      <c r="L20" s="32" t="inlineStr">
        <is>
          <t>Office / Warehouse ('office spaces')</t>
        </is>
      </c>
      <c r="M20" s="32" t="inlineStr">
        <is>
          <t>Owner-occupied</t>
        </is>
      </c>
      <c r="N20" s="45" t="n"/>
      <c r="O20" s="34" t="n"/>
      <c r="P20" s="34" t="n"/>
      <c r="Q20" s="34" t="n">
        <v>18000</v>
      </c>
      <c r="R20" s="35" t="n"/>
      <c r="S20" s="32" t="n"/>
      <c r="T20" s="32" t="inlineStr">
        <is>
          <t>100% owner-occupied</t>
        </is>
      </c>
      <c r="U20" s="36" t="n"/>
      <c r="V20" s="32" t="inlineStr">
        <is>
          <t>2024 survey (2025 reappraisal)</t>
        </is>
      </c>
      <c r="W20" s="36" t="n"/>
      <c r="X20" s="32" t="inlineStr">
        <is>
          <t>Owner</t>
        </is>
      </c>
      <c r="Y20" s="32" t="inlineStr">
        <is>
          <t>R0103704.pdf</t>
        </is>
      </c>
    </row>
    <row r="21">
      <c r="A21" s="32" t="inlineStr">
        <is>
          <t>R0103779</t>
        </is>
      </c>
      <c r="B21" s="32" t="inlineStr">
        <is>
          <t>R0103779</t>
        </is>
      </c>
      <c r="C21" s="32" t="inlineStr">
        <is>
          <t>0182511400063</t>
        </is>
      </c>
      <c r="D21" s="32" t="inlineStr">
        <is>
          <t>1890 E 58th Ave</t>
        </is>
      </c>
      <c r="E21" s="32" t="inlineStr">
        <is>
          <t>1890 E 58th Ave</t>
        </is>
      </c>
      <c r="F21" s="32" t="inlineStr">
        <is>
          <t>Denver</t>
        </is>
      </c>
      <c r="G21" s="32" t="inlineStr">
        <is>
          <t>CO</t>
        </is>
      </c>
      <c r="H21" s="32" t="inlineStr">
        <is>
          <t>80216</t>
        </is>
      </c>
      <c r="I21" s="32" t="inlineStr">
        <is>
          <t>Adams</t>
        </is>
      </c>
      <c r="J21" s="32" t="inlineStr">
        <is>
          <t>Federal Partners LLC</t>
        </is>
      </c>
      <c r="K21" s="32" t="inlineStr">
        <is>
          <t>Federal Partners LLC</t>
        </is>
      </c>
      <c r="L21" s="32" t="inlineStr">
        <is>
          <t>Industrial - Warehouse</t>
        </is>
      </c>
      <c r="M21" s="32" t="inlineStr">
        <is>
          <t>Part owner-occupied (~50%) / multi-tenant</t>
        </is>
      </c>
      <c r="N21" s="45" t="n"/>
      <c r="O21" s="34" t="n"/>
      <c r="P21" s="34" t="n"/>
      <c r="Q21" s="34" t="n"/>
      <c r="R21" s="35" t="n"/>
      <c r="S21" s="32" t="n"/>
      <c r="T21" s="32" t="inlineStr">
        <is>
          <t>Owner occupies ~50% (47,000 SF); balance multi-tenant; 100% of building rented or subject to lease</t>
        </is>
      </c>
      <c r="U21" s="36" t="n"/>
      <c r="V21" s="32" t="inlineStr">
        <is>
          <t>2024 survey (2025 reappraisal)</t>
        </is>
      </c>
      <c r="W21" s="36" t="n"/>
      <c r="X21" s="32" t="inlineStr">
        <is>
          <t>Owner</t>
        </is>
      </c>
      <c r="Y21" s="32" t="inlineStr">
        <is>
          <t>R0103779.pdf</t>
        </is>
      </c>
    </row>
    <row r="22">
      <c r="A22" s="32" t="inlineStr">
        <is>
          <t>R0104122</t>
        </is>
      </c>
      <c r="B22" s="32" t="inlineStr">
        <is>
          <t>R0104122</t>
        </is>
      </c>
      <c r="C22" s="32" t="inlineStr">
        <is>
          <t>0182515202002</t>
        </is>
      </c>
      <c r="D22" s="32" t="inlineStr">
        <is>
          <t>550 W 53rd Pl</t>
        </is>
      </c>
      <c r="E22" s="32" t="inlineStr">
        <is>
          <t>550 W 53rd Pl</t>
        </is>
      </c>
      <c r="F22" s="32" t="inlineStr">
        <is>
          <t>(not stated in document)</t>
        </is>
      </c>
      <c r="G22" s="32" t="inlineStr">
        <is>
          <t>CO</t>
        </is>
      </c>
      <c r="H22" s="32" t="inlineStr">
        <is>
          <t>(not stated in document)</t>
        </is>
      </c>
      <c r="I22" s="32" t="inlineStr">
        <is>
          <t>Adams</t>
        </is>
      </c>
      <c r="J22" s="32" t="inlineStr">
        <is>
          <t>WSDB 550 LLC</t>
        </is>
      </c>
      <c r="K22" s="32" t="inlineStr">
        <is>
          <t>WSDB 550 LLC</t>
        </is>
      </c>
      <c r="L22" s="32" t="inlineStr">
        <is>
          <t>Industrial / Retail (multi-tenant)</t>
        </is>
      </c>
      <c r="M22" s="32" t="inlineStr">
        <is>
          <t>Multi (2 tenants)</t>
        </is>
      </c>
      <c r="N22" s="45" t="n"/>
      <c r="O22" s="34" t="n"/>
      <c r="P22" s="34" t="n"/>
      <c r="Q22" s="34" t="n">
        <v>127000</v>
      </c>
      <c r="R22" s="35" t="n"/>
      <c r="S22" s="32" t="n"/>
      <c r="T22" s="32" t="inlineStr">
        <is>
          <t>100% (2 tenants on 06/24 rent roll)</t>
        </is>
      </c>
      <c r="U22" s="36" t="n"/>
      <c r="V22" s="32" t="inlineStr">
        <is>
          <t>2025</t>
        </is>
      </c>
      <c r="W22" s="36" t="n"/>
      <c r="X22" s="32" t="inlineStr">
        <is>
          <t>Owner</t>
        </is>
      </c>
      <c r="Y22" s="32" t="inlineStr">
        <is>
          <t>R0104122.pdf</t>
        </is>
      </c>
    </row>
    <row r="23">
      <c r="A23" s="32" t="inlineStr">
        <is>
          <t>R0187789</t>
        </is>
      </c>
      <c r="B23" s="32" t="inlineStr">
        <is>
          <t>R0187789</t>
        </is>
      </c>
      <c r="C23" s="32" t="inlineStr">
        <is>
          <t>R0187789</t>
        </is>
      </c>
      <c r="D23" s="32" t="inlineStr">
        <is>
          <t>5710 E. 56th Avenue</t>
        </is>
      </c>
      <c r="E23" s="32" t="inlineStr">
        <is>
          <t>5710 E. 56th Avenue</t>
        </is>
      </c>
      <c r="F23" s="32" t="inlineStr">
        <is>
          <t>Commerce City</t>
        </is>
      </c>
      <c r="G23" s="32" t="inlineStr">
        <is>
          <t>CO</t>
        </is>
      </c>
      <c r="H23" s="32" t="inlineStr">
        <is>
          <t>(not stated in document)</t>
        </is>
      </c>
      <c r="I23" s="32" t="inlineStr">
        <is>
          <t>Adams</t>
        </is>
      </c>
      <c r="J23" s="32" t="inlineStr">
        <is>
          <t>KEW Realty Corporation (David Spira, President)</t>
        </is>
      </c>
      <c r="K23" s="32" t="inlineStr">
        <is>
          <t>KEW Realty Corporation</t>
        </is>
      </c>
      <c r="L23" s="32" t="inlineStr">
        <is>
          <t>Industrial / Flex (multi-tenant)</t>
        </is>
      </c>
      <c r="M23" s="32" t="inlineStr">
        <is>
          <t>Multi (3 tenants)</t>
        </is>
      </c>
      <c r="N23" s="33" t="n">
        <v>2.82</v>
      </c>
      <c r="O23" s="34" t="n"/>
      <c r="P23" s="34" t="n"/>
      <c r="Q23" s="34" t="n">
        <v>50000</v>
      </c>
      <c r="R23" s="35" t="n">
        <v>2016</v>
      </c>
      <c r="S23" s="32" t="n"/>
      <c r="T23" s="32" t="inlineStr">
        <is>
          <t>100% (6/30/2024) - stabilized</t>
        </is>
      </c>
      <c r="U23" s="36" t="n">
        <v>6896593</v>
      </c>
      <c r="V23" s="32" t="inlineStr">
        <is>
          <t>2025</t>
        </is>
      </c>
      <c r="W23" s="36" t="n">
        <v>5440000</v>
      </c>
      <c r="X23" s="32" t="inlineStr">
        <is>
          <t>Sterling Property Tax Specialists / Goldstein Law Firm (agents)</t>
        </is>
      </c>
      <c r="Y23" s="32" t="inlineStr">
        <is>
          <t>R0187789.pdf</t>
        </is>
      </c>
    </row>
    <row r="24">
      <c r="A24" s="32" t="inlineStr">
        <is>
          <t>R0188699</t>
        </is>
      </c>
      <c r="B24" s="32" t="inlineStr">
        <is>
          <t>R0188699</t>
        </is>
      </c>
      <c r="C24" s="32" t="inlineStr">
        <is>
          <t>R0188699</t>
        </is>
      </c>
      <c r="D24" s="32" t="inlineStr">
        <is>
          <t>Confluent Center 70</t>
        </is>
      </c>
      <c r="E24" s="32" t="inlineStr">
        <is>
          <t>15100 East 40th Avenue</t>
        </is>
      </c>
      <c r="F24" s="32" t="inlineStr">
        <is>
          <t>Aurora</t>
        </is>
      </c>
      <c r="G24" s="32" t="inlineStr">
        <is>
          <t>CO</t>
        </is>
      </c>
      <c r="H24" s="32" t="inlineStr">
        <is>
          <t>(not stated in document)</t>
        </is>
      </c>
      <c r="I24" s="32" t="inlineStr">
        <is>
          <t>Adams</t>
        </is>
      </c>
      <c r="J24" s="32" t="inlineStr">
        <is>
          <t>LBA Realty Fund</t>
        </is>
      </c>
      <c r="K24" s="32" t="inlineStr">
        <is>
          <t>LBA NCC2-Company II, LLC</t>
        </is>
      </c>
      <c r="L24" s="32" t="inlineStr">
        <is>
          <t>Industrial (30' clear height)</t>
        </is>
      </c>
      <c r="M24" s="32" t="inlineStr">
        <is>
          <t>Multi/single not itemized</t>
        </is>
      </c>
      <c r="N24" s="33" t="n">
        <v>6.16</v>
      </c>
      <c r="O24" s="34" t="n"/>
      <c r="P24" s="34" t="n"/>
      <c r="Q24" s="34" t="n">
        <v>105174</v>
      </c>
      <c r="R24" s="35" t="n">
        <v>2016</v>
      </c>
      <c r="S24" s="32" t="n"/>
      <c r="T24" s="32" t="inlineStr">
        <is>
          <t>100% (6/30/2024)</t>
        </is>
      </c>
      <c r="U24" s="36" t="n">
        <v>13272555</v>
      </c>
      <c r="V24" s="32" t="inlineStr">
        <is>
          <t>2025</t>
        </is>
      </c>
      <c r="W24" s="36" t="n">
        <v>11498000</v>
      </c>
      <c r="X24" s="32" t="inlineStr">
        <is>
          <t>LBA Realty (Stephanie Olazabal, VP Property Accounting)</t>
        </is>
      </c>
      <c r="Y24" s="32" t="inlineStr">
        <is>
          <t>R0188699.pdf</t>
        </is>
      </c>
    </row>
    <row r="25">
      <c r="A25" s="32" t="inlineStr">
        <is>
          <t>R0198179</t>
        </is>
      </c>
      <c r="B25" s="32" t="inlineStr">
        <is>
          <t>R0198179</t>
        </is>
      </c>
      <c r="C25" s="32" t="inlineStr">
        <is>
          <t>(not stated in document)</t>
        </is>
      </c>
      <c r="D25" s="32" t="inlineStr">
        <is>
          <t>17851 E 40th Avenue</t>
        </is>
      </c>
      <c r="E25" s="32" t="inlineStr">
        <is>
          <t>17851 E 40th Avenue</t>
        </is>
      </c>
      <c r="F25" s="32" t="inlineStr">
        <is>
          <t>Aurora</t>
        </is>
      </c>
      <c r="G25" s="32" t="inlineStr">
        <is>
          <t>CO</t>
        </is>
      </c>
      <c r="H25" s="32" t="inlineStr">
        <is>
          <t>80011</t>
        </is>
      </c>
      <c r="I25" s="32" t="inlineStr">
        <is>
          <t>Adams</t>
        </is>
      </c>
      <c r="J25" s="32" t="inlineStr">
        <is>
          <t>Prologis, L.P. (successor-in-interest to DCT Summit LLC)</t>
        </is>
      </c>
      <c r="K25" s="32" t="inlineStr">
        <is>
          <t>Prologis, L.P.</t>
        </is>
      </c>
      <c r="L25" s="32" t="inlineStr">
        <is>
          <t>Industrial - leased to the State of Colorado</t>
        </is>
      </c>
      <c r="M25" s="32" t="inlineStr">
        <is>
          <t>Single tenant (State of Colorado)</t>
        </is>
      </c>
      <c r="N25" s="33" t="n"/>
      <c r="O25" s="34" t="n"/>
      <c r="P25" s="34" t="n"/>
      <c r="Q25" s="34" t="n">
        <v>82131</v>
      </c>
      <c r="R25" s="35" t="n"/>
      <c r="S25" s="32" t="n"/>
      <c r="T25" s="32" t="inlineStr">
        <is>
          <t>100% leased (State of Colorado)</t>
        </is>
      </c>
      <c r="U25" s="36" t="n"/>
      <c r="V25" s="32" t="inlineStr">
        <is>
          <t>(not stated in document)</t>
        </is>
      </c>
      <c r="W25" s="36" t="n"/>
      <c r="X25" s="32" t="inlineStr">
        <is>
          <t>Prologis, Inc. (general partner)</t>
        </is>
      </c>
      <c r="Y25" s="32" t="inlineStr">
        <is>
          <t>R0198179.pdf</t>
        </is>
      </c>
    </row>
    <row r="26">
      <c r="A26" s="32" t="inlineStr">
        <is>
          <t>R0191099</t>
        </is>
      </c>
      <c r="B26" s="32" t="inlineStr">
        <is>
          <t>R0191099</t>
        </is>
      </c>
      <c r="C26" s="32" t="inlineStr">
        <is>
          <t>R0191099</t>
        </is>
      </c>
      <c r="D26" s="32" t="inlineStr">
        <is>
          <t>Majestic Commercenter - Building 5</t>
        </is>
      </c>
      <c r="E26" s="32" t="inlineStr">
        <is>
          <t>3559 N Himalaya Road</t>
        </is>
      </c>
      <c r="F26" s="32" t="inlineStr">
        <is>
          <t>Aurora</t>
        </is>
      </c>
      <c r="G26" s="32" t="inlineStr">
        <is>
          <t>CO</t>
        </is>
      </c>
      <c r="H26" s="32" t="inlineStr">
        <is>
          <t>80011</t>
        </is>
      </c>
      <c r="I26" s="32" t="inlineStr">
        <is>
          <t>Adams</t>
        </is>
      </c>
      <c r="J26" s="32" t="inlineStr">
        <is>
          <t>Majestic Commercenter Phase 9 (bldg 206605)</t>
        </is>
      </c>
      <c r="K26" s="32" t="inlineStr">
        <is>
          <t>Majestic Commercenter Phase 9</t>
        </is>
      </c>
      <c r="L26" s="32" t="inlineStr">
        <is>
          <t>Industrial - Warehouse</t>
        </is>
      </c>
      <c r="M26" s="32" t="inlineStr">
        <is>
          <t>Multi (4 tenants)</t>
        </is>
      </c>
      <c r="N26" s="33" t="n"/>
      <c r="O26" s="34" t="n"/>
      <c r="P26" s="34" t="n"/>
      <c r="Q26" s="34" t="n">
        <v>159047</v>
      </c>
      <c r="R26" s="35" t="n">
        <v>2017</v>
      </c>
      <c r="S26" s="32" t="n"/>
      <c r="T26" s="32" t="inlineStr">
        <is>
          <t>100% (6/30/2024 DOV)</t>
        </is>
      </c>
      <c r="U26" s="36" t="n">
        <v>19943316</v>
      </c>
      <c r="V26" s="32" t="inlineStr">
        <is>
          <t>2025</t>
        </is>
      </c>
      <c r="W26" s="36" t="n">
        <v>11139000</v>
      </c>
      <c r="X26" s="32" t="inlineStr">
        <is>
          <t>Majestic Realty Co. (Nicole Creighton, PM)</t>
        </is>
      </c>
      <c r="Y26" s="32" t="inlineStr">
        <is>
          <t>R0191099.pdf</t>
        </is>
      </c>
    </row>
    <row r="27">
      <c r="A27" s="32" t="inlineStr">
        <is>
          <t>R0200721</t>
        </is>
      </c>
      <c r="B27" s="32" t="inlineStr">
        <is>
          <t>R0200721</t>
        </is>
      </c>
      <c r="C27" s="32" t="inlineStr">
        <is>
          <t>R0200721</t>
        </is>
      </c>
      <c r="D27" s="32" t="inlineStr">
        <is>
          <t>3420 Lisbon Street</t>
        </is>
      </c>
      <c r="E27" s="32" t="inlineStr">
        <is>
          <t>3420 N. Lisbon Street</t>
        </is>
      </c>
      <c r="F27" s="32" t="inlineStr">
        <is>
          <t>Aurora</t>
        </is>
      </c>
      <c r="G27" s="32" t="inlineStr">
        <is>
          <t>CO</t>
        </is>
      </c>
      <c r="H27" s="32" t="inlineStr">
        <is>
          <t>80011</t>
        </is>
      </c>
      <c r="I27" s="32" t="inlineStr">
        <is>
          <t>Adams</t>
        </is>
      </c>
      <c r="J27" s="32" t="inlineStr">
        <is>
          <t>Majestic Lisbon Buildings, LLC (bldg 347002)</t>
        </is>
      </c>
      <c r="K27" s="32" t="inlineStr">
        <is>
          <t>Majestic Lisbon Buildings, LLC</t>
        </is>
      </c>
      <c r="L27" s="32" t="inlineStr">
        <is>
          <t>Industrial - Warehouse</t>
        </is>
      </c>
      <c r="M27" s="32" t="inlineStr">
        <is>
          <t>Single tenant</t>
        </is>
      </c>
      <c r="N27" s="33" t="n"/>
      <c r="O27" s="34" t="n"/>
      <c r="P27" s="34" t="n"/>
      <c r="Q27" s="34" t="n">
        <v>36212</v>
      </c>
      <c r="R27" s="35" t="n">
        <v>2019</v>
      </c>
      <c r="S27" s="32" t="n"/>
      <c r="T27" s="32" t="inlineStr">
        <is>
          <t>100% (6/30/2024 DOV)</t>
        </is>
      </c>
      <c r="U27" s="36" t="n">
        <v>5477148</v>
      </c>
      <c r="V27" s="32" t="inlineStr">
        <is>
          <t>2025</t>
        </is>
      </c>
      <c r="W27" s="36" t="n">
        <v>4463600</v>
      </c>
      <c r="X27" s="32" t="inlineStr">
        <is>
          <t>Majestic Realty Co. (Nicole Creighton, PM)</t>
        </is>
      </c>
      <c r="Y27" s="32" t="inlineStr">
        <is>
          <t>R0200721.pdf</t>
        </is>
      </c>
    </row>
    <row r="28">
      <c r="A28" s="32" t="inlineStr">
        <is>
          <t>R0187787</t>
        </is>
      </c>
      <c r="B28" s="32" t="inlineStr">
        <is>
          <t>R0187787</t>
        </is>
      </c>
      <c r="C28" s="32" t="inlineStr">
        <is>
          <t>R0187787</t>
        </is>
      </c>
      <c r="D28" s="32" t="inlineStr">
        <is>
          <t>5690 E. 56th Avenue</t>
        </is>
      </c>
      <c r="E28" s="32" t="inlineStr">
        <is>
          <t>5690 E. 56th Avenue</t>
        </is>
      </c>
      <c r="F28" s="32" t="inlineStr">
        <is>
          <t>Commerce City</t>
        </is>
      </c>
      <c r="G28" s="32" t="inlineStr">
        <is>
          <t>CO</t>
        </is>
      </c>
      <c r="H28" s="32" t="inlineStr">
        <is>
          <t>(not stated in document)</t>
        </is>
      </c>
      <c r="I28" s="32" t="inlineStr">
        <is>
          <t>Adams</t>
        </is>
      </c>
      <c r="J28" s="32" t="inlineStr">
        <is>
          <t>KEW Realty Corporation (David Spira, President)</t>
        </is>
      </c>
      <c r="K28" s="32" t="inlineStr">
        <is>
          <t>KEW Realty Corporation</t>
        </is>
      </c>
      <c r="L28" s="32" t="inlineStr">
        <is>
          <t>Industrial / Flex (multi-tenant)</t>
        </is>
      </c>
      <c r="M28" s="32" t="inlineStr">
        <is>
          <t>Multi (4 units)</t>
        </is>
      </c>
      <c r="N28" s="45" t="n">
        <v>2.14</v>
      </c>
      <c r="O28" s="34" t="n"/>
      <c r="P28" s="34" t="n"/>
      <c r="Q28" s="34" t="n">
        <v>35000</v>
      </c>
      <c r="R28" s="35" t="n">
        <v>2016</v>
      </c>
      <c r="S28" s="32" t="n"/>
      <c r="T28" s="32" t="inlineStr">
        <is>
          <t>100% (6/30/2024) - stabilized</t>
        </is>
      </c>
      <c r="U28" s="36" t="n">
        <v>5266489</v>
      </c>
      <c r="V28" s="32" t="inlineStr">
        <is>
          <t>2025</t>
        </is>
      </c>
      <c r="W28" s="36" t="n">
        <v>3930000</v>
      </c>
      <c r="X28" s="32" t="inlineStr">
        <is>
          <t>Sterling Property Tax Specialists / Goldstein Law Firm (agents)</t>
        </is>
      </c>
      <c r="Y28" s="32" t="inlineStr">
        <is>
          <t>R0187787.pdf</t>
        </is>
      </c>
    </row>
    <row r="29">
      <c r="A29" s="32" t="inlineStr">
        <is>
          <t>R0157664</t>
        </is>
      </c>
      <c r="B29" s="32" t="inlineStr">
        <is>
          <t>R0157664</t>
        </is>
      </c>
      <c r="C29" s="32" t="inlineStr">
        <is>
          <t>0172132216014</t>
        </is>
      </c>
      <c r="D29" s="32" t="inlineStr">
        <is>
          <t>Alpine Park II - 6045 E 76th Avenue</t>
        </is>
      </c>
      <c r="E29" s="32" t="inlineStr">
        <is>
          <t>6045 E 76th Avenue</t>
        </is>
      </c>
      <c r="F29" s="32" t="inlineStr">
        <is>
          <t>Commerce City</t>
        </is>
      </c>
      <c r="G29" s="32" t="inlineStr">
        <is>
          <t>CO</t>
        </is>
      </c>
      <c r="H29" s="32" t="inlineStr">
        <is>
          <t>(not stated in document)</t>
        </is>
      </c>
      <c r="I29" s="32" t="inlineStr">
        <is>
          <t>Adams</t>
        </is>
      </c>
      <c r="J29" s="32" t="inlineStr">
        <is>
          <t>4711 West Tennessee Avenue LLC (Scott Alan McCormick, Manager)</t>
        </is>
      </c>
      <c r="K29" s="32" t="inlineStr">
        <is>
          <t>4711 West Tennessee Avenue LLC</t>
        </is>
      </c>
      <c r="L29" s="32" t="inlineStr">
        <is>
          <t>Industrial - Warehouse (multi-bay)</t>
        </is>
      </c>
      <c r="M29" s="32" t="inlineStr">
        <is>
          <t>Multi (11 bays)</t>
        </is>
      </c>
      <c r="N29" s="45" t="n"/>
      <c r="O29" s="34" t="n">
        <v>66700</v>
      </c>
      <c r="P29" s="34" t="n"/>
      <c r="Q29" s="34" t="n">
        <v>21000</v>
      </c>
      <c r="R29" s="35" t="n">
        <v>1988</v>
      </c>
      <c r="S29" s="32" t="n"/>
      <c r="T29" s="32" t="inlineStr">
        <is>
          <t>71.4% - 6,000 SF vacant of 21,000 SF (May 2024 rent roll)</t>
        </is>
      </c>
      <c r="U29" s="36" t="n">
        <v>3423218</v>
      </c>
      <c r="V29" s="32" t="inlineStr">
        <is>
          <t>2025</t>
        </is>
      </c>
      <c r="W29" s="36" t="n">
        <v>2200000</v>
      </c>
      <c r="X29" s="32" t="inlineStr">
        <is>
          <t>R.H. Jacobson &amp; Company (agent)</t>
        </is>
      </c>
      <c r="Y29" s="32" t="inlineStr">
        <is>
          <t>R0157664.pdf</t>
        </is>
      </c>
    </row>
    <row r="30">
      <c r="A30" s="32" t="inlineStr">
        <is>
          <t>R0164588</t>
        </is>
      </c>
      <c r="B30" s="32" t="inlineStr">
        <is>
          <t>R0164588</t>
        </is>
      </c>
      <c r="C30" s="32" t="inlineStr">
        <is>
          <t>R0164588</t>
        </is>
      </c>
      <c r="D30" s="32" t="inlineStr">
        <is>
          <t>9410 Heinz Way</t>
        </is>
      </c>
      <c r="E30" s="32" t="inlineStr">
        <is>
          <t>9410 Heinz Way</t>
        </is>
      </c>
      <c r="F30" s="32" t="inlineStr">
        <is>
          <t>Commerce City</t>
        </is>
      </c>
      <c r="G30" s="32" t="inlineStr">
        <is>
          <t>CO</t>
        </is>
      </c>
      <c r="H30" s="32" t="inlineStr">
        <is>
          <t>(not stated in document)</t>
        </is>
      </c>
      <c r="I30" s="32" t="inlineStr">
        <is>
          <t>Adams</t>
        </is>
      </c>
      <c r="J30" s="32" t="inlineStr">
        <is>
          <t>ASB Real Estate</t>
        </is>
      </c>
      <c r="K30" s="32" t="inlineStr">
        <is>
          <t>9410 Heinz Owner LLC</t>
        </is>
      </c>
      <c r="L30" s="32" t="inlineStr">
        <is>
          <t>Industrial - Distribution</t>
        </is>
      </c>
      <c r="M30" s="32" t="inlineStr">
        <is>
          <t>Single tenant (vacant)</t>
        </is>
      </c>
      <c r="N30" s="45" t="n">
        <v>18.29</v>
      </c>
      <c r="O30" s="34" t="n"/>
      <c r="P30" s="34" t="n"/>
      <c r="Q30" s="34" t="n">
        <v>140630</v>
      </c>
      <c r="R30" s="35" t="n">
        <v>2005</v>
      </c>
      <c r="S30" s="32" t="n"/>
      <c r="T30" s="32" t="inlineStr">
        <is>
          <t>0% - 100% vacant at 6/30/2024; Home Depot lease expired Nov 2022</t>
        </is>
      </c>
      <c r="U30" s="36" t="n">
        <v>17644243</v>
      </c>
      <c r="V30" s="32" t="inlineStr">
        <is>
          <t>2025</t>
        </is>
      </c>
      <c r="W30" s="36" t="n">
        <v>8539000</v>
      </c>
      <c r="X30" s="32" t="inlineStr">
        <is>
          <t>Allegiance / ASB Allegiance Fund</t>
        </is>
      </c>
      <c r="Y30" s="32" t="inlineStr">
        <is>
          <t>R0164588.pdf</t>
        </is>
      </c>
    </row>
    <row r="31">
      <c r="A31" s="32" t="inlineStr">
        <is>
          <t>R0164287</t>
        </is>
      </c>
      <c r="B31" s="32" t="inlineStr">
        <is>
          <t>R0164287</t>
        </is>
      </c>
      <c r="C31" s="32" t="inlineStr">
        <is>
          <t>0182128401002</t>
        </is>
      </c>
      <c r="D31" s="32" t="inlineStr">
        <is>
          <t>2850 Walden Street</t>
        </is>
      </c>
      <c r="E31" s="32" t="inlineStr">
        <is>
          <t>2850 Walden Street</t>
        </is>
      </c>
      <c r="F31" s="32" t="inlineStr">
        <is>
          <t>Aurora</t>
        </is>
      </c>
      <c r="G31" s="32" t="inlineStr">
        <is>
          <t>CO</t>
        </is>
      </c>
      <c r="H31" s="32" t="inlineStr">
        <is>
          <t>80011</t>
        </is>
      </c>
      <c r="I31" s="32" t="inlineStr">
        <is>
          <t>Adams</t>
        </is>
      </c>
      <c r="J31" s="32" t="inlineStr">
        <is>
          <t>EDC Holdings LLC (Edward D Chandler, member)</t>
        </is>
      </c>
      <c r="K31" s="32" t="inlineStr">
        <is>
          <t>EDC Holdings LLC</t>
        </is>
      </c>
      <c r="L31" s="32" t="inlineStr">
        <is>
          <t>Industrial - Warehouse / Distribution (with admin offices)</t>
        </is>
      </c>
      <c r="M31" s="32" t="inlineStr">
        <is>
          <t>Single tenant</t>
        </is>
      </c>
      <c r="N31" s="45" t="n"/>
      <c r="O31" s="34" t="n"/>
      <c r="P31" s="34" t="n"/>
      <c r="Q31" s="34" t="n">
        <v>27819</v>
      </c>
      <c r="R31" s="35" t="n"/>
      <c r="S31" s="32" t="n"/>
      <c r="T31" s="32" t="inlineStr">
        <is>
          <t>100% - single tenant, 0% vacant</t>
        </is>
      </c>
      <c r="U31" s="36" t="n">
        <v>4531688</v>
      </c>
      <c r="V31" s="32" t="inlineStr">
        <is>
          <t>2025</t>
        </is>
      </c>
      <c r="W31" s="36" t="n">
        <v>2835000</v>
      </c>
      <c r="X31" s="32" t="inlineStr">
        <is>
          <t>Owner-managed</t>
        </is>
      </c>
      <c r="Y31" s="32" t="inlineStr">
        <is>
          <t>R0164287.pdf</t>
        </is>
      </c>
    </row>
    <row r="32">
      <c r="A32" s="32" t="inlineStr">
        <is>
          <t>R0180894</t>
        </is>
      </c>
      <c r="B32" s="32" t="inlineStr">
        <is>
          <t>R0180894</t>
        </is>
      </c>
      <c r="C32" s="32" t="inlineStr">
        <is>
          <t>R0180894</t>
        </is>
      </c>
      <c r="D32" s="32" t="inlineStr">
        <is>
          <t>Park 70 - 1910 N Gun Club Rd</t>
        </is>
      </c>
      <c r="E32" s="32" t="inlineStr">
        <is>
          <t>1910 N Gun Club Rd</t>
        </is>
      </c>
      <c r="F32" s="32" t="inlineStr">
        <is>
          <t>Aurora</t>
        </is>
      </c>
      <c r="G32" s="32" t="inlineStr">
        <is>
          <t>CO</t>
        </is>
      </c>
      <c r="H32" s="32" t="inlineStr">
        <is>
          <t>80019</t>
        </is>
      </c>
      <c r="I32" s="32" t="inlineStr">
        <is>
          <t>Adams</t>
        </is>
      </c>
      <c r="J32" s="32" t="inlineStr">
        <is>
          <t>Alpha Industrial Properties (client); Cherry Owner II LLC (owner of record)</t>
        </is>
      </c>
      <c r="K32" s="32" t="inlineStr">
        <is>
          <t>Cherry Owner II LLC</t>
        </is>
      </c>
      <c r="L32" s="32" t="inlineStr">
        <is>
          <t>Industrial - Warehouse (Class A)</t>
        </is>
      </c>
      <c r="M32" s="32" t="inlineStr">
        <is>
          <t>Not itemized</t>
        </is>
      </c>
      <c r="N32" s="45" t="n">
        <v>10.29</v>
      </c>
      <c r="O32" s="34" t="n">
        <v>448232</v>
      </c>
      <c r="P32" s="34" t="n"/>
      <c r="Q32" s="34" t="n">
        <v>163790</v>
      </c>
      <c r="R32" s="35" t="n">
        <v>2019</v>
      </c>
      <c r="S32" s="32" t="inlineStr">
        <is>
          <t>2.74 : 1</t>
        </is>
      </c>
      <c r="T32" s="32" t="inlineStr">
        <is>
          <t>100% (6/30 occupancy, all three actual years)</t>
        </is>
      </c>
      <c r="U32" s="36" t="n">
        <v>24584873</v>
      </c>
      <c r="V32" s="32" t="inlineStr">
        <is>
          <t>2025</t>
        </is>
      </c>
      <c r="W32" s="36" t="n">
        <v>13214100</v>
      </c>
      <c r="X32" s="32" t="inlineStr">
        <is>
          <t>Alpha Industrial Properties</t>
        </is>
      </c>
      <c r="Y32" s="32" t="inlineStr">
        <is>
          <t>R0180894.pdf</t>
        </is>
      </c>
    </row>
  </sheetData>
  <mergeCells count="2">
    <mergeCell ref="A2:Y2"/>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4" customWidth="1" min="3" max="3"/>
    <col width="22" customWidth="1" min="4" max="4"/>
    <col width="13" customWidth="1" min="5" max="5"/>
    <col width="13" customWidth="1" min="6" max="6"/>
    <col width="9" customWidth="1" min="7" max="7"/>
    <col width="11" customWidth="1" min="8" max="8"/>
    <col width="11" customWidth="1" min="9" max="9"/>
    <col width="14" customWidth="1" min="10" max="10"/>
    <col width="12" customWidth="1" min="11" max="11"/>
    <col width="10" customWidth="1" min="12" max="12"/>
    <col width="44" customWidth="1" min="13" max="13"/>
    <col width="40" customWidth="1" min="14" max="14"/>
  </cols>
  <sheetData>
    <row r="1" ht="26" customHeight="1">
      <c r="A1" s="1" t="inlineStr">
        <is>
          <t>TENANTS &amp; LEASES</t>
        </is>
      </c>
    </row>
    <row r="2" ht="14" customHeight="1">
      <c r="A2" s="2" t="inlineStr">
        <is>
          <t>Actual tenants &amp; rent rolls (125 Bridge St, 5970 Marion) and proforma lease assumptions (tax appeals)</t>
        </is>
      </c>
    </row>
    <row r="4" ht="30" customHeight="1">
      <c r="A4" s="4" t="inlineStr">
        <is>
          <t>Property</t>
        </is>
      </c>
      <c r="B4" s="4" t="inlineStr">
        <is>
          <t>Unit</t>
        </is>
      </c>
      <c r="C4" s="4" t="inlineStr">
        <is>
          <t>Tenant</t>
        </is>
      </c>
      <c r="D4" s="4" t="inlineStr">
        <is>
          <t>Basis / Lease Type</t>
        </is>
      </c>
      <c r="E4" s="4" t="inlineStr">
        <is>
          <t>Monthly Rent</t>
        </is>
      </c>
      <c r="F4" s="4" t="inlineStr">
        <is>
          <t>Annual Rent</t>
        </is>
      </c>
      <c r="G4" s="4" t="inlineStr">
        <is>
          <t>Rent PSF</t>
        </is>
      </c>
      <c r="H4" s="4" t="inlineStr">
        <is>
          <t>Lease Start</t>
        </is>
      </c>
      <c r="I4" s="4" t="inlineStr">
        <is>
          <t>Lease End</t>
        </is>
      </c>
      <c r="J4" s="4" t="inlineStr">
        <is>
          <t>Term / Option</t>
        </is>
      </c>
      <c r="K4" s="4" t="inlineStr">
        <is>
          <t>Monthly CAM</t>
        </is>
      </c>
      <c r="L4" s="4" t="inlineStr">
        <is>
          <t>Deposit</t>
        </is>
      </c>
      <c r="M4" s="4" t="inlineStr">
        <is>
          <t>Notes</t>
        </is>
      </c>
    </row>
    <row r="5">
      <c r="A5" s="10" t="inlineStr">
        <is>
          <t>125 Bridge St, Brighton (R0002819) — Broadview LLC  |  Rent Roll (monthly, current as of Jan-2024)</t>
        </is>
      </c>
      <c r="B5" s="20" t="n"/>
      <c r="C5" s="20" t="n"/>
      <c r="D5" s="20" t="n"/>
      <c r="E5" s="20" t="n"/>
      <c r="F5" s="20" t="n"/>
      <c r="G5" s="20" t="n"/>
      <c r="H5" s="20" t="n"/>
      <c r="I5" s="20" t="n"/>
      <c r="J5" s="20" t="n"/>
      <c r="K5" s="20" t="n"/>
      <c r="L5" s="20" t="n"/>
      <c r="M5" s="21" t="n"/>
    </row>
    <row r="6">
      <c r="A6" s="6" t="inlineStr">
        <is>
          <t>125 Bridge St</t>
        </is>
      </c>
      <c r="B6" s="6" t="inlineStr">
        <is>
          <t>A (Indoor)</t>
        </is>
      </c>
      <c r="C6" s="6" t="inlineStr">
        <is>
          <t>Bulldog Tires</t>
        </is>
      </c>
      <c r="D6" s="6" t="inlineStr">
        <is>
          <t>Lease</t>
        </is>
      </c>
      <c r="E6" s="9" t="n">
        <v>4414</v>
      </c>
      <c r="F6" s="6" t="n"/>
      <c r="G6" s="6" t="n"/>
      <c r="H6" s="5" t="inlineStr">
        <is>
          <t>2/15/2021</t>
        </is>
      </c>
      <c r="I6" s="5" t="inlineStr">
        <is>
          <t>9/30/2026</t>
        </is>
      </c>
      <c r="J6" s="5" t="inlineStr">
        <is>
          <t>3-yr option</t>
        </is>
      </c>
      <c r="K6" s="9" t="n">
        <v>2550</v>
      </c>
      <c r="L6" s="6" t="inlineStr">
        <is>
          <t>na</t>
        </is>
      </c>
      <c r="M6" s="6" t="inlineStr"/>
    </row>
    <row r="7">
      <c r="A7" s="6" t="inlineStr">
        <is>
          <t>125 Bridge St</t>
        </is>
      </c>
      <c r="B7" s="6" t="inlineStr">
        <is>
          <t>B (Indoor)</t>
        </is>
      </c>
      <c r="C7" s="6" t="inlineStr">
        <is>
          <t>Manny Mercado</t>
        </is>
      </c>
      <c r="D7" s="6" t="inlineStr">
        <is>
          <t>Lease</t>
        </is>
      </c>
      <c r="E7" s="9" t="n">
        <v>2425</v>
      </c>
      <c r="F7" s="6" t="n"/>
      <c r="G7" s="6" t="n"/>
      <c r="H7" s="5" t="inlineStr">
        <is>
          <t>4/1/2024</t>
        </is>
      </c>
      <c r="I7" s="5" t="inlineStr">
        <is>
          <t>3/31/2029</t>
        </is>
      </c>
      <c r="J7" s="5" t="inlineStr">
        <is>
          <t>2-yr option</t>
        </is>
      </c>
      <c r="K7" s="9" t="n">
        <v>1000</v>
      </c>
      <c r="L7" s="9" t="n">
        <v>2425</v>
      </c>
      <c r="M7" s="6" t="inlineStr"/>
    </row>
    <row r="8">
      <c r="A8" s="6" t="inlineStr">
        <is>
          <t>125 Bridge St</t>
        </is>
      </c>
      <c r="B8" s="6" t="inlineStr">
        <is>
          <t>C (Indoor)</t>
        </is>
      </c>
      <c r="C8" s="6" t="inlineStr">
        <is>
          <t>Drip and Stitch</t>
        </is>
      </c>
      <c r="D8" s="6" t="inlineStr">
        <is>
          <t>Lease</t>
        </is>
      </c>
      <c r="E8" s="9" t="n">
        <v>4000</v>
      </c>
      <c r="F8" s="6" t="n"/>
      <c r="G8" s="6" t="n"/>
      <c r="H8" s="5" t="inlineStr">
        <is>
          <t>12/15/2024</t>
        </is>
      </c>
      <c r="I8" s="5" t="inlineStr">
        <is>
          <t>11/30/2025</t>
        </is>
      </c>
      <c r="J8" s="5" t="inlineStr">
        <is>
          <t>1-yr option</t>
        </is>
      </c>
      <c r="K8" s="6" t="n"/>
      <c r="L8" s="9" t="n">
        <v>2500</v>
      </c>
      <c r="M8" s="6" t="inlineStr">
        <is>
          <t>CAM unit 'Cabinet Connections' vacated 3/31/24</t>
        </is>
      </c>
    </row>
    <row r="9">
      <c r="A9" s="6" t="inlineStr">
        <is>
          <t>125 Bridge St</t>
        </is>
      </c>
      <c r="B9" s="6" t="inlineStr">
        <is>
          <t>D (Indoor)</t>
        </is>
      </c>
      <c r="C9" s="6" t="inlineStr">
        <is>
          <t>Galaxy Greens</t>
        </is>
      </c>
      <c r="D9" s="6" t="inlineStr">
        <is>
          <t>Lease</t>
        </is>
      </c>
      <c r="E9" s="9" t="n">
        <v>6000</v>
      </c>
      <c r="F9" s="6" t="n"/>
      <c r="G9" s="6" t="n"/>
      <c r="H9" s="5" t="inlineStr">
        <is>
          <t>3/1/2024</t>
        </is>
      </c>
      <c r="I9" s="5" t="inlineStr">
        <is>
          <t>10/31/2033</t>
        </is>
      </c>
      <c r="J9" s="5" t="inlineStr">
        <is>
          <t>5-yr option</t>
        </is>
      </c>
      <c r="K9" s="9" t="n">
        <v>1450</v>
      </c>
      <c r="L9" s="6" t="n"/>
      <c r="M9" s="6" t="inlineStr"/>
    </row>
    <row r="10">
      <c r="A10" s="6" t="inlineStr">
        <is>
          <t>125 Bridge St</t>
        </is>
      </c>
      <c r="B10" s="6" t="inlineStr">
        <is>
          <t>E (Indoor)</t>
        </is>
      </c>
      <c r="C10" s="6" t="inlineStr">
        <is>
          <t>Intensive Drilling</t>
        </is>
      </c>
      <c r="D10" s="6" t="inlineStr">
        <is>
          <t>Lease</t>
        </is>
      </c>
      <c r="E10" s="9" t="n">
        <v>4500</v>
      </c>
      <c r="F10" s="6" t="n"/>
      <c r="G10" s="6" t="n"/>
      <c r="H10" s="5" t="inlineStr">
        <is>
          <t>1/1/2025</t>
        </is>
      </c>
      <c r="I10" s="5" t="inlineStr">
        <is>
          <t>12/1/2029</t>
        </is>
      </c>
      <c r="J10" s="5" t="inlineStr">
        <is>
          <t>5-yr option</t>
        </is>
      </c>
      <c r="K10" s="9" t="n">
        <v>0</v>
      </c>
      <c r="L10" s="9" t="n">
        <v>3100</v>
      </c>
      <c r="M10" s="6" t="inlineStr"/>
    </row>
    <row r="11">
      <c r="A11" s="6" t="inlineStr">
        <is>
          <t>125 Bridge St</t>
        </is>
      </c>
      <c r="B11" s="6" t="inlineStr">
        <is>
          <t>F (Indoor)</t>
        </is>
      </c>
      <c r="C11" s="6" t="inlineStr">
        <is>
          <t>Intensive Drilling</t>
        </is>
      </c>
      <c r="D11" s="6" t="inlineStr">
        <is>
          <t>Lease</t>
        </is>
      </c>
      <c r="E11" s="6" t="n"/>
      <c r="F11" s="6" t="n"/>
      <c r="G11" s="6" t="n"/>
      <c r="H11" s="5" t="inlineStr">
        <is>
          <t>—</t>
        </is>
      </c>
      <c r="I11" s="5" t="inlineStr">
        <is>
          <t>—</t>
        </is>
      </c>
      <c r="J11" s="5" t="inlineStr">
        <is>
          <t>—</t>
        </is>
      </c>
      <c r="K11" s="6" t="n"/>
      <c r="L11" s="6" t="n"/>
      <c r="M11" s="6" t="inlineStr">
        <is>
          <t>Listed; no rent shown (vacant/expansion)</t>
        </is>
      </c>
    </row>
    <row r="12">
      <c r="A12" s="6" t="inlineStr">
        <is>
          <t>125 Bridge St</t>
        </is>
      </c>
      <c r="B12" s="6" t="inlineStr">
        <is>
          <t>Outdoor</t>
        </is>
      </c>
      <c r="C12" s="6" t="inlineStr">
        <is>
          <t>ABC</t>
        </is>
      </c>
      <c r="D12" s="6" t="inlineStr">
        <is>
          <t>Lease</t>
        </is>
      </c>
      <c r="E12" s="9" t="n">
        <v>5000</v>
      </c>
      <c r="F12" s="6" t="n"/>
      <c r="G12" s="6" t="n"/>
      <c r="H12" s="5" t="inlineStr">
        <is>
          <t>—</t>
        </is>
      </c>
      <c r="I12" s="5" t="inlineStr">
        <is>
          <t>2/28/2026</t>
        </is>
      </c>
      <c r="J12" s="5" t="inlineStr">
        <is>
          <t>1-yr option</t>
        </is>
      </c>
      <c r="K12" s="6" t="n"/>
      <c r="L12" s="6" t="n"/>
      <c r="M12" s="6" t="inlineStr"/>
    </row>
    <row r="13">
      <c r="A13" s="6" t="inlineStr">
        <is>
          <t>125 Bridge St</t>
        </is>
      </c>
      <c r="B13" s="6" t="inlineStr">
        <is>
          <t>Outdoor</t>
        </is>
      </c>
      <c r="C13" s="6" t="inlineStr">
        <is>
          <t>Intensive Drilling</t>
        </is>
      </c>
      <c r="D13" s="6" t="inlineStr">
        <is>
          <t>Lease</t>
        </is>
      </c>
      <c r="E13" s="9" t="n">
        <v>4000</v>
      </c>
      <c r="F13" s="6" t="n"/>
      <c r="G13" s="6" t="n"/>
      <c r="H13" s="5" t="inlineStr">
        <is>
          <t>—</t>
        </is>
      </c>
      <c r="I13" s="5" t="inlineStr">
        <is>
          <t>as above</t>
        </is>
      </c>
      <c r="J13" s="5" t="inlineStr">
        <is>
          <t>—</t>
        </is>
      </c>
      <c r="K13" s="6" t="n"/>
      <c r="L13" s="9" t="n">
        <v>3500</v>
      </c>
      <c r="M13" s="6" t="inlineStr"/>
    </row>
    <row r="14">
      <c r="A14" s="6" t="inlineStr">
        <is>
          <t>125 Bridge St</t>
        </is>
      </c>
      <c r="B14" s="6" t="inlineStr">
        <is>
          <t>Outdoor</t>
        </is>
      </c>
      <c r="C14" s="6" t="inlineStr">
        <is>
          <t>El Tacos</t>
        </is>
      </c>
      <c r="D14" s="6" t="inlineStr">
        <is>
          <t>Lease</t>
        </is>
      </c>
      <c r="E14" s="9" t="n">
        <v>150</v>
      </c>
      <c r="F14" s="6" t="n"/>
      <c r="G14" s="6" t="n"/>
      <c r="H14" s="5" t="inlineStr">
        <is>
          <t>—</t>
        </is>
      </c>
      <c r="I14" s="5" t="inlineStr">
        <is>
          <t>9/30</t>
        </is>
      </c>
      <c r="J14" s="5" t="inlineStr">
        <is>
          <t>12 months</t>
        </is>
      </c>
      <c r="K14" s="6" t="n"/>
      <c r="L14" s="6" t="n"/>
      <c r="M14" s="6" t="inlineStr"/>
    </row>
    <row r="15">
      <c r="A15" s="6" t="inlineStr">
        <is>
          <t>125 Bridge St</t>
        </is>
      </c>
      <c r="B15" s="6" t="inlineStr">
        <is>
          <t>Outdoor</t>
        </is>
      </c>
      <c r="C15" s="6" t="inlineStr">
        <is>
          <t>Cabinet</t>
        </is>
      </c>
      <c r="D15" s="6" t="inlineStr">
        <is>
          <t>MTM</t>
        </is>
      </c>
      <c r="E15" s="9" t="n">
        <v>140</v>
      </c>
      <c r="F15" s="6" t="n"/>
      <c r="G15" s="6" t="n"/>
      <c r="H15" s="5" t="inlineStr">
        <is>
          <t>—</t>
        </is>
      </c>
      <c r="I15" s="5" t="inlineStr">
        <is>
          <t>—</t>
        </is>
      </c>
      <c r="J15" s="5" t="inlineStr">
        <is>
          <t>month-to-month</t>
        </is>
      </c>
      <c r="K15" s="6" t="n"/>
      <c r="L15" s="6" t="n"/>
      <c r="M15" s="6" t="inlineStr"/>
    </row>
    <row r="16">
      <c r="A16" s="6" t="inlineStr">
        <is>
          <t>125 Bridge St</t>
        </is>
      </c>
      <c r="B16" s="6" t="inlineStr">
        <is>
          <t>Outdoor</t>
        </is>
      </c>
      <c r="C16" s="6" t="inlineStr">
        <is>
          <t>RV Parking</t>
        </is>
      </c>
      <c r="D16" s="6" t="inlineStr">
        <is>
          <t>MTM</t>
        </is>
      </c>
      <c r="E16" s="9" t="n">
        <v>75</v>
      </c>
      <c r="F16" s="6" t="n"/>
      <c r="G16" s="6" t="n"/>
      <c r="H16" s="5" t="inlineStr">
        <is>
          <t>—</t>
        </is>
      </c>
      <c r="I16" s="5" t="inlineStr">
        <is>
          <t>—</t>
        </is>
      </c>
      <c r="J16" s="5" t="inlineStr">
        <is>
          <t>month-to-month</t>
        </is>
      </c>
      <c r="K16" s="6" t="n"/>
      <c r="L16" s="6" t="n"/>
      <c r="M16" s="6" t="inlineStr"/>
    </row>
    <row r="17">
      <c r="A17" s="11" t="inlineStr">
        <is>
          <t>125 Bridge St</t>
        </is>
      </c>
      <c r="B17" s="12" t="inlineStr">
        <is>
          <t>TOTALS</t>
        </is>
      </c>
      <c r="C17" s="12" t="inlineStr">
        <is>
          <t>Total Rental Income (monthly)</t>
        </is>
      </c>
      <c r="D17" s="13" t="inlineStr"/>
      <c r="E17" s="14">
        <f>SUM(E6:E16)</f>
        <v/>
      </c>
      <c r="F17" s="14">
        <f>E17*12</f>
        <v/>
      </c>
      <c r="G17" s="13" t="inlineStr"/>
      <c r="H17" s="13" t="inlineStr"/>
      <c r="I17" s="13" t="inlineStr"/>
      <c r="J17" s="13" t="inlineStr"/>
      <c r="K17" s="14">
        <f>SUM(K6:K16)</f>
        <v/>
      </c>
      <c r="L17" s="13" t="inlineStr"/>
      <c r="M17" s="15" t="inlineStr">
        <is>
          <t>Monthly CAM total $5,000; annualized gross scheduled income ≈ monthly total × 12. IRS Form 8825 actual 2024 gross rents were $307,817.</t>
        </is>
      </c>
    </row>
    <row r="18">
      <c r="A18" s="10" t="inlineStr">
        <is>
          <t>5970 Marion Drive (0182511303018) — actual tenants (FY2024)</t>
        </is>
      </c>
      <c r="B18" s="20" t="n"/>
      <c r="C18" s="20" t="n"/>
      <c r="D18" s="20" t="n"/>
      <c r="E18" s="20" t="n"/>
      <c r="F18" s="20" t="n"/>
      <c r="G18" s="20" t="n"/>
      <c r="H18" s="20" t="n"/>
      <c r="I18" s="20" t="n"/>
      <c r="J18" s="20" t="n"/>
      <c r="K18" s="20" t="n"/>
      <c r="L18" s="20" t="n"/>
      <c r="M18" s="21" t="n"/>
    </row>
    <row r="19">
      <c r="A19" s="6" t="inlineStr">
        <is>
          <t>5970 Marion</t>
        </is>
      </c>
      <c r="B19" s="6" t="inlineStr">
        <is>
          <t>Unit 1</t>
        </is>
      </c>
      <c r="C19" s="6" t="inlineStr">
        <is>
          <t>Whatever It Takes Transmissions &amp; Parts, Inc.</t>
        </is>
      </c>
      <c r="D19" s="6" t="inlineStr">
        <is>
          <t>Actual (NNN w/ CAM)</t>
        </is>
      </c>
      <c r="E19" s="6" t="n"/>
      <c r="F19" s="6" t="n"/>
      <c r="G19" s="6" t="n"/>
      <c r="H19" s="5" t="inlineStr">
        <is>
          <t>—</t>
        </is>
      </c>
      <c r="I19" s="5" t="inlineStr">
        <is>
          <t>—</t>
        </is>
      </c>
      <c r="J19" s="5" t="inlineStr">
        <is>
          <t>—</t>
        </is>
      </c>
      <c r="K19" s="6" t="n"/>
      <c r="L19" s="6" t="n"/>
      <c r="M19" s="6" t="inlineStr">
        <is>
          <t>2024 monthly rent ~$9,136; billed CAM escrows separately</t>
        </is>
      </c>
    </row>
    <row r="20">
      <c r="A20" s="6" t="inlineStr">
        <is>
          <t>5970 Marion</t>
        </is>
      </c>
      <c r="B20" s="6" t="inlineStr">
        <is>
          <t>Unit 2</t>
        </is>
      </c>
      <c r="C20" s="6" t="inlineStr">
        <is>
          <t>Integrated Turf Solutions LLC</t>
        </is>
      </c>
      <c r="D20" s="6" t="inlineStr">
        <is>
          <t>Actual (NNN w/ CAM)</t>
        </is>
      </c>
      <c r="E20" s="6" t="n"/>
      <c r="F20" s="6" t="n"/>
      <c r="G20" s="6" t="n"/>
      <c r="H20" s="5" t="inlineStr">
        <is>
          <t>—</t>
        </is>
      </c>
      <c r="I20" s="5" t="inlineStr">
        <is>
          <t>—</t>
        </is>
      </c>
      <c r="J20" s="5" t="inlineStr">
        <is>
          <t>—</t>
        </is>
      </c>
      <c r="K20" s="6" t="n"/>
      <c r="L20" s="6" t="n"/>
      <c r="M20" s="6" t="inlineStr">
        <is>
          <t>2024 monthly rent ranged $3,120-$6,860; billed CAM escrows</t>
        </is>
      </c>
    </row>
    <row r="21">
      <c r="A21" s="10" t="inlineStr">
        <is>
          <t>Tax-appeal proforma lease assumptions (not executed leases)</t>
        </is>
      </c>
      <c r="B21" s="20" t="n"/>
      <c r="C21" s="20" t="n"/>
      <c r="D21" s="20" t="n"/>
      <c r="E21" s="20" t="n"/>
      <c r="F21" s="20" t="n"/>
      <c r="G21" s="20" t="n"/>
      <c r="H21" s="20" t="n"/>
      <c r="I21" s="20" t="n"/>
      <c r="J21" s="20" t="n"/>
      <c r="K21" s="20" t="n"/>
      <c r="L21" s="20" t="n"/>
      <c r="M21" s="21" t="n"/>
    </row>
    <row r="22">
      <c r="A22" s="6" t="inlineStr">
        <is>
          <t>7205 Gilpin Way</t>
        </is>
      </c>
      <c r="B22" s="6" t="inlineStr">
        <is>
          <t>Whole</t>
        </is>
      </c>
      <c r="C22" s="6" t="inlineStr">
        <is>
          <t>Proforma single-tenant</t>
        </is>
      </c>
      <c r="D22" s="6" t="inlineStr">
        <is>
          <t>Proforma NNN</t>
        </is>
      </c>
      <c r="E22" s="6" t="n"/>
      <c r="F22" s="9" t="n">
        <v>359394</v>
      </c>
      <c r="G22" s="16" t="n">
        <v>10.5</v>
      </c>
      <c r="H22" s="5" t="inlineStr">
        <is>
          <t>—</t>
        </is>
      </c>
      <c r="I22" s="5" t="inlineStr">
        <is>
          <t>—</t>
        </is>
      </c>
      <c r="J22" s="5" t="inlineStr">
        <is>
          <t>—</t>
        </is>
      </c>
      <c r="K22" s="6" t="n"/>
      <c r="L22" s="6" t="n"/>
      <c r="M22" s="6" t="inlineStr">
        <is>
          <t>OpEx 8% EGI; 5% vacancy (Ryan)</t>
        </is>
      </c>
    </row>
    <row r="23">
      <c r="A23" s="6" t="inlineStr">
        <is>
          <t>17608 E. 24th Dr</t>
        </is>
      </c>
      <c r="B23" s="6" t="inlineStr">
        <is>
          <t>Whole</t>
        </is>
      </c>
      <c r="C23" s="6" t="inlineStr">
        <is>
          <t>Proforma single-tenant</t>
        </is>
      </c>
      <c r="D23" s="6" t="inlineStr">
        <is>
          <t>Proforma NNN</t>
        </is>
      </c>
      <c r="E23" s="6" t="n"/>
      <c r="F23" s="9" t="n">
        <v>209100</v>
      </c>
      <c r="G23" s="16" t="n">
        <v>10</v>
      </c>
      <c r="H23" s="5" t="inlineStr">
        <is>
          <t>—</t>
        </is>
      </c>
      <c r="I23" s="5" t="inlineStr">
        <is>
          <t>—</t>
        </is>
      </c>
      <c r="J23" s="5" t="inlineStr">
        <is>
          <t>—</t>
        </is>
      </c>
      <c r="K23" s="6" t="n"/>
      <c r="L23" s="6" t="n"/>
      <c r="M23" s="6" t="inlineStr">
        <is>
          <t>OpEx 8% EGI; 5% vacancy (Ryan)</t>
        </is>
      </c>
    </row>
    <row r="24">
      <c r="A24" s="6" t="inlineStr">
        <is>
          <t>12260 Pennsylvania St</t>
        </is>
      </c>
      <c r="B24" s="6" t="inlineStr">
        <is>
          <t>Whole</t>
        </is>
      </c>
      <c r="C24" s="6" t="inlineStr">
        <is>
          <t>Proforma single-tenant</t>
        </is>
      </c>
      <c r="D24" s="6" t="inlineStr">
        <is>
          <t>Proforma NNN</t>
        </is>
      </c>
      <c r="E24" s="6" t="n"/>
      <c r="F24" s="9" t="n">
        <v>237290</v>
      </c>
      <c r="G24" s="16" t="n">
        <v>10</v>
      </c>
      <c r="H24" s="5" t="inlineStr">
        <is>
          <t>—</t>
        </is>
      </c>
      <c r="I24" s="5" t="inlineStr">
        <is>
          <t>—</t>
        </is>
      </c>
      <c r="J24" s="5" t="inlineStr">
        <is>
          <t>—</t>
        </is>
      </c>
      <c r="K24" s="6" t="n"/>
      <c r="L24" s="6" t="n"/>
      <c r="M24" s="6" t="inlineStr">
        <is>
          <t>Face rent $10; actual tenant $9.50/sf NNN as of 1/1/24; 7% vac, 10% OpEx (Ryan)</t>
        </is>
      </c>
    </row>
    <row r="25">
      <c r="A25" s="6" t="inlineStr">
        <is>
          <t>6770 E. 56th Ave</t>
        </is>
      </c>
      <c r="B25" s="6" t="inlineStr">
        <is>
          <t>Whole</t>
        </is>
      </c>
      <c r="C25" s="6" t="inlineStr">
        <is>
          <t>Proforma single-tenant</t>
        </is>
      </c>
      <c r="D25" s="6" t="inlineStr">
        <is>
          <t>Proforma</t>
        </is>
      </c>
      <c r="E25" s="6" t="n"/>
      <c r="F25" s="9" t="n">
        <v>115824</v>
      </c>
      <c r="G25" s="16" t="n">
        <v>12</v>
      </c>
      <c r="H25" s="5" t="inlineStr">
        <is>
          <t>—</t>
        </is>
      </c>
      <c r="I25" s="5" t="inlineStr">
        <is>
          <t>—</t>
        </is>
      </c>
      <c r="J25" s="5" t="inlineStr">
        <is>
          <t>—</t>
        </is>
      </c>
      <c r="K25" s="6" t="n"/>
      <c r="L25" s="6" t="n"/>
      <c r="M25" s="6" t="inlineStr">
        <is>
          <t>$12/sf; 95% occ; 5% expenses (Property Tax Advisors)</t>
        </is>
      </c>
    </row>
    <row r="26">
      <c r="A26" s="6" t="inlineStr">
        <is>
          <t>5650 Washington St</t>
        </is>
      </c>
      <c r="B26" s="6" t="inlineStr">
        <is>
          <t>Multiple</t>
        </is>
      </c>
      <c r="C26" s="6" t="inlineStr">
        <is>
          <t>Actual multi-tenant (modified gross)</t>
        </is>
      </c>
      <c r="D26" s="6" t="inlineStr">
        <is>
          <t>Modified Gross</t>
        </is>
      </c>
      <c r="E26" s="6" t="n"/>
      <c r="F26" s="6" t="n"/>
      <c r="G26" s="6" t="n"/>
      <c r="H26" s="5" t="inlineStr">
        <is>
          <t>—</t>
        </is>
      </c>
      <c r="I26" s="5" t="inlineStr">
        <is>
          <t>—</t>
        </is>
      </c>
      <c r="J26" s="5" t="inlineStr">
        <is>
          <t>—</t>
        </is>
      </c>
      <c r="K26" s="6" t="n"/>
      <c r="L26" s="6" t="n"/>
      <c r="M26" s="6" t="inlineStr">
        <is>
          <t>Actual rents $10.28-$31.48/sf; majority $13-17/sf; $15/sf applied to vacant space. Detailed rent roll embedded as image in appraisal.</t>
        </is>
      </c>
    </row>
    <row r="27">
      <c r="A27" s="32" t="inlineStr">
        <is>
          <t>18300 E 28th Ave (R0110351)</t>
        </is>
      </c>
      <c r="B27" s="32" t="inlineStr">
        <is>
          <t>0100 (Bldg 01115B)</t>
        </is>
      </c>
      <c r="C27" s="32" t="inlineStr">
        <is>
          <t>Old West Mattress Co., LLC</t>
        </is>
      </c>
      <c r="D27" s="32" t="inlineStr">
        <is>
          <t>Actual - NNN (industrial)</t>
        </is>
      </c>
      <c r="E27" s="37" t="n">
        <v>45512.79</v>
      </c>
      <c r="F27" s="37" t="n">
        <v>546153.48</v>
      </c>
      <c r="G27" s="37" t="n">
        <v>6.38</v>
      </c>
      <c r="H27" s="32" t="inlineStr">
        <is>
          <t>10/10/2018</t>
        </is>
      </c>
      <c r="I27" s="32" t="inlineStr">
        <is>
          <t>4/30/2028</t>
        </is>
      </c>
      <c r="J27" s="32" t="inlineStr">
        <is>
          <t>-</t>
        </is>
      </c>
      <c r="K27" s="37" t="n">
        <v>34564.79</v>
      </c>
      <c r="L27" s="37" t="inlineStr">
        <is>
          <t>-</t>
        </is>
      </c>
      <c r="M27" s="32" t="inlineStr">
        <is>
          <t>85,604 SF, 100% occupied; rent roll as of 6/30/2024. $34,564.79/mo is cost recovery, not CAM. Scheduled base-rent increases: 2/1/2025 $46,654.18 ($6.54 PSF); 2/1/2026 $47,795.57 ($6.70); 2/1/2027 $49,008.29 ($6.87); 2/1/2028 $50,221.01 ($7.04). Recovery categories eff. 1/1/2025: CAM $1,839.61, INS $3,338.15, RET $23,941.67 per month.</t>
        </is>
      </c>
    </row>
    <row r="28">
      <c r="A28" s="32" t="inlineStr">
        <is>
          <t>Majestic Commercenter Bldg 6 (R0111559)</t>
        </is>
      </c>
      <c r="B28" s="32" t="inlineStr">
        <is>
          <t>-</t>
        </is>
      </c>
      <c r="C28" s="32" t="inlineStr">
        <is>
          <t>Exhibits USA, Inc.</t>
        </is>
      </c>
      <c r="D28" s="32" t="inlineStr">
        <is>
          <t>Actual - Multi-Tenant Net</t>
        </is>
      </c>
      <c r="E28" s="37" t="n">
        <v>22933.42</v>
      </c>
      <c r="F28" s="37" t="n">
        <v>275201.04</v>
      </c>
      <c r="G28" s="37" t="n">
        <v>4.9943</v>
      </c>
      <c r="H28" s="32" t="inlineStr">
        <is>
          <t>7/13/2007</t>
        </is>
      </c>
      <c r="I28" s="32" t="inlineStr">
        <is>
          <t>7/31/2027</t>
        </is>
      </c>
      <c r="J28" s="32" t="inlineStr">
        <is>
          <t>-</t>
        </is>
      </c>
      <c r="K28" s="37" t="inlineStr">
        <is>
          <t>-</t>
        </is>
      </c>
      <c r="L28" s="37" t="inlineStr">
        <is>
          <t>-</t>
        </is>
      </c>
      <c r="M28" s="32" t="inlineStr">
        <is>
          <t>55,103 SF = 44.08% of building. Rent roll as of 06/30/22.</t>
        </is>
      </c>
    </row>
    <row r="29">
      <c r="A29" s="32" t="inlineStr">
        <is>
          <t>Majestic Commercenter Bldg 6 (R0111559)</t>
        </is>
      </c>
      <c r="B29" s="32" t="inlineStr">
        <is>
          <t>-</t>
        </is>
      </c>
      <c r="C29" s="32" t="inlineStr">
        <is>
          <t>Colorado Roofing Products, LLC</t>
        </is>
      </c>
      <c r="D29" s="32" t="inlineStr">
        <is>
          <t>Actual - Multi-Tenant Net</t>
        </is>
      </c>
      <c r="E29" s="37" t="n">
        <v>20855.35</v>
      </c>
      <c r="F29" s="37" t="n">
        <v>250264.2</v>
      </c>
      <c r="G29" s="37" t="n">
        <v>5.7434</v>
      </c>
      <c r="H29" s="32" t="inlineStr">
        <is>
          <t>3/1/2015</t>
        </is>
      </c>
      <c r="I29" s="32" t="inlineStr">
        <is>
          <t>2/28/2025</t>
        </is>
      </c>
      <c r="J29" s="32" t="inlineStr">
        <is>
          <t>-</t>
        </is>
      </c>
      <c r="K29" s="37" t="inlineStr">
        <is>
          <t>-</t>
        </is>
      </c>
      <c r="L29" s="37" t="inlineStr">
        <is>
          <t>-</t>
        </is>
      </c>
      <c r="M29" s="32" t="inlineStr">
        <is>
          <t>43,574 SF = 34.86% of building. Rent roll as of 06/30/22.</t>
        </is>
      </c>
    </row>
    <row r="30">
      <c r="A30" s="32" t="inlineStr">
        <is>
          <t>Majestic Commercenter Bldg 6 (R0111559)</t>
        </is>
      </c>
      <c r="B30" s="32" t="inlineStr">
        <is>
          <t>Suite 200</t>
        </is>
      </c>
      <c r="C30" s="32" t="inlineStr">
        <is>
          <t>Invisible Structures, Inc.</t>
        </is>
      </c>
      <c r="D30" s="32" t="inlineStr">
        <is>
          <t>Actual - Multi-Tenant Net</t>
        </is>
      </c>
      <c r="E30" s="37" t="n">
        <v>14428.48</v>
      </c>
      <c r="F30" s="37" t="n">
        <v>173141.76</v>
      </c>
      <c r="G30" s="37" t="n">
        <v>6.5776</v>
      </c>
      <c r="H30" s="32" t="inlineStr">
        <is>
          <t>2/1/2020</t>
        </is>
      </c>
      <c r="I30" s="32" t="inlineStr">
        <is>
          <t>1/31/2027</t>
        </is>
      </c>
      <c r="J30" s="32" t="inlineStr">
        <is>
          <t>-</t>
        </is>
      </c>
      <c r="K30" s="37" t="inlineStr">
        <is>
          <t>-</t>
        </is>
      </c>
      <c r="L30" s="37" t="inlineStr">
        <is>
          <t>-</t>
        </is>
      </c>
      <c r="M30" s="32" t="inlineStr">
        <is>
          <t>26,323 SF = 21.06% of building. Rent roll as of 06/30/22.</t>
        </is>
      </c>
    </row>
    <row r="31">
      <c r="A31" s="32" t="inlineStr">
        <is>
          <t>Majestic Commercenter Bldg 6 (R0111559)</t>
        </is>
      </c>
      <c r="B31" s="32" t="inlineStr">
        <is>
          <t>TOTAL</t>
        </is>
      </c>
      <c r="C31" s="32" t="inlineStr">
        <is>
          <t>3 tenants - 100% occupied</t>
        </is>
      </c>
      <c r="D31" s="32" t="inlineStr">
        <is>
          <t>Actual - Multi-Tenant Net</t>
        </is>
      </c>
      <c r="E31" s="37" t="n">
        <v>58217.25</v>
      </c>
      <c r="F31" s="37" t="n">
        <v>698607</v>
      </c>
      <c r="G31" s="37" t="n">
        <v>5.5889</v>
      </c>
      <c r="H31" s="32" t="inlineStr">
        <is>
          <t>-</t>
        </is>
      </c>
      <c r="I31" s="32" t="inlineStr">
        <is>
          <t>-</t>
        </is>
      </c>
      <c r="J31" s="32" t="inlineStr">
        <is>
          <t>-</t>
        </is>
      </c>
      <c r="K31" s="37" t="inlineStr">
        <is>
          <t>-</t>
        </is>
      </c>
      <c r="L31" s="37" t="inlineStr">
        <is>
          <t>-</t>
        </is>
      </c>
      <c r="M31" s="32" t="inlineStr">
        <is>
          <t>125,000 SF total, 0 SF vacant. Printed rent-roll totals.</t>
        </is>
      </c>
    </row>
    <row r="32">
      <c r="A32" s="32" t="inlineStr">
        <is>
          <t>Majestic Commercenter Bldg 7 (R0111560)</t>
        </is>
      </c>
      <c r="B32" s="32" t="inlineStr">
        <is>
          <t>Whole</t>
        </is>
      </c>
      <c r="C32" s="32" t="inlineStr">
        <is>
          <t>FedEx Ground Package System, Inc.</t>
        </is>
      </c>
      <c r="D32" s="32" t="inlineStr">
        <is>
          <t>Actual - Single Tenant Net</t>
        </is>
      </c>
      <c r="E32" s="37" t="n">
        <v>105833.33</v>
      </c>
      <c r="F32" s="37" t="n">
        <v>1269999.96</v>
      </c>
      <c r="G32" s="37" t="n">
        <v>6.35</v>
      </c>
      <c r="H32" s="32" t="inlineStr">
        <is>
          <t>4/15/2012</t>
        </is>
      </c>
      <c r="I32" s="32" t="inlineStr">
        <is>
          <t>4/30/2024</t>
        </is>
      </c>
      <c r="J32" s="32" t="inlineStr">
        <is>
          <t>-</t>
        </is>
      </c>
      <c r="K32" s="37" t="inlineStr">
        <is>
          <t>-</t>
        </is>
      </c>
      <c r="L32" s="37" t="inlineStr">
        <is>
          <t>-</t>
        </is>
      </c>
      <c r="M32" s="32" t="inlineStr">
        <is>
          <t>200,000 SF. Rent roll as of 06/30/22. Lease expired 4/30/2024, which is why the property was 100% vacant at the 6/30/2024 date of value.</t>
        </is>
      </c>
    </row>
    <row r="33">
      <c r="A33" s="32" t="inlineStr">
        <is>
          <t>6051 Washington St (R0114026)</t>
        </is>
      </c>
      <c r="B33" s="32" t="inlineStr">
        <is>
          <t>-</t>
        </is>
      </c>
      <c r="C33" s="32" t="inlineStr">
        <is>
          <t>Colorado Signs</t>
        </is>
      </c>
      <c r="D33" s="32" t="inlineStr">
        <is>
          <t>Actual - lease rate &amp; term only</t>
        </is>
      </c>
      <c r="E33" s="37" t="n"/>
      <c r="F33" s="37" t="n"/>
      <c r="G33" s="37" t="n">
        <v>9.75</v>
      </c>
      <c r="H33" s="32" t="inlineStr">
        <is>
          <t>7/1/2021</t>
        </is>
      </c>
      <c r="I33" s="32" t="inlineStr">
        <is>
          <t>6/30/2025</t>
        </is>
      </c>
      <c r="J33" s="32" t="inlineStr">
        <is>
          <t>-</t>
        </is>
      </c>
      <c r="K33" s="37" t="inlineStr">
        <is>
          <t>-</t>
        </is>
      </c>
      <c r="L33" s="37" t="inlineStr">
        <is>
          <t>-</t>
        </is>
      </c>
      <c r="M33" s="32" t="inlineStr">
        <is>
          <t>Rent roll (06/24) reports only tenant, rate PSF and term - no SF or monthly rent. Corresponding P&amp;L income account is named 'Colorado Wrap'.</t>
        </is>
      </c>
    </row>
    <row r="34">
      <c r="A34" s="32" t="inlineStr">
        <is>
          <t>6051 Washington St (R0114026)</t>
        </is>
      </c>
      <c r="B34" s="32" t="inlineStr">
        <is>
          <t>-</t>
        </is>
      </c>
      <c r="C34" s="32" t="inlineStr">
        <is>
          <t>CPI / Thorp</t>
        </is>
      </c>
      <c r="D34" s="32" t="inlineStr">
        <is>
          <t>Actual - lease rate &amp; term only</t>
        </is>
      </c>
      <c r="E34" s="37" t="n"/>
      <c r="F34" s="37" t="n"/>
      <c r="G34" s="37" t="n">
        <v>11.65</v>
      </c>
      <c r="H34" s="32" t="inlineStr">
        <is>
          <t>7/1/2023</t>
        </is>
      </c>
      <c r="I34" s="32" t="inlineStr">
        <is>
          <t>6/30/2030</t>
        </is>
      </c>
      <c r="J34" s="32" t="inlineStr">
        <is>
          <t>-</t>
        </is>
      </c>
      <c r="K34" s="37" t="inlineStr">
        <is>
          <t>-</t>
        </is>
      </c>
      <c r="L34" s="37" t="inlineStr">
        <is>
          <t>-</t>
        </is>
      </c>
      <c r="M34" s="32" t="inlineStr">
        <is>
          <t>Rent roll (06/24) reports only tenant, rate PSF and term.</t>
        </is>
      </c>
    </row>
    <row r="35">
      <c r="A35" s="32" t="inlineStr">
        <is>
          <t>6051 Washington St (R0114026)</t>
        </is>
      </c>
      <c r="B35" s="32" t="inlineStr">
        <is>
          <t>-</t>
        </is>
      </c>
      <c r="C35" s="32" t="inlineStr">
        <is>
          <t>Touch Stone Granite &amp; Marble</t>
        </is>
      </c>
      <c r="D35" s="32" t="inlineStr">
        <is>
          <t>Actual (details not legible)</t>
        </is>
      </c>
      <c r="E35" s="37" t="n"/>
      <c r="F35" s="37" t="n"/>
      <c r="G35" s="37" t="n"/>
      <c r="H35" s="32" t="inlineStr">
        <is>
          <t>-</t>
        </is>
      </c>
      <c r="I35" s="32" t="inlineStr">
        <is>
          <t>-</t>
        </is>
      </c>
      <c r="J35" s="32" t="inlineStr">
        <is>
          <t>-</t>
        </is>
      </c>
      <c r="K35" s="37" t="inlineStr">
        <is>
          <t>-</t>
        </is>
      </c>
      <c r="L35" s="37" t="inlineStr">
        <is>
          <t>-</t>
        </is>
      </c>
      <c r="M35" s="32" t="inlineStr">
        <is>
          <t>Third rent-roll row is obliterated by a black scan artifact; tenant identified only from the P&amp;L rent accounts. Rate and term NOT recoverable.</t>
        </is>
      </c>
    </row>
    <row r="36">
      <c r="A36" s="32" t="inlineStr">
        <is>
          <t>Anchor Business Park (R0121833)</t>
        </is>
      </c>
      <c r="B36" s="32" t="inlineStr">
        <is>
          <t>A</t>
        </is>
      </c>
      <c r="C36" s="32" t="inlineStr">
        <is>
          <t>Anchor Building Products LLC</t>
        </is>
      </c>
      <c r="D36" s="32" t="inlineStr">
        <is>
          <t>Actual - NNN</t>
        </is>
      </c>
      <c r="E36" s="37" t="n">
        <v>1399</v>
      </c>
      <c r="F36" s="37" t="n">
        <v>16788</v>
      </c>
      <c r="G36" s="37" t="n"/>
      <c r="H36" s="32" t="inlineStr">
        <is>
          <t>-</t>
        </is>
      </c>
      <c r="I36" s="32" t="inlineStr">
        <is>
          <t>N/A</t>
        </is>
      </c>
      <c r="J36" s="32" t="inlineStr">
        <is>
          <t>-</t>
        </is>
      </c>
      <c r="K36" s="37" t="inlineStr">
        <is>
          <t>-</t>
        </is>
      </c>
      <c r="L36" s="37" t="inlineStr">
        <is>
          <t>-</t>
        </is>
      </c>
      <c r="M36" s="32" t="inlineStr">
        <is>
          <t>2024 rent roll; date of change 4/1/24. Term end shown as N/A (owner-affiliated tenant).</t>
        </is>
      </c>
    </row>
    <row r="37">
      <c r="A37" s="32" t="inlineStr">
        <is>
          <t>Anchor Business Park (R0121833)</t>
        </is>
      </c>
      <c r="B37" s="32" t="inlineStr">
        <is>
          <t>A</t>
        </is>
      </c>
      <c r="C37" s="32" t="inlineStr">
        <is>
          <t>Consolidated Electrical Distributors</t>
        </is>
      </c>
      <c r="D37" s="32" t="inlineStr">
        <is>
          <t>Actual - NNN</t>
        </is>
      </c>
      <c r="E37" s="37" t="n">
        <v>5660</v>
      </c>
      <c r="F37" s="37" t="n">
        <v>67920</v>
      </c>
      <c r="G37" s="37" t="n"/>
      <c r="H37" s="32" t="inlineStr">
        <is>
          <t>-</t>
        </is>
      </c>
      <c r="I37" s="32" t="inlineStr">
        <is>
          <t>9/30/2026</t>
        </is>
      </c>
      <c r="J37" s="32" t="inlineStr">
        <is>
          <t>-</t>
        </is>
      </c>
      <c r="K37" s="37" t="inlineStr">
        <is>
          <t>-</t>
        </is>
      </c>
      <c r="L37" s="37" t="inlineStr">
        <is>
          <t>-</t>
        </is>
      </c>
      <c r="M37" s="32" t="inlineStr">
        <is>
          <t>2024 rent roll; date of change 10/1/24.</t>
        </is>
      </c>
    </row>
    <row r="38">
      <c r="A38" s="32" t="inlineStr">
        <is>
          <t>Anchor Business Park (R0121833)</t>
        </is>
      </c>
      <c r="B38" s="32" t="inlineStr">
        <is>
          <t>B</t>
        </is>
      </c>
      <c r="C38" s="32" t="inlineStr">
        <is>
          <t>Integrative Environmental Systems, LLC</t>
        </is>
      </c>
      <c r="D38" s="32" t="inlineStr">
        <is>
          <t>Actual - NNN</t>
        </is>
      </c>
      <c r="E38" s="37" t="n">
        <v>5767.29</v>
      </c>
      <c r="F38" s="37" t="n">
        <v>69207.48</v>
      </c>
      <c r="G38" s="37" t="n">
        <v>9.5</v>
      </c>
      <c r="H38" s="32" t="inlineStr">
        <is>
          <t>12/1/2023</t>
        </is>
      </c>
      <c r="I38" s="32" t="inlineStr">
        <is>
          <t>11/30/2026</t>
        </is>
      </c>
      <c r="J38" s="32" t="inlineStr">
        <is>
          <t>36 mo + option 12/1/2027-11/30/2030</t>
        </is>
      </c>
      <c r="K38" s="37" t="inlineStr">
        <is>
          <t>-</t>
        </is>
      </c>
      <c r="L38" s="37" t="n">
        <v>5767.29</v>
      </c>
      <c r="M38" s="32" t="inlineStr">
        <is>
          <t>7,285 SF at $9.50/SF NNN with 3% annual escalations (executed lease dated 10/31/2023). Lease Table 1: Yr1 $9.50/$5,767.29/mo; Yr2 $9.79/$5,943.35; Yr3 $10.08/$6,119.40; total $213,960.48. First-month charges $2,872.60; late fee $250. Rent roll shows term end 10/31/2026 vs 11/30/2026 in the lease body, and Table 1 periods start 11/1/2023 vs the 12/1/2023 commencement - reproduced as printed (source contains typos in the Table 1 period column).</t>
        </is>
      </c>
    </row>
    <row r="39">
      <c r="A39" s="32" t="inlineStr">
        <is>
          <t>Anchor Business Park (R0121833)</t>
        </is>
      </c>
      <c r="B39" s="32" t="inlineStr">
        <is>
          <t>C</t>
        </is>
      </c>
      <c r="C39" s="32" t="inlineStr">
        <is>
          <t>Juniper Overland</t>
        </is>
      </c>
      <c r="D39" s="32" t="inlineStr">
        <is>
          <t>Actual - NNN</t>
        </is>
      </c>
      <c r="E39" s="37" t="n">
        <v>5640</v>
      </c>
      <c r="F39" s="37" t="n">
        <v>67680</v>
      </c>
      <c r="G39" s="37" t="n"/>
      <c r="H39" s="32" t="inlineStr">
        <is>
          <t>-</t>
        </is>
      </c>
      <c r="I39" s="32" t="inlineStr">
        <is>
          <t>3/31/2026</t>
        </is>
      </c>
      <c r="J39" s="32" t="inlineStr">
        <is>
          <t>-</t>
        </is>
      </c>
      <c r="K39" s="37" t="inlineStr">
        <is>
          <t>-</t>
        </is>
      </c>
      <c r="L39" s="37" t="inlineStr">
        <is>
          <t>-</t>
        </is>
      </c>
      <c r="M39" s="32" t="inlineStr">
        <is>
          <t>2024 rent roll; date of change 4/1/24.</t>
        </is>
      </c>
    </row>
    <row r="40">
      <c r="A40" s="32" t="inlineStr">
        <is>
          <t>Anchor Business Park (R0121833)</t>
        </is>
      </c>
      <c r="B40" s="32" t="inlineStr">
        <is>
          <t>D</t>
        </is>
      </c>
      <c r="C40" s="32" t="inlineStr">
        <is>
          <t>Restoration Logistics</t>
        </is>
      </c>
      <c r="D40" s="32" t="inlineStr">
        <is>
          <t>Actual - NNN</t>
        </is>
      </c>
      <c r="E40" s="37" t="n">
        <v>7190.5</v>
      </c>
      <c r="F40" s="37" t="n">
        <v>86286</v>
      </c>
      <c r="G40" s="37" t="n"/>
      <c r="H40" s="32" t="inlineStr">
        <is>
          <t>-</t>
        </is>
      </c>
      <c r="I40" s="32" t="inlineStr">
        <is>
          <t>3/31/2025</t>
        </is>
      </c>
      <c r="J40" s="32" t="inlineStr">
        <is>
          <t>-</t>
        </is>
      </c>
      <c r="K40" s="37" t="inlineStr">
        <is>
          <t>-</t>
        </is>
      </c>
      <c r="L40" s="37" t="inlineStr">
        <is>
          <t>-</t>
        </is>
      </c>
      <c r="M40" s="32" t="inlineStr">
        <is>
          <t>2024 rent roll; date of change 4/1/24.</t>
        </is>
      </c>
    </row>
    <row r="41">
      <c r="A41" s="32" t="inlineStr">
        <is>
          <t>Anchor Business Park (R0121833)</t>
        </is>
      </c>
      <c r="B41" s="32" t="inlineStr">
        <is>
          <t>TOTAL</t>
        </is>
      </c>
      <c r="C41" s="32" t="inlineStr">
        <is>
          <t>5 leases - all NNN</t>
        </is>
      </c>
      <c r="D41" s="32" t="inlineStr">
        <is>
          <t>Actual - NNN</t>
        </is>
      </c>
      <c r="E41" s="37" t="n">
        <v>25656.79</v>
      </c>
      <c r="F41" s="37" t="n">
        <v>307881.48</v>
      </c>
      <c r="G41" s="37" t="n">
        <v>8.44</v>
      </c>
      <c r="H41" s="32" t="inlineStr">
        <is>
          <t>-</t>
        </is>
      </c>
      <c r="I41" s="32" t="inlineStr">
        <is>
          <t>-</t>
        </is>
      </c>
      <c r="J41" s="32" t="inlineStr">
        <is>
          <t>-</t>
        </is>
      </c>
      <c r="K41" s="37" t="inlineStr">
        <is>
          <t>-</t>
        </is>
      </c>
      <c r="L41" s="37" t="inlineStr">
        <is>
          <t>-</t>
        </is>
      </c>
      <c r="M41" s="32" t="inlineStr">
        <is>
          <t>Printed rent-roll totals, signed Bart S. Hansen (Property Manager) 4/1/24. PSF = $307,881.48 / 36,472 SF.</t>
        </is>
      </c>
    </row>
    <row r="42">
      <c r="A42" s="32" t="inlineStr">
        <is>
          <t>5977-5995 N Broadway (R0103518)</t>
        </is>
      </c>
      <c r="B42" s="32" t="inlineStr">
        <is>
          <t>5977-81</t>
        </is>
      </c>
      <c r="C42" s="32" t="inlineStr">
        <is>
          <t>EDGEBANDING SERVICES INC</t>
        </is>
      </c>
      <c r="D42" s="32" t="inlineStr">
        <is>
          <t>Actual - industrial net</t>
        </is>
      </c>
      <c r="E42" s="37" t="n">
        <v>22904.43</v>
      </c>
      <c r="F42" s="37" t="n">
        <v>274853.16</v>
      </c>
      <c r="G42" s="37" t="n">
        <v>6.85</v>
      </c>
      <c r="H42" s="32" t="inlineStr">
        <is>
          <t>11/1/2019</t>
        </is>
      </c>
      <c r="I42" s="32" t="inlineStr">
        <is>
          <t>10/31/2024</t>
        </is>
      </c>
      <c r="J42" s="32" t="inlineStr">
        <is>
          <t>Lease 8580-4 ver; orig. exec. 9/14/2005</t>
        </is>
      </c>
      <c r="K42" s="37" t="n"/>
      <c r="L42" s="37" t="n">
        <v>22053.08</v>
      </c>
      <c r="M42" s="32" t="inlineStr">
        <is>
          <t>40,140 SF. Rent roll as of 1/1/2023. Monthly net rent = base rent. O/E estimate $12,917.99/mo ($3.86 PSF). Move-in 11/1/2019.</t>
        </is>
      </c>
    </row>
    <row r="43">
      <c r="A43" s="32" t="inlineStr">
        <is>
          <t>5977-5995 N Broadway (R0103518)</t>
        </is>
      </c>
      <c r="B43" s="32" t="inlineStr">
        <is>
          <t>005995</t>
        </is>
      </c>
      <c r="C43" s="32" t="inlineStr">
        <is>
          <t>SPEC 7 INSULATION CO.</t>
        </is>
      </c>
      <c r="D43" s="32" t="inlineStr">
        <is>
          <t>Actual - industrial net</t>
        </is>
      </c>
      <c r="E43" s="37" t="n">
        <v>7110.29</v>
      </c>
      <c r="F43" s="37" t="n">
        <v>85323.48</v>
      </c>
      <c r="G43" s="37" t="n">
        <v>8.41</v>
      </c>
      <c r="H43" s="32" t="inlineStr">
        <is>
          <t>11/1/2021</t>
        </is>
      </c>
      <c r="I43" s="32" t="inlineStr">
        <is>
          <t>10/31/2024</t>
        </is>
      </c>
      <c r="J43" s="32" t="inlineStr">
        <is>
          <t>Lease 15546-2 ver; orig. exec. 6/16/2016</t>
        </is>
      </c>
      <c r="K43" s="37" t="n"/>
      <c r="L43" s="37" t="n">
        <v>8426.58</v>
      </c>
      <c r="M43" s="32" t="inlineStr">
        <is>
          <t>10,140 SF. Rent roll as of 1/1/2023. O/E estimate $3,320.93/mo ($3.93 PSF). Move-in 10/15/2016.</t>
        </is>
      </c>
    </row>
    <row r="44">
      <c r="A44" s="32" t="inlineStr">
        <is>
          <t>5977-5995 N Broadway (R0103518)</t>
        </is>
      </c>
      <c r="B44" s="32" t="inlineStr">
        <is>
          <t>TOTAL 1/1/2023</t>
        </is>
      </c>
      <c r="C44" s="32" t="inlineStr">
        <is>
          <t>2 tenants - 100% occupied</t>
        </is>
      </c>
      <c r="D44" s="32" t="inlineStr">
        <is>
          <t>Actual - industrial net</t>
        </is>
      </c>
      <c r="E44" s="37" t="n">
        <v>30014.72</v>
      </c>
      <c r="F44" s="37" t="n">
        <v>360176.64</v>
      </c>
      <c r="G44" s="37" t="n">
        <v>7.16</v>
      </c>
      <c r="H44" s="32" t="inlineStr">
        <is>
          <t>-</t>
        </is>
      </c>
      <c r="I44" s="32" t="inlineStr">
        <is>
          <t>-</t>
        </is>
      </c>
      <c r="J44" s="32" t="inlineStr">
        <is>
          <t>-</t>
        </is>
      </c>
      <c r="K44" s="37" t="n"/>
      <c r="L44" s="37" t="n">
        <v>30479.66</v>
      </c>
      <c r="M44" s="32" t="inlineStr">
        <is>
          <t>50,280 SF occupied, 0 SF vacant. Printed rent-roll totals as of 1/1/2023. NOTE: project SF on the rent roll is 50,280 while the appeal's stated NLA is 54,431 SF.</t>
        </is>
      </c>
    </row>
    <row r="45">
      <c r="A45" s="32" t="inlineStr">
        <is>
          <t>5977-5995 N Broadway (R0103518)</t>
        </is>
      </c>
      <c r="B45" s="32" t="inlineStr">
        <is>
          <t>5977-81</t>
        </is>
      </c>
      <c r="C45" s="32" t="inlineStr">
        <is>
          <t>EDGEBANDING SERVICES INC</t>
        </is>
      </c>
      <c r="D45" s="32" t="inlineStr">
        <is>
          <t>Actual - industrial net</t>
        </is>
      </c>
      <c r="E45" s="37" t="n">
        <v>23591.45</v>
      </c>
      <c r="F45" s="37" t="n">
        <v>283097.4</v>
      </c>
      <c r="G45" s="37" t="n">
        <v>7.05</v>
      </c>
      <c r="H45" s="32" t="inlineStr">
        <is>
          <t>11/1/2019</t>
        </is>
      </c>
      <c r="I45" s="32" t="inlineStr">
        <is>
          <t>10/31/2024</t>
        </is>
      </c>
      <c r="J45" s="32" t="inlineStr">
        <is>
          <t>-</t>
        </is>
      </c>
      <c r="K45" s="37" t="n"/>
      <c r="L45" s="37" t="n">
        <v>22053.08</v>
      </c>
      <c r="M45" s="32" t="inlineStr">
        <is>
          <t>40,140 SF. Rent roll as of 1/1/2024 (escalated). O/E estimate $15,263.38/mo ($4.56 PSF).</t>
        </is>
      </c>
    </row>
    <row r="46">
      <c r="A46" s="32" t="inlineStr">
        <is>
          <t>5977-5995 N Broadway (R0103518)</t>
        </is>
      </c>
      <c r="B46" s="32" t="inlineStr">
        <is>
          <t>005995</t>
        </is>
      </c>
      <c r="C46" s="32" t="inlineStr">
        <is>
          <t>SPEC 7 INSULATION CO.</t>
        </is>
      </c>
      <c r="D46" s="32" t="inlineStr">
        <is>
          <t>Actual - industrial net</t>
        </is>
      </c>
      <c r="E46" s="37" t="n">
        <v>7359.16</v>
      </c>
      <c r="F46" s="37" t="n">
        <v>88309.92</v>
      </c>
      <c r="G46" s="37" t="n">
        <v>8.710000000000001</v>
      </c>
      <c r="H46" s="32" t="inlineStr">
        <is>
          <t>11/1/2021</t>
        </is>
      </c>
      <c r="I46" s="32" t="inlineStr">
        <is>
          <t>10/31/2024</t>
        </is>
      </c>
      <c r="J46" s="32" t="inlineStr">
        <is>
          <t>-</t>
        </is>
      </c>
      <c r="K46" s="37" t="n"/>
      <c r="L46" s="37" t="n">
        <v>8426.58</v>
      </c>
      <c r="M46" s="32" t="inlineStr">
        <is>
          <t>10,140 SF. Rent roll as of 1/1/2024. O/E estimate $3,999.94/mo ($4.73 PSF). Flagged '*' - a future lease version had been entered.</t>
        </is>
      </c>
    </row>
    <row r="47">
      <c r="A47" s="32" t="inlineStr">
        <is>
          <t>5977-5995 N Broadway (R0103518)</t>
        </is>
      </c>
      <c r="B47" s="32" t="inlineStr">
        <is>
          <t>TOTAL 1/1/2024</t>
        </is>
      </c>
      <c r="C47" s="32" t="inlineStr">
        <is>
          <t>2 tenants - 100% occupied</t>
        </is>
      </c>
      <c r="D47" s="32" t="inlineStr">
        <is>
          <t>Actual - industrial net</t>
        </is>
      </c>
      <c r="E47" s="37" t="n">
        <v>30950.61</v>
      </c>
      <c r="F47" s="37" t="n">
        <v>371407.32</v>
      </c>
      <c r="G47" s="37" t="n">
        <v>7.38</v>
      </c>
      <c r="H47" s="32" t="inlineStr">
        <is>
          <t>-</t>
        </is>
      </c>
      <c r="I47" s="32" t="inlineStr">
        <is>
          <t>-</t>
        </is>
      </c>
      <c r="J47" s="32" t="inlineStr">
        <is>
          <t>-</t>
        </is>
      </c>
      <c r="K47" s="37" t="n"/>
      <c r="L47" s="37" t="n">
        <v>30479.66</v>
      </c>
      <c r="M47" s="32" t="inlineStr">
        <is>
          <t>50,280 SF occupied, 0 SF vacant. Printed rent-roll totals as of 1/1/2024.</t>
        </is>
      </c>
    </row>
    <row r="48">
      <c r="A48" s="32" t="inlineStr">
        <is>
          <t>5945 &amp; 5957 Broadway (R0103519)</t>
        </is>
      </c>
      <c r="B48" s="32" t="inlineStr">
        <is>
          <t>Space 1 (19,712 SF)</t>
        </is>
      </c>
      <c r="C48" s="32" t="inlineStr">
        <is>
          <t>(tenant not named on rent roll)</t>
        </is>
      </c>
      <c r="D48" s="32" t="inlineStr">
        <is>
          <t>Actual - base + CAM</t>
        </is>
      </c>
      <c r="E48" s="37" t="n">
        <v>11909.34</v>
      </c>
      <c r="F48" s="37" t="n">
        <v>142912.08</v>
      </c>
      <c r="G48" s="37" t="n">
        <v>7.25</v>
      </c>
      <c r="H48" s="32" t="inlineStr">
        <is>
          <t>-</t>
        </is>
      </c>
      <c r="I48" s="32" t="inlineStr">
        <is>
          <t>-</t>
        </is>
      </c>
      <c r="J48" s="32" t="inlineStr">
        <is>
          <t>-</t>
        </is>
      </c>
      <c r="K48" s="37" t="n">
        <v>4632.32</v>
      </c>
      <c r="L48" s="37" t="n"/>
      <c r="M48" s="32" t="inlineStr">
        <is>
          <t>Rent roll gives SF, monthly base rent and CAM only - no tenant names, lease dates or terms. Figures shown are the latest snapshot, 1/1/2025. Prior snapshots: 1/1/23 $8,845.31; 6/30/23 $9,856.00; 1/1/24 and 6/30/24 $11,088.00.</t>
        </is>
      </c>
    </row>
    <row r="49">
      <c r="A49" s="32" t="inlineStr">
        <is>
          <t>5945 &amp; 5957 Broadway (R0103519)</t>
        </is>
      </c>
      <c r="B49" s="32" t="inlineStr">
        <is>
          <t>Space 2 (12,000 SF)</t>
        </is>
      </c>
      <c r="C49" s="32" t="inlineStr">
        <is>
          <t>(tenant not named on rent roll)</t>
        </is>
      </c>
      <c r="D49" s="32" t="inlineStr">
        <is>
          <t>Actual - base + CAM</t>
        </is>
      </c>
      <c r="E49" s="37" t="n">
        <v>6268.78</v>
      </c>
      <c r="F49" s="37" t="n">
        <v>75225.36</v>
      </c>
      <c r="G49" s="37" t="n">
        <v>6.27</v>
      </c>
      <c r="H49" s="32" t="inlineStr">
        <is>
          <t>-</t>
        </is>
      </c>
      <c r="I49" s="32" t="inlineStr">
        <is>
          <t>-</t>
        </is>
      </c>
      <c r="J49" s="32" t="inlineStr">
        <is>
          <t>-</t>
        </is>
      </c>
      <c r="K49" s="37" t="n">
        <v>2820</v>
      </c>
      <c r="L49" s="37" t="n"/>
      <c r="M49" s="32" t="inlineStr">
        <is>
          <t>1/1/2025 snapshot. Prior: 1/1/23 $6,008.92; 6/30/23 and 1/1/24 $6,186.19; 6/30/24 $6,368.78 (the 1/1/25 figure is $100 lower than 6/30/24, as printed).</t>
        </is>
      </c>
    </row>
    <row r="50">
      <c r="A50" s="32" t="inlineStr">
        <is>
          <t>5945 &amp; 5957 Broadway (R0103519)</t>
        </is>
      </c>
      <c r="B50" s="32" t="inlineStr">
        <is>
          <t>Space 3 (10,000 SF)</t>
        </is>
      </c>
      <c r="C50" s="32" t="inlineStr">
        <is>
          <t>(tenant not named on rent roll)</t>
        </is>
      </c>
      <c r="D50" s="32" t="inlineStr">
        <is>
          <t>Actual - base + CAM</t>
        </is>
      </c>
      <c r="E50" s="37" t="n">
        <v>7918.33</v>
      </c>
      <c r="F50" s="37" t="n">
        <v>95019.96000000001</v>
      </c>
      <c r="G50" s="37" t="n">
        <v>9.5</v>
      </c>
      <c r="H50" s="32" t="inlineStr">
        <is>
          <t>-</t>
        </is>
      </c>
      <c r="I50" s="32" t="inlineStr">
        <is>
          <t>-</t>
        </is>
      </c>
      <c r="J50" s="32" t="inlineStr">
        <is>
          <t>-</t>
        </is>
      </c>
      <c r="K50" s="37" t="n">
        <v>2289.61</v>
      </c>
      <c r="L50" s="37" t="n"/>
      <c r="M50" s="32" t="inlineStr">
        <is>
          <t>1/1/2025 snapshot. Prior: 1/1/23 $7,463.33; 6/30/23 through 6/30/24 $7,687.50.</t>
        </is>
      </c>
    </row>
    <row r="51">
      <c r="A51" s="32" t="inlineStr">
        <is>
          <t>5945 &amp; 5957 Broadway (R0103519)</t>
        </is>
      </c>
      <c r="B51" s="32" t="inlineStr">
        <is>
          <t>Space 4 (11,015 SF)</t>
        </is>
      </c>
      <c r="C51" s="32" t="inlineStr">
        <is>
          <t>(tenant not named on rent roll)</t>
        </is>
      </c>
      <c r="D51" s="32" t="inlineStr">
        <is>
          <t>Actual - base + CAM</t>
        </is>
      </c>
      <c r="E51" s="37" t="n">
        <v>8772.040000000001</v>
      </c>
      <c r="F51" s="37" t="n">
        <v>105264.48</v>
      </c>
      <c r="G51" s="37" t="n">
        <v>9.56</v>
      </c>
      <c r="H51" s="32" t="inlineStr">
        <is>
          <t>-</t>
        </is>
      </c>
      <c r="I51" s="32" t="inlineStr">
        <is>
          <t>-</t>
        </is>
      </c>
      <c r="J51" s="32" t="inlineStr">
        <is>
          <t>-</t>
        </is>
      </c>
      <c r="K51" s="37" t="n">
        <v>2588.53</v>
      </c>
      <c r="L51" s="37" t="n"/>
      <c r="M51" s="32" t="inlineStr">
        <is>
          <t>1/1/2025 snapshot. Prior: 1/1/23 through 6/30/23 $8,220.86; 1/1/24 and 6/30/24 $8,467.78.</t>
        </is>
      </c>
    </row>
    <row r="52">
      <c r="A52" s="32" t="inlineStr">
        <is>
          <t>5945 &amp; 5957 Broadway (R0103519)</t>
        </is>
      </c>
      <c r="B52" s="32" t="inlineStr">
        <is>
          <t>Space 5 (12,500 SF)</t>
        </is>
      </c>
      <c r="C52" s="32" t="inlineStr">
        <is>
          <t>(tenant not named on rent roll)</t>
        </is>
      </c>
      <c r="D52" s="32" t="inlineStr">
        <is>
          <t>Actual - base + CAM</t>
        </is>
      </c>
      <c r="E52" s="37" t="n">
        <v>9897.92</v>
      </c>
      <c r="F52" s="37" t="n">
        <v>118775.04</v>
      </c>
      <c r="G52" s="37" t="n">
        <v>9.5</v>
      </c>
      <c r="H52" s="32" t="inlineStr">
        <is>
          <t>-</t>
        </is>
      </c>
      <c r="I52" s="32" t="inlineStr">
        <is>
          <t>-</t>
        </is>
      </c>
      <c r="J52" s="32" t="inlineStr">
        <is>
          <t>-</t>
        </is>
      </c>
      <c r="K52" s="37" t="n">
        <v>2937.5</v>
      </c>
      <c r="L52" s="37" t="n"/>
      <c r="M52" s="32" t="inlineStr">
        <is>
          <t>1/1/2025 snapshot. Prior: 1/1/23 through 6/30/23 $9,329.17; 1/1/24 and 6/30/24 $9,609.38.</t>
        </is>
      </c>
    </row>
    <row r="53">
      <c r="A53" s="32" t="inlineStr">
        <is>
          <t>5945 &amp; 5957 Broadway (R0103519)</t>
        </is>
      </c>
      <c r="B53" s="32" t="inlineStr">
        <is>
          <t>TOTAL 1/1/2025</t>
        </is>
      </c>
      <c r="C53" s="32" t="inlineStr">
        <is>
          <t>5 spaces - no vacant space</t>
        </is>
      </c>
      <c r="D53" s="32" t="inlineStr">
        <is>
          <t>Actual - base + CAM</t>
        </is>
      </c>
      <c r="E53" s="37" t="n">
        <v>44766.41</v>
      </c>
      <c r="F53" s="37" t="n">
        <v>537196.92</v>
      </c>
      <c r="G53" s="37" t="n">
        <v>8.24</v>
      </c>
      <c r="H53" s="32" t="inlineStr">
        <is>
          <t>-</t>
        </is>
      </c>
      <c r="I53" s="32" t="inlineStr">
        <is>
          <t>-</t>
        </is>
      </c>
      <c r="J53" s="32" t="inlineStr">
        <is>
          <t>-</t>
        </is>
      </c>
      <c r="K53" s="37" t="n">
        <v>15267.96</v>
      </c>
      <c r="L53" s="37" t="n"/>
      <c r="M53" s="32" t="inlineStr">
        <is>
          <t>65,227 SF across 5 spaces. Monthly base-rent totals by date: 1/1/23 $39,867.59; 6/30/23 $41,279.72; 1/1/24 $43,038.85; 6/30/24 $43,221.44; 1/1/25 $44,766.41. CAM total $15,267.96/mo at every date.</t>
        </is>
      </c>
    </row>
    <row r="54">
      <c r="A54" s="32" t="inlineStr">
        <is>
          <t>1890 E 58th Ave (R0103779)</t>
        </is>
      </c>
      <c r="B54" s="32" t="inlineStr">
        <is>
          <t>Leased portion</t>
        </is>
      </c>
      <c r="C54" s="32" t="inlineStr">
        <is>
          <t>(multi-tenant; tenants not named)</t>
        </is>
      </c>
      <c r="D54" s="32" t="inlineStr">
        <is>
          <t>Actual - Gross</t>
        </is>
      </c>
      <c r="E54" s="37" t="n">
        <v>55906</v>
      </c>
      <c r="F54" s="37" t="n">
        <v>670872</v>
      </c>
      <c r="G54" s="37" t="n">
        <v>14</v>
      </c>
      <c r="H54" s="32" t="inlineStr">
        <is>
          <t>-</t>
        </is>
      </c>
      <c r="I54" s="32" t="inlineStr">
        <is>
          <t>-</t>
        </is>
      </c>
      <c r="J54" s="32" t="inlineStr">
        <is>
          <t>Years; 9 years remaining as of 2024</t>
        </is>
      </c>
      <c r="K54" s="37" t="n"/>
      <c r="L54" s="37" t="n"/>
      <c r="M54" s="32" t="inlineStr">
        <is>
          <t>County I&amp;E survey: scheduled rent $14.00/SF for 12 months beginning 1/1/2023; actual rent received $670,872 (= $55,906 x 12). Owner reports 100% of the building rented or subject to lease, while also reporting ~50% (47,000 SF) owner-occupancy - reproduced as printed. New lease(s) signed between 7/1/22 and 6/30/24.</t>
        </is>
      </c>
    </row>
    <row r="55">
      <c r="A55" s="32" t="inlineStr">
        <is>
          <t>550 W 53rd Pl (R0104122)</t>
        </is>
      </c>
      <c r="B55" s="32" t="inlineStr">
        <is>
          <t>-</t>
        </is>
      </c>
      <c r="C55" s="32" t="inlineStr">
        <is>
          <t>Monarch Metal Mfg.</t>
        </is>
      </c>
      <c r="D55" s="32" t="inlineStr">
        <is>
          <t>Actual - base + CAM</t>
        </is>
      </c>
      <c r="E55" s="37" t="n">
        <v>32000</v>
      </c>
      <c r="F55" s="37" t="n">
        <v>384000</v>
      </c>
      <c r="G55" s="37" t="n">
        <v>4.41</v>
      </c>
      <c r="H55" s="32" t="inlineStr">
        <is>
          <t>-</t>
        </is>
      </c>
      <c r="I55" s="32" t="inlineStr">
        <is>
          <t>-</t>
        </is>
      </c>
      <c r="J55" s="32" t="inlineStr">
        <is>
          <t>-</t>
        </is>
      </c>
      <c r="K55" s="37" t="n">
        <v>10000</v>
      </c>
      <c r="L55" s="37" t="n"/>
      <c r="M55" s="32" t="inlineStr">
        <is>
          <t>87,000 SF. 06/24 rent roll. Lease date left blank on the rent roll.</t>
        </is>
      </c>
    </row>
    <row r="56">
      <c r="A56" s="32" t="inlineStr">
        <is>
          <t>550 W 53rd Pl (R0104122)</t>
        </is>
      </c>
      <c r="B56" s="32" t="inlineStr">
        <is>
          <t>-</t>
        </is>
      </c>
      <c r="C56" s="32" t="inlineStr">
        <is>
          <t>Arc Thrift Store</t>
        </is>
      </c>
      <c r="D56" s="32" t="inlineStr">
        <is>
          <t>Actual - base + CAM</t>
        </is>
      </c>
      <c r="E56" s="37" t="n">
        <v>20000</v>
      </c>
      <c r="F56" s="37" t="n">
        <v>240000</v>
      </c>
      <c r="G56" s="37" t="n">
        <v>6</v>
      </c>
      <c r="H56" s="32" t="inlineStr">
        <is>
          <t>9/1/2020</t>
        </is>
      </c>
      <c r="I56" s="32" t="inlineStr">
        <is>
          <t>9/30/2025</t>
        </is>
      </c>
      <c r="J56" s="32" t="inlineStr">
        <is>
          <t>September 2020 - September 2025</t>
        </is>
      </c>
      <c r="K56" s="37" t="n">
        <v>5000</v>
      </c>
      <c r="L56" s="37" t="n"/>
      <c r="M56" s="32" t="inlineStr">
        <is>
          <t>40,000 SF. 06/24 rent roll. Lease dates shown only as month/year.</t>
        </is>
      </c>
    </row>
    <row r="57">
      <c r="A57" s="32" t="inlineStr">
        <is>
          <t>550 W 53rd Pl (R0104122)</t>
        </is>
      </c>
      <c r="B57" s="32" t="inlineStr">
        <is>
          <t>TOTAL</t>
        </is>
      </c>
      <c r="C57" s="32" t="inlineStr">
        <is>
          <t>2 tenants</t>
        </is>
      </c>
      <c r="D57" s="32" t="inlineStr">
        <is>
          <t>Actual - base + CAM</t>
        </is>
      </c>
      <c r="E57" s="37" t="n">
        <v>52000</v>
      </c>
      <c r="F57" s="37" t="n">
        <v>624000</v>
      </c>
      <c r="G57" s="37" t="n">
        <v>4.91</v>
      </c>
      <c r="H57" s="32" t="inlineStr">
        <is>
          <t>-</t>
        </is>
      </c>
      <c r="I57" s="32" t="inlineStr">
        <is>
          <t>-</t>
        </is>
      </c>
      <c r="J57" s="32" t="inlineStr">
        <is>
          <t>-</t>
        </is>
      </c>
      <c r="K57" s="37" t="n">
        <v>15000</v>
      </c>
      <c r="L57" s="37" t="n"/>
      <c r="M57" s="32" t="inlineStr">
        <is>
          <t>127,000 SF combined. Rent roll reports no vacancy, no lease PSF and no expiry for Monarch.</t>
        </is>
      </c>
    </row>
    <row r="58">
      <c r="A58" s="32" t="inlineStr">
        <is>
          <t>5710 E. 56th Avenue (R0187789)</t>
        </is>
      </c>
      <c r="B58" s="32" t="inlineStr">
        <is>
          <t>5710A</t>
        </is>
      </c>
      <c r="C58" s="32" t="inlineStr">
        <is>
          <t>Prudential Overall Supply</t>
        </is>
      </c>
      <c r="D58" s="32" t="inlineStr">
        <is>
          <t>Actual - NNN</t>
        </is>
      </c>
      <c r="E58" s="37" t="n">
        <v>10259.67</v>
      </c>
      <c r="F58" s="37" t="n">
        <v>123116</v>
      </c>
      <c r="G58" s="37" t="n">
        <v>12.31</v>
      </c>
      <c r="H58" s="32" t="inlineStr">
        <is>
          <t>12/2017</t>
        </is>
      </c>
      <c r="I58" s="32" t="inlineStr">
        <is>
          <t>4/2026</t>
        </is>
      </c>
      <c r="J58" s="32" t="inlineStr">
        <is>
          <t>-</t>
        </is>
      </c>
      <c r="K58" s="37" t="n">
        <v>2091.67</v>
      </c>
      <c r="L58" s="37" t="n"/>
      <c r="M58" s="32" t="inlineStr">
        <is>
          <t>10,000 SF. Petitioner's recreated rent roll at 6/30/2024. Expense recoveries $25,100/yr ($2.51 PSF); no other income. Gross rent $14.82 PSF. Monthly figures derived from the annual amounts.</t>
        </is>
      </c>
    </row>
    <row r="59">
      <c r="A59" s="32" t="inlineStr">
        <is>
          <t>5710 E. 56th Avenue (R0187789)</t>
        </is>
      </c>
      <c r="B59" s="32" t="inlineStr">
        <is>
          <t>5710C</t>
        </is>
      </c>
      <c r="C59" s="32" t="inlineStr">
        <is>
          <t>United Rentals</t>
        </is>
      </c>
      <c r="D59" s="32" t="inlineStr">
        <is>
          <t>Actual - NNN</t>
        </is>
      </c>
      <c r="E59" s="37" t="n">
        <v>8500</v>
      </c>
      <c r="F59" s="37" t="n">
        <v>102000</v>
      </c>
      <c r="G59" s="37" t="n">
        <v>10.2</v>
      </c>
      <c r="H59" s="32" t="inlineStr">
        <is>
          <t>2/2019</t>
        </is>
      </c>
      <c r="I59" s="32" t="inlineStr">
        <is>
          <t>4/2029</t>
        </is>
      </c>
      <c r="J59" s="32" t="inlineStr">
        <is>
          <t>-</t>
        </is>
      </c>
      <c r="K59" s="37" t="n">
        <v>3650</v>
      </c>
      <c r="L59" s="37" t="n"/>
      <c r="M59" s="32" t="inlineStr">
        <is>
          <t>10,000 SF. Recoveries $43,800/yr ($4.38 PSF). Gross rent $14.58 PSF.</t>
        </is>
      </c>
    </row>
    <row r="60">
      <c r="A60" s="32" t="inlineStr">
        <is>
          <t>5710 E. 56th Avenue (R0187789)</t>
        </is>
      </c>
      <c r="B60" s="32" t="inlineStr">
        <is>
          <t>5710H</t>
        </is>
      </c>
      <c r="C60" s="32" t="inlineStr">
        <is>
          <t>Applied Control</t>
        </is>
      </c>
      <c r="D60" s="32" t="inlineStr">
        <is>
          <t>Actual - NNN</t>
        </is>
      </c>
      <c r="E60" s="37" t="n">
        <v>31583.33</v>
      </c>
      <c r="F60" s="37" t="n">
        <v>379000</v>
      </c>
      <c r="G60" s="37" t="n">
        <v>12.63</v>
      </c>
      <c r="H60" s="32" t="inlineStr">
        <is>
          <t>8/2018</t>
        </is>
      </c>
      <c r="I60" s="32" t="inlineStr">
        <is>
          <t>12/2026</t>
        </is>
      </c>
      <c r="J60" s="32" t="inlineStr">
        <is>
          <t>-</t>
        </is>
      </c>
      <c r="K60" s="37" t="n">
        <v>3325</v>
      </c>
      <c r="L60" s="37" t="n"/>
      <c r="M60" s="32" t="inlineStr">
        <is>
          <t>30,000 SF. Recoveries $39,900/yr ($1.33 PSF). Gross rent $13.96 PSF.</t>
        </is>
      </c>
    </row>
    <row r="61">
      <c r="A61" s="32" t="inlineStr">
        <is>
          <t>5710 E. 56th Avenue (R0187789)</t>
        </is>
      </c>
      <c r="B61" s="32" t="inlineStr">
        <is>
          <t>TOTAL</t>
        </is>
      </c>
      <c r="C61" s="32" t="inlineStr">
        <is>
          <t>3 tenants - 100% occupied</t>
        </is>
      </c>
      <c r="D61" s="32" t="inlineStr">
        <is>
          <t>Actual - NNN</t>
        </is>
      </c>
      <c r="E61" s="37" t="n">
        <v>50343</v>
      </c>
      <c r="F61" s="37" t="n">
        <v>604116</v>
      </c>
      <c r="G61" s="37" t="n">
        <v>12.08</v>
      </c>
      <c r="H61" s="32" t="inlineStr">
        <is>
          <t>-</t>
        </is>
      </c>
      <c r="I61" s="32" t="inlineStr">
        <is>
          <t>-</t>
        </is>
      </c>
      <c r="J61" s="32" t="inlineStr">
        <is>
          <t>-</t>
        </is>
      </c>
      <c r="K61" s="37" t="n">
        <v>9066.67</v>
      </c>
      <c r="L61" s="37" t="n"/>
      <c r="M61" s="32" t="inlineStr">
        <is>
          <t>50,000 SF occupied, 0 vacant. Printed totals: scheduled rent $604,116, expense recoveries $108,800, other income $0. Leases have 2 to 5 years remaining.</t>
        </is>
      </c>
    </row>
    <row r="62">
      <c r="A62" s="32" t="inlineStr">
        <is>
          <t>17851 E 40th Avenue (R0198179)</t>
        </is>
      </c>
      <c r="B62" s="32" t="inlineStr">
        <is>
          <t>Whole</t>
        </is>
      </c>
      <c r="C62" s="32" t="inlineStr">
        <is>
          <t>State of Colorado - Dept of Public Safety, Division of Homeland Security and Emergency Management</t>
        </is>
      </c>
      <c r="D62" s="32" t="inlineStr">
        <is>
          <t>Actual - Gross (State-exempt from property tax)</t>
        </is>
      </c>
      <c r="E62" s="37" t="n">
        <v>62967.1</v>
      </c>
      <c r="F62" s="37" t="n">
        <v>755605.2</v>
      </c>
      <c r="G62" s="37" t="n">
        <v>9.199999999999999</v>
      </c>
      <c r="H62" s="32" t="inlineStr">
        <is>
          <t>7/1/2026</t>
        </is>
      </c>
      <c r="I62" s="32" t="inlineStr">
        <is>
          <t>6/30/2033</t>
        </is>
      </c>
      <c r="J62" s="32" t="inlineStr">
        <is>
          <t>7-yr Second Renewal Term + one 5-yr Third Renewal Option</t>
        </is>
      </c>
      <c r="K62" s="37" t="n"/>
      <c r="L62" s="37" t="n"/>
      <c r="M62" s="32" t="inlineStr">
        <is>
          <t>82,131 RSF. Executed Second Amendment to a lease dated 12/22/2020 (First Amendment 3/15/2021; first renewal exercised 4/29/2021). Landlord Prologis, L.P. Figures shown are the first paying year. Full schedule (Adjusted Annual Rent PSF / Monthly): 8/1/26-6/30/27 $9.20 / $62,967.10; FY28 $9.47 / $64,815.05; FY29 $9.76 / $66,799.88; FY30 $10.05 / $68,784.71; FY31 $10.36 / $70,906.43; FY32 $10.67 / $73,028.15; FY33 $10.99 / $75,218.31. 7/1/26-7/31/26 is rent-free. Negotiated rent runs $11.52-$13.31 PSF before a $2.32 PSF property-tax credit. TI allowance $205,327.50 ($2.50 PSF); JLL tenant-agent commission $128,648.31.</t>
        </is>
      </c>
    </row>
    <row r="63">
      <c r="A63" s="32" t="inlineStr">
        <is>
          <t>Majestic Commercenter Bldg 5 (R0191099)</t>
        </is>
      </c>
      <c r="B63" s="32" t="inlineStr">
        <is>
          <t>Suite 100</t>
        </is>
      </c>
      <c r="C63" s="32" t="inlineStr">
        <is>
          <t>Erickson Metals of Colorado, Inc. (Randy Adkisson)</t>
        </is>
      </c>
      <c r="D63" s="32" t="inlineStr">
        <is>
          <t>Actual - Multi-Tenant Net</t>
        </is>
      </c>
      <c r="E63" s="37" t="n">
        <v>29122.88</v>
      </c>
      <c r="F63" s="37" t="n">
        <v>349474.56</v>
      </c>
      <c r="G63" s="37" t="n">
        <v>6.75</v>
      </c>
      <c r="H63" s="32" t="inlineStr">
        <is>
          <t>12/1/2022</t>
        </is>
      </c>
      <c r="I63" s="32" t="inlineStr">
        <is>
          <t>1/31/2033</t>
        </is>
      </c>
      <c r="J63" s="32" t="inlineStr">
        <is>
          <t>-</t>
        </is>
      </c>
      <c r="K63" s="37" t="n"/>
      <c r="L63" s="37" t="n"/>
      <c r="M63" s="32" t="inlineStr">
        <is>
          <t>51,774 SF = 32.55% of building. Rent roll as of 12/31/23. This same lease is used as a comparable in Sterling's own Exhibit F survey for buildings 6 and 7, and in the R0200721 Exhibit C survey, where it is shown at $360,832 / $6.97 PSF rather than the $349,474.56 / $6.75 on this rent roll.</t>
        </is>
      </c>
    </row>
    <row r="64">
      <c r="A64" s="32" t="inlineStr">
        <is>
          <t>Majestic Commercenter Bldg 5 (R0191099)</t>
        </is>
      </c>
      <c r="B64" s="32" t="inlineStr">
        <is>
          <t>-</t>
        </is>
      </c>
      <c r="C64" s="32" t="inlineStr">
        <is>
          <t>Euromarket Designs, Inc.</t>
        </is>
      </c>
      <c r="D64" s="32" t="inlineStr">
        <is>
          <t>Actual - Multi-Tenant Net</t>
        </is>
      </c>
      <c r="E64" s="37" t="n">
        <v>31693.1</v>
      </c>
      <c r="F64" s="37" t="n">
        <v>380317.2</v>
      </c>
      <c r="G64" s="37" t="n">
        <v>6.879</v>
      </c>
      <c r="H64" s="32" t="inlineStr">
        <is>
          <t>2/1/2018</t>
        </is>
      </c>
      <c r="I64" s="32" t="inlineStr">
        <is>
          <t>3/31/2025</t>
        </is>
      </c>
      <c r="J64" s="32" t="inlineStr">
        <is>
          <t>-</t>
        </is>
      </c>
      <c r="K64" s="37" t="n"/>
      <c r="L64" s="37" t="n"/>
      <c r="M64" s="32" t="inlineStr">
        <is>
          <t>55,287 SF = 34.76% of building. Rent roll as of 12/31/23.</t>
        </is>
      </c>
    </row>
    <row r="65">
      <c r="A65" s="32" t="inlineStr">
        <is>
          <t>Majestic Commercenter Bldg 5 (R0191099)</t>
        </is>
      </c>
      <c r="B65" s="32" t="inlineStr">
        <is>
          <t>Suite 200</t>
        </is>
      </c>
      <c r="C65" s="32" t="inlineStr">
        <is>
          <t>Carbon Chemistry Ltd.</t>
        </is>
      </c>
      <c r="D65" s="32" t="inlineStr">
        <is>
          <t>Actual - Multi-Tenant Net</t>
        </is>
      </c>
      <c r="E65" s="37" t="n">
        <v>12260.4</v>
      </c>
      <c r="F65" s="37" t="n">
        <v>147124.8</v>
      </c>
      <c r="G65" s="37" t="n">
        <v>8.195499999999999</v>
      </c>
      <c r="H65" s="32" t="inlineStr">
        <is>
          <t>10/1/2020</t>
        </is>
      </c>
      <c r="I65" s="32" t="inlineStr">
        <is>
          <t>1/31/2025</t>
        </is>
      </c>
      <c r="J65" s="32" t="inlineStr">
        <is>
          <t>-</t>
        </is>
      </c>
      <c r="K65" s="37" t="n"/>
      <c r="L65" s="37" t="n"/>
      <c r="M65" s="32" t="inlineStr">
        <is>
          <t>17,952 SF = 11.29% of building. Rent roll as of 12/31/23.</t>
        </is>
      </c>
    </row>
    <row r="66">
      <c r="A66" s="32" t="inlineStr">
        <is>
          <t>Majestic Commercenter Bldg 5 (R0191099)</t>
        </is>
      </c>
      <c r="B66" s="32" t="inlineStr">
        <is>
          <t>Suite 400</t>
        </is>
      </c>
      <c r="C66" s="32" t="inlineStr">
        <is>
          <t>Service Partners, LLC (c/o TopBuild Corp)</t>
        </is>
      </c>
      <c r="D66" s="32" t="inlineStr">
        <is>
          <t>Actual - Multi-Tenant Net</t>
        </is>
      </c>
      <c r="E66" s="37" t="n">
        <v>19838.25</v>
      </c>
      <c r="F66" s="37" t="n">
        <v>238059</v>
      </c>
      <c r="G66" s="37" t="n">
        <v>6.9947</v>
      </c>
      <c r="H66" s="32" t="inlineStr">
        <is>
          <t>4/1/2021</t>
        </is>
      </c>
      <c r="I66" s="32" t="inlineStr">
        <is>
          <t>6/30/2026</t>
        </is>
      </c>
      <c r="J66" s="32" t="inlineStr">
        <is>
          <t>-</t>
        </is>
      </c>
      <c r="K66" s="37" t="n"/>
      <c r="L66" s="37" t="n"/>
      <c r="M66" s="32" t="inlineStr">
        <is>
          <t>34,034 SF = 21.40% of building. Rent roll as of 12/31/23; at 6/30/23 this lease was $19,260.43/mo, $231,125.16/yr, $6.7910 PSF.</t>
        </is>
      </c>
    </row>
    <row r="67">
      <c r="A67" s="32" t="inlineStr">
        <is>
          <t>Majestic Commercenter Bldg 5 (R0191099)</t>
        </is>
      </c>
      <c r="B67" s="32" t="inlineStr">
        <is>
          <t>TOTAL 12/31/23</t>
        </is>
      </c>
      <c r="C67" s="32" t="inlineStr">
        <is>
          <t>4 tenants - 100% occupied</t>
        </is>
      </c>
      <c r="D67" s="32" t="inlineStr">
        <is>
          <t>Actual - Multi-Tenant Net</t>
        </is>
      </c>
      <c r="E67" s="37" t="n">
        <v>92914.63</v>
      </c>
      <c r="F67" s="37" t="n">
        <v>1114975.56</v>
      </c>
      <c r="G67" s="37" t="n">
        <v>7.0104</v>
      </c>
      <c r="H67" s="32" t="inlineStr">
        <is>
          <t>-</t>
        </is>
      </c>
      <c r="I67" s="32" t="inlineStr">
        <is>
          <t>-</t>
        </is>
      </c>
      <c r="J67" s="32" t="inlineStr">
        <is>
          <t>-</t>
        </is>
      </c>
      <c r="K67" s="37" t="n"/>
      <c r="L67" s="37" t="n"/>
      <c r="M67" s="32" t="inlineStr">
        <is>
          <t>159,047 SF occupied, 0 vacant. Printed rent-roll totals at 12/31/23. At 6/30/23 the totals were $92,336.81/mo and $1,108,041.72/yr.</t>
        </is>
      </c>
    </row>
    <row r="68">
      <c r="A68" s="32" t="inlineStr">
        <is>
          <t>3420 Lisbon Street (R0200721)</t>
        </is>
      </c>
      <c r="B68" s="32" t="inlineStr">
        <is>
          <t>Whole</t>
        </is>
      </c>
      <c r="C68" s="32" t="inlineStr">
        <is>
          <t>Cameron Ashley Building Products, Inc. (Ryan Beaton)</t>
        </is>
      </c>
      <c r="D68" s="32" t="inlineStr">
        <is>
          <t>Actual - Single Tenant Net</t>
        </is>
      </c>
      <c r="E68" s="37" t="n">
        <v>23370.53</v>
      </c>
      <c r="F68" s="37" t="n">
        <v>280446.36</v>
      </c>
      <c r="G68" s="37" t="n">
        <v>7.7446</v>
      </c>
      <c r="H68" s="32" t="inlineStr">
        <is>
          <t>10/12/2021</t>
        </is>
      </c>
      <c r="I68" s="32" t="inlineStr">
        <is>
          <t>12/31/2026</t>
        </is>
      </c>
      <c r="J68" s="32" t="inlineStr">
        <is>
          <t>-</t>
        </is>
      </c>
      <c r="K68" s="37" t="n"/>
      <c r="L68" s="37" t="n"/>
      <c r="M68" s="32" t="inlineStr">
        <is>
          <t>36,212 SF, 100% of building. Rent roll as of 06/01/24. This annual rent ties exactly to Industrial Rental Income on the CY2024 income statement. Sterling's Exhibit C shows the same lease at $264,348 / $7.30 PSF scheduled with an effective rent of $5.86 PSF after 3 months free rent and $13.14 PSF of tenant improvements, while the letter text describes the commencement rate as $7.60 PSF - three different figures, all reproduced as printed.</t>
        </is>
      </c>
    </row>
    <row r="69">
      <c r="A69" s="32" t="inlineStr">
        <is>
          <t>5690 E. 56th Avenue (R0187787)</t>
        </is>
      </c>
      <c r="B69" s="32" t="inlineStr">
        <is>
          <t>5690A</t>
        </is>
      </c>
      <c r="C69" s="32" t="inlineStr">
        <is>
          <t>NOVITECH INC</t>
        </is>
      </c>
      <c r="D69" s="32" t="inlineStr">
        <is>
          <t>Actual - Modified Gross Industrial</t>
        </is>
      </c>
      <c r="E69" s="37" t="n">
        <v>10003.88</v>
      </c>
      <c r="F69" s="37" t="n">
        <v>120046.56</v>
      </c>
      <c r="G69" s="37" t="n">
        <v>12</v>
      </c>
      <c r="H69" s="32" t="inlineStr">
        <is>
          <t>5/1/2017</t>
        </is>
      </c>
      <c r="I69" s="32" t="inlineStr">
        <is>
          <t>7/31/2027</t>
        </is>
      </c>
      <c r="J69" s="32" t="inlineStr">
        <is>
          <t>123-month term</t>
        </is>
      </c>
      <c r="K69" s="37" t="n"/>
      <c r="L69" s="37" t="n"/>
      <c r="M69" s="32" t="inlineStr">
        <is>
          <t>10,000 SF. Tenancy Schedule as of 6/30/2024. Annual recoveries $3.31 PSF; no misc income.</t>
        </is>
      </c>
    </row>
    <row r="70">
      <c r="A70" s="32" t="inlineStr">
        <is>
          <t>5690 E. 56th Avenue (R0187787)</t>
        </is>
      </c>
      <c r="B70" s="32" t="inlineStr">
        <is>
          <t>5690C</t>
        </is>
      </c>
      <c r="C70" s="32" t="inlineStr">
        <is>
          <t>CAMSO USA INC</t>
        </is>
      </c>
      <c r="D70" s="32" t="inlineStr">
        <is>
          <t>Actual - Modified Gross Industrial</t>
        </is>
      </c>
      <c r="E70" s="37" t="n">
        <v>10000</v>
      </c>
      <c r="F70" s="37" t="n">
        <v>120000</v>
      </c>
      <c r="G70" s="37" t="n">
        <v>12</v>
      </c>
      <c r="H70" s="32" t="inlineStr">
        <is>
          <t>8/1/2018</t>
        </is>
      </c>
      <c r="I70" s="32" t="inlineStr">
        <is>
          <t>9/30/2028</t>
        </is>
      </c>
      <c r="J70" s="32" t="inlineStr">
        <is>
          <t>122-month term</t>
        </is>
      </c>
      <c r="K70" s="37" t="n"/>
      <c r="L70" s="37" t="n"/>
      <c r="M70" s="32" t="inlineStr">
        <is>
          <t>10,000 SF. Annual recoveries $2.59 PSF.</t>
        </is>
      </c>
    </row>
    <row r="71">
      <c r="A71" s="32" t="inlineStr">
        <is>
          <t>5690 E. 56th Avenue (R0187787)</t>
        </is>
      </c>
      <c r="B71" s="32" t="inlineStr">
        <is>
          <t>5690E</t>
        </is>
      </c>
      <c r="C71" s="32" t="inlineStr">
        <is>
          <t>TECHNEAUX TECHNOLOGY SERVICES LLC</t>
        </is>
      </c>
      <c r="D71" s="32" t="inlineStr">
        <is>
          <t>Actual - NNN Industrial</t>
        </is>
      </c>
      <c r="E71" s="37" t="n">
        <v>0</v>
      </c>
      <c r="F71" s="37" t="n">
        <v>0</v>
      </c>
      <c r="G71" s="37" t="n">
        <v>0</v>
      </c>
      <c r="H71" s="32" t="inlineStr">
        <is>
          <t>5/1/2024</t>
        </is>
      </c>
      <c r="I71" s="32" t="inlineStr">
        <is>
          <t>7/31/2027</t>
        </is>
      </c>
      <c r="J71" s="32" t="inlineStr">
        <is>
          <t>39-month term</t>
        </is>
      </c>
      <c r="K71" s="37" t="n"/>
      <c r="L71" s="37" t="n"/>
      <c r="M71" s="32" t="inlineStr">
        <is>
          <t>5,000 SF. Rent roll shows $0.00 monthly and annual rent at 6/30/2024 - the lease had commenced two months earlier and was in a rent-abatement period. Annual recoveries $4.95 PSF. The letter cites this as the base-period lease that is 'in-line with market' while calling the three older leases above market.</t>
        </is>
      </c>
    </row>
    <row r="72">
      <c r="A72" s="32" t="inlineStr">
        <is>
          <t>5690 E. 56th Avenue (R0187787)</t>
        </is>
      </c>
      <c r="B72" s="32" t="inlineStr">
        <is>
          <t>5690F</t>
        </is>
      </c>
      <c r="C72" s="32" t="inlineStr">
        <is>
          <t>REBOUND TECHNOLOGIES INC</t>
        </is>
      </c>
      <c r="D72" s="32" t="inlineStr">
        <is>
          <t>Actual - Modified Gross Industrial</t>
        </is>
      </c>
      <c r="E72" s="37" t="n">
        <v>9791.67</v>
      </c>
      <c r="F72" s="37" t="n">
        <v>117500.04</v>
      </c>
      <c r="G72" s="37" t="n">
        <v>11.75</v>
      </c>
      <c r="H72" s="32" t="inlineStr">
        <is>
          <t>8/2/2018</t>
        </is>
      </c>
      <c r="I72" s="32" t="inlineStr">
        <is>
          <t>12/31/2026</t>
        </is>
      </c>
      <c r="J72" s="32" t="inlineStr">
        <is>
          <t>101-month term</t>
        </is>
      </c>
      <c r="K72" s="37" t="n"/>
      <c r="L72" s="37" t="n"/>
      <c r="M72" s="32" t="inlineStr">
        <is>
          <t>10,000 SF. Annual recoveries $2.59 PSF.</t>
        </is>
      </c>
    </row>
    <row r="73">
      <c r="A73" s="32" t="inlineStr">
        <is>
          <t>5690 E. 56th Avenue (R0187787)</t>
        </is>
      </c>
      <c r="B73" s="32" t="inlineStr">
        <is>
          <t>TOTAL</t>
        </is>
      </c>
      <c r="C73" s="32" t="inlineStr">
        <is>
          <t>4 units - 100% occupied</t>
        </is>
      </c>
      <c r="D73" s="32" t="inlineStr">
        <is>
          <t>Actual - mixed MG / NNN</t>
        </is>
      </c>
      <c r="E73" s="37" t="n">
        <v>29795.55</v>
      </c>
      <c r="F73" s="37" t="n">
        <v>357546.6</v>
      </c>
      <c r="G73" s="37" t="n">
        <v>10.22</v>
      </c>
      <c r="H73" s="32" t="inlineStr">
        <is>
          <t>-</t>
        </is>
      </c>
      <c r="I73" s="32" t="inlineStr">
        <is>
          <t>-</t>
        </is>
      </c>
      <c r="J73" s="32" t="inlineStr">
        <is>
          <t>-</t>
        </is>
      </c>
      <c r="K73" s="37" t="n"/>
      <c r="L73" s="37" t="n"/>
      <c r="M73" s="32" t="inlineStr">
        <is>
          <t>35,000 SF occupied, 0 SF vacant, 100.00%. Totals are the sum of the four scheduled rents; the Techneaux unit contributes $0 while abated, so PSF is depressed.</t>
        </is>
      </c>
    </row>
    <row r="74">
      <c r="A74" s="32" t="inlineStr">
        <is>
          <t>Alpine Park II (R0157664)</t>
        </is>
      </c>
      <c r="B74" s="32" t="inlineStr">
        <is>
          <t>1, 2</t>
        </is>
      </c>
      <c r="C74" s="32" t="inlineStr">
        <is>
          <t>Daisy Window Tint</t>
        </is>
      </c>
      <c r="D74" s="32" t="inlineStr">
        <is>
          <t>Actual - 2 unit bay</t>
        </is>
      </c>
      <c r="E74" s="37" t="n">
        <v>3650</v>
      </c>
      <c r="F74" s="37" t="n">
        <v>43800</v>
      </c>
      <c r="G74" s="37" t="n">
        <v>14.6</v>
      </c>
      <c r="H74" s="32" t="inlineStr">
        <is>
          <t>6/1/2020</t>
        </is>
      </c>
      <c r="I74" s="32" t="inlineStr">
        <is>
          <t>Month-to-month</t>
        </is>
      </c>
      <c r="J74" s="32" t="inlineStr">
        <is>
          <t>MTM</t>
        </is>
      </c>
      <c r="K74" s="37" t="n"/>
      <c r="L74" s="37" t="n"/>
      <c r="M74" s="32" t="inlineStr">
        <is>
          <t>3,000 SF. May 2024 rent roll.</t>
        </is>
      </c>
    </row>
    <row r="75">
      <c r="A75" s="32" t="inlineStr">
        <is>
          <t>Alpine Park II (R0157664)</t>
        </is>
      </c>
      <c r="B75" s="32" t="inlineStr">
        <is>
          <t>3</t>
        </is>
      </c>
      <c r="C75" s="32" t="inlineStr">
        <is>
          <t>ReTyres</t>
        </is>
      </c>
      <c r="D75" s="32" t="inlineStr">
        <is>
          <t>Actual - 1 unit bay</t>
        </is>
      </c>
      <c r="E75" s="37" t="n">
        <v>1650</v>
      </c>
      <c r="F75" s="37" t="n">
        <v>19800</v>
      </c>
      <c r="G75" s="37" t="n">
        <v>13.2</v>
      </c>
      <c r="H75" s="32" t="inlineStr">
        <is>
          <t>12/1/2016</t>
        </is>
      </c>
      <c r="I75" s="32" t="inlineStr">
        <is>
          <t>Month-to-month</t>
        </is>
      </c>
      <c r="J75" s="32" t="inlineStr">
        <is>
          <t>MTM</t>
        </is>
      </c>
      <c r="K75" s="37" t="n"/>
      <c r="L75" s="37" t="n"/>
      <c r="M75" s="32" t="inlineStr">
        <is>
          <t>1,500 SF.</t>
        </is>
      </c>
    </row>
    <row r="76">
      <c r="A76" s="32" t="inlineStr">
        <is>
          <t>Alpine Park II (R0157664)</t>
        </is>
      </c>
      <c r="B76" s="32" t="inlineStr">
        <is>
          <t>4, 5</t>
        </is>
      </c>
      <c r="C76" s="32" t="inlineStr">
        <is>
          <t>TAC Business dba Miracle Service</t>
        </is>
      </c>
      <c r="D76" s="32" t="inlineStr">
        <is>
          <t>Actual - 2 unit bay</t>
        </is>
      </c>
      <c r="E76" s="37" t="n">
        <v>3700</v>
      </c>
      <c r="F76" s="37" t="n">
        <v>44400</v>
      </c>
      <c r="G76" s="37" t="n">
        <v>14.8</v>
      </c>
      <c r="H76" s="32" t="inlineStr">
        <is>
          <t>7/1/2015</t>
        </is>
      </c>
      <c r="I76" s="32" t="inlineStr">
        <is>
          <t>Month-to-month</t>
        </is>
      </c>
      <c r="J76" s="32" t="inlineStr">
        <is>
          <t>MTM</t>
        </is>
      </c>
      <c r="K76" s="37" t="n"/>
      <c r="L76" s="37" t="n"/>
      <c r="M76" s="32" t="inlineStr">
        <is>
          <t>3,000 SF.</t>
        </is>
      </c>
    </row>
    <row r="77">
      <c r="A77" s="32" t="inlineStr">
        <is>
          <t>Alpine Park II (R0157664)</t>
        </is>
      </c>
      <c r="B77" s="32" t="inlineStr">
        <is>
          <t>7</t>
        </is>
      </c>
      <c r="C77" s="32" t="inlineStr">
        <is>
          <t>Drywall, Dorrance</t>
        </is>
      </c>
      <c r="D77" s="32" t="inlineStr">
        <is>
          <t>Actual - 1 unit bay</t>
        </is>
      </c>
      <c r="E77" s="37" t="n">
        <v>1500</v>
      </c>
      <c r="F77" s="37" t="n">
        <v>18000</v>
      </c>
      <c r="G77" s="37" t="n">
        <v>12</v>
      </c>
      <c r="H77" s="32" t="inlineStr">
        <is>
          <t>12/1/2016</t>
        </is>
      </c>
      <c r="I77" s="32" t="inlineStr">
        <is>
          <t>Month-to-month</t>
        </is>
      </c>
      <c r="J77" s="32" t="inlineStr">
        <is>
          <t>MTM</t>
        </is>
      </c>
      <c r="K77" s="37" t="n"/>
      <c r="L77" s="37" t="n"/>
      <c r="M77" s="32" t="inlineStr">
        <is>
          <t>1,500 SF.</t>
        </is>
      </c>
    </row>
    <row r="78">
      <c r="A78" s="32" t="inlineStr">
        <is>
          <t>Alpine Park II (R0157664)</t>
        </is>
      </c>
      <c r="B78" s="32" t="inlineStr">
        <is>
          <t>9</t>
        </is>
      </c>
      <c r="C78" s="32" t="inlineStr">
        <is>
          <t>Banchy Welding LLC</t>
        </is>
      </c>
      <c r="D78" s="32" t="inlineStr">
        <is>
          <t>Actual - bay</t>
        </is>
      </c>
      <c r="E78" s="37" t="n">
        <v>2375</v>
      </c>
      <c r="F78" s="37" t="n">
        <v>28500</v>
      </c>
      <c r="G78" s="37" t="n">
        <v>19</v>
      </c>
      <c r="H78" s="32" t="inlineStr">
        <is>
          <t>12/26/2022</t>
        </is>
      </c>
      <c r="I78" s="32" t="inlineStr">
        <is>
          <t>12/31/2025</t>
        </is>
      </c>
      <c r="J78" s="32" t="inlineStr">
        <is>
          <t>-</t>
        </is>
      </c>
      <c r="K78" s="37" t="n"/>
      <c r="L78" s="37" t="n"/>
      <c r="M78" s="32" t="inlineStr">
        <is>
          <t>1,500 SF. Labelled '2 unit Bay' on the rent roll but sized 1,500 SF - reproduced as printed.</t>
        </is>
      </c>
    </row>
    <row r="79">
      <c r="A79" s="32" t="inlineStr">
        <is>
          <t>Alpine Park II (R0157664)</t>
        </is>
      </c>
      <c r="B79" s="32" t="inlineStr">
        <is>
          <t>12</t>
        </is>
      </c>
      <c r="C79" s="32" t="inlineStr">
        <is>
          <t>Dave Mueller</t>
        </is>
      </c>
      <c r="D79" s="32" t="inlineStr">
        <is>
          <t>Actual - 1 unit bay</t>
        </is>
      </c>
      <c r="E79" s="37" t="n">
        <v>1500</v>
      </c>
      <c r="F79" s="37" t="n">
        <v>18000</v>
      </c>
      <c r="G79" s="37" t="n">
        <v>12</v>
      </c>
      <c r="H79" s="32" t="inlineStr">
        <is>
          <t>4/1/2017</t>
        </is>
      </c>
      <c r="I79" s="32" t="inlineStr">
        <is>
          <t>Month-to-month</t>
        </is>
      </c>
      <c r="J79" s="32" t="inlineStr">
        <is>
          <t>MTM</t>
        </is>
      </c>
      <c r="K79" s="37" t="n"/>
      <c r="L79" s="37" t="n"/>
      <c r="M79" s="32" t="inlineStr">
        <is>
          <t>1,500 SF.</t>
        </is>
      </c>
    </row>
    <row r="80">
      <c r="A80" s="32" t="inlineStr">
        <is>
          <t>Alpine Park II (R0157664)</t>
        </is>
      </c>
      <c r="B80" s="32" t="inlineStr">
        <is>
          <t>13, 14</t>
        </is>
      </c>
      <c r="C80" s="32" t="inlineStr">
        <is>
          <t>Karl M. Espinoza</t>
        </is>
      </c>
      <c r="D80" s="32" t="inlineStr">
        <is>
          <t>Actual - 2 unit bay</t>
        </is>
      </c>
      <c r="E80" s="37" t="n">
        <v>4150</v>
      </c>
      <c r="F80" s="37" t="n">
        <v>49800</v>
      </c>
      <c r="G80" s="37" t="n">
        <v>16.6</v>
      </c>
      <c r="H80" s="32" t="inlineStr">
        <is>
          <t>3/15/2023</t>
        </is>
      </c>
      <c r="I80" s="32" t="inlineStr">
        <is>
          <t>3/31/2026</t>
        </is>
      </c>
      <c r="J80" s="32" t="inlineStr">
        <is>
          <t>-</t>
        </is>
      </c>
      <c r="K80" s="37" t="n"/>
      <c r="L80" s="37" t="n"/>
      <c r="M80" s="32" t="inlineStr">
        <is>
          <t>3,000 SF. $150 increase scheduled 4/1/25.</t>
        </is>
      </c>
    </row>
    <row r="81">
      <c r="A81" s="32" t="inlineStr">
        <is>
          <t>Alpine Park II (R0157664)</t>
        </is>
      </c>
      <c r="B81" s="32" t="inlineStr">
        <is>
          <t>6, 8, 10, 11</t>
        </is>
      </c>
      <c r="C81" s="32" t="inlineStr">
        <is>
          <t>VACANT (4 bays)</t>
        </is>
      </c>
      <c r="D81" s="32" t="inlineStr">
        <is>
          <t>-</t>
        </is>
      </c>
      <c r="E81" s="37" t="n"/>
      <c r="F81" s="37" t="n"/>
      <c r="G81" s="37" t="n"/>
      <c r="H81" s="32" t="inlineStr">
        <is>
          <t>-</t>
        </is>
      </c>
      <c r="I81" s="32" t="inlineStr">
        <is>
          <t>-</t>
        </is>
      </c>
      <c r="J81" s="32" t="inlineStr">
        <is>
          <t>-</t>
        </is>
      </c>
      <c r="K81" s="37" t="n"/>
      <c r="L81" s="37" t="n"/>
      <c r="M81" s="32" t="inlineStr">
        <is>
          <t>6,000 SF vacant = 28.5% of the 21,000 SF building, as noted on the rent roll.</t>
        </is>
      </c>
    </row>
    <row r="82">
      <c r="A82" s="32" t="inlineStr">
        <is>
          <t>Alpine Park II (R0157664)</t>
        </is>
      </c>
      <c r="B82" s="32" t="inlineStr">
        <is>
          <t>TOTAL</t>
        </is>
      </c>
      <c r="C82" s="32" t="inlineStr">
        <is>
          <t>7 occupied bays of 11</t>
        </is>
      </c>
      <c r="D82" s="32" t="inlineStr">
        <is>
          <t>Actual</t>
        </is>
      </c>
      <c r="E82" s="37" t="n">
        <v>18525</v>
      </c>
      <c r="F82" s="37" t="n">
        <v>222300</v>
      </c>
      <c r="G82" s="37" t="n">
        <v>14.82</v>
      </c>
      <c r="H82" s="32" t="inlineStr">
        <is>
          <t>-</t>
        </is>
      </c>
      <c r="I82" s="32" t="inlineStr">
        <is>
          <t>-</t>
        </is>
      </c>
      <c r="J82" s="32" t="inlineStr">
        <is>
          <t>-</t>
        </is>
      </c>
      <c r="K82" s="37" t="n"/>
      <c r="L82" s="37" t="n"/>
      <c r="M82" s="32" t="inlineStr">
        <is>
          <t>Printed rent-roll totals: $18,525 scheduled monthly charges, $222,300 annual. PSF is on the 15,000 SF occupied, not the 21,000 SF building ($10.59 PSF building-wide).</t>
        </is>
      </c>
    </row>
    <row r="83">
      <c r="A83" s="32" t="inlineStr">
        <is>
          <t>9410 Heinz Way (R0164588)</t>
        </is>
      </c>
      <c r="B83" s="32" t="inlineStr">
        <is>
          <t>0100 (Bldg 01115A)</t>
        </is>
      </c>
      <c r="C83" s="32" t="inlineStr">
        <is>
          <t>VACANT</t>
        </is>
      </c>
      <c r="D83" s="32" t="inlineStr">
        <is>
          <t>-</t>
        </is>
      </c>
      <c r="E83" s="37" t="n">
        <v>0</v>
      </c>
      <c r="F83" s="37" t="n">
        <v>0</v>
      </c>
      <c r="G83" s="37" t="n">
        <v>0</v>
      </c>
      <c r="H83" s="32" t="inlineStr">
        <is>
          <t>-</t>
        </is>
      </c>
      <c r="I83" s="32" t="inlineStr">
        <is>
          <t>-</t>
        </is>
      </c>
      <c r="J83" s="32" t="inlineStr">
        <is>
          <t>-</t>
        </is>
      </c>
      <c r="K83" s="37" t="n"/>
      <c r="L83" s="37" t="n"/>
      <c r="M83" s="32" t="inlineStr">
        <is>
          <t>140,630 SF, 100% vacant on the 12/31/2024 rent roll and at the 6/30/2024 date of value. Home Depot's lease expired November 2022; the appeal states the space has been listed for lease ~4 years.</t>
        </is>
      </c>
    </row>
    <row r="84">
      <c r="A84" s="32" t="inlineStr">
        <is>
          <t>2850 Walden Street (R0164287)</t>
        </is>
      </c>
      <c r="B84" s="32" t="inlineStr">
        <is>
          <t>Whole</t>
        </is>
      </c>
      <c r="C84" s="32" t="inlineStr">
        <is>
          <t>(single tenant - not named in the filing)</t>
        </is>
      </c>
      <c r="D84" s="32" t="inlineStr">
        <is>
          <t>Actual - owner pays property tax only</t>
        </is>
      </c>
      <c r="E84" s="37" t="n">
        <v>17549.08</v>
      </c>
      <c r="F84" s="37" t="n">
        <v>210589</v>
      </c>
      <c r="G84" s="37" t="n">
        <v>7.57</v>
      </c>
      <c r="H84" s="32" t="inlineStr">
        <is>
          <t>-</t>
        </is>
      </c>
      <c r="I84" s="32" t="inlineStr">
        <is>
          <t>3 years remaining from 2024</t>
        </is>
      </c>
      <c r="J84" s="32" t="inlineStr">
        <is>
          <t>20-year lease term</t>
        </is>
      </c>
      <c r="K84" s="37" t="n"/>
      <c r="L84" s="37" t="n"/>
      <c r="M84" s="32" t="inlineStr">
        <is>
          <t>27,819 SF. 2025 figures from the owner's rent schedule. The county survey ticks 'Gross' but the comments state the tenant pays every expense except property tax, so it operates as near-NNN. Rent history 2010-2025: $4.86 PSF (2010) rising to $7.57 (2025); 2023 $7.07 / $196,573; 2024 $7.35 / $204,455. The survey reports the building as 27,800 SF against 27,819 SF on the rent schedule and work sheet.</t>
        </is>
      </c>
    </row>
  </sheetData>
  <mergeCells count="5">
    <mergeCell ref="A1:M1"/>
    <mergeCell ref="A5:M5"/>
    <mergeCell ref="A18:M18"/>
    <mergeCell ref="A21:M2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6"/>
  <sheetViews>
    <sheetView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3" customWidth="1" min="4" max="4"/>
    <col width="14" customWidth="1" min="5" max="5"/>
    <col width="14" customWidth="1" min="6" max="6"/>
    <col width="10" customWidth="1" min="7" max="7"/>
    <col width="15" customWidth="1" min="8" max="8"/>
  </cols>
  <sheetData>
    <row r="1" ht="26" customHeight="1">
      <c r="A1" s="1" t="inlineStr">
        <is>
          <t>ASSESSMENTS &amp; VALUATION</t>
        </is>
      </c>
    </row>
    <row r="2" ht="14" customHeight="1">
      <c r="A2" s="2" t="inlineStr">
        <is>
          <t>Assessed/county values and income-approach proformas across the tax-appeal &amp; appraisal documents</t>
        </is>
      </c>
    </row>
    <row r="4">
      <c r="A4" s="17" t="inlineStr">
        <is>
          <t>A. Assessed / County Values</t>
        </is>
      </c>
      <c r="B4" s="20" t="n"/>
      <c r="C4" s="20" t="n"/>
      <c r="D4" s="20" t="n"/>
      <c r="E4" s="20" t="n"/>
      <c r="F4" s="20" t="n"/>
      <c r="G4" s="20" t="n"/>
      <c r="H4" s="21" t="n"/>
    </row>
    <row r="5" ht="30" customHeight="1">
      <c r="A5" s="4" t="inlineStr">
        <is>
          <t>Property</t>
        </is>
      </c>
      <c r="B5" s="4" t="inlineStr">
        <is>
          <t>Assess/Tax Yr</t>
        </is>
      </c>
      <c r="C5" s="4" t="inlineStr">
        <is>
          <t>Assessor / County Value</t>
        </is>
      </c>
      <c r="D5" s="4" t="inlineStr">
        <is>
          <t>Value PSF</t>
        </is>
      </c>
      <c r="E5" s="4" t="inlineStr">
        <is>
          <t>Taxpayer / Petitioner Opinion</t>
        </is>
      </c>
      <c r="F5" s="4" t="inlineStr">
        <is>
          <t>Opinion PSF</t>
        </is>
      </c>
      <c r="G5" s="4" t="inlineStr">
        <is>
          <t>Prior-Yr Value</t>
        </is>
      </c>
      <c r="H5" s="4" t="inlineStr">
        <is>
          <t>Source</t>
        </is>
      </c>
    </row>
    <row r="6">
      <c r="A6" s="6" t="inlineStr">
        <is>
          <t>7205 Gilpin Way (R0178308)</t>
        </is>
      </c>
      <c r="B6" s="5" t="inlineStr">
        <is>
          <t>2025</t>
        </is>
      </c>
      <c r="C6" s="9" t="n">
        <v>5150325</v>
      </c>
      <c r="D6" s="16" t="n">
        <v>150.47</v>
      </c>
      <c r="E6" s="9" t="n">
        <v>4832500</v>
      </c>
      <c r="F6" s="16" t="n">
        <v>141.19</v>
      </c>
      <c r="G6" s="9" t="n">
        <v>4999770</v>
      </c>
      <c r="H6" s="6" t="inlineStr">
        <is>
          <t>R0178308</t>
        </is>
      </c>
    </row>
    <row r="7">
      <c r="A7" s="6" t="inlineStr">
        <is>
          <t>17608 E. 24th Dr (R0169133)</t>
        </is>
      </c>
      <c r="B7" s="5" t="inlineStr">
        <is>
          <t>2025</t>
        </is>
      </c>
      <c r="C7" s="9" t="n">
        <v>3408546</v>
      </c>
      <c r="D7" s="16" t="n"/>
      <c r="E7" s="9" t="n">
        <v>3050000</v>
      </c>
      <c r="F7" s="16" t="n">
        <v>145.86</v>
      </c>
      <c r="G7" s="9" t="n">
        <v>2900000</v>
      </c>
      <c r="H7" s="6" t="inlineStr">
        <is>
          <t>R0169133 (cover)</t>
        </is>
      </c>
    </row>
    <row r="8">
      <c r="A8" s="6" t="inlineStr">
        <is>
          <t>12260 Pennsylvania St (R0024442)</t>
        </is>
      </c>
      <c r="B8" s="5" t="inlineStr">
        <is>
          <t>2025</t>
        </is>
      </c>
      <c r="C8" s="9" t="n">
        <v>3876387</v>
      </c>
      <c r="D8" s="16" t="n">
        <v>163.36</v>
      </c>
      <c r="E8" s="9" t="n">
        <v>2837000</v>
      </c>
      <c r="F8" s="16" t="n">
        <v>119.56</v>
      </c>
      <c r="G8" s="9" t="n">
        <v>2000000</v>
      </c>
      <c r="H8" s="6" t="inlineStr">
        <is>
          <t>R0024442</t>
        </is>
      </c>
    </row>
    <row r="9">
      <c r="A9" s="6" t="inlineStr">
        <is>
          <t>6770 E. 56th Ave (R0092302)</t>
        </is>
      </c>
      <c r="B9" s="5" t="inlineStr">
        <is>
          <t>2026</t>
        </is>
      </c>
      <c r="C9" s="9" t="n">
        <v>1815434</v>
      </c>
      <c r="D9" s="16" t="n">
        <v>188.09</v>
      </c>
      <c r="E9" s="9" t="n">
        <v>1493032</v>
      </c>
      <c r="F9" s="16" t="n">
        <v>154.69</v>
      </c>
      <c r="G9" s="9" t="n"/>
      <c r="H9" s="6" t="inlineStr">
        <is>
          <t>R0092302</t>
        </is>
      </c>
    </row>
    <row r="10">
      <c r="A10" s="6" t="inlineStr">
        <is>
          <t>5970 Marion Drive</t>
        </is>
      </c>
      <c r="B10" s="5" t="inlineStr">
        <is>
          <t>2025 (assigned)</t>
        </is>
      </c>
      <c r="C10" s="9" t="n">
        <v>2527915</v>
      </c>
      <c r="D10" s="16" t="n">
        <v>175.55</v>
      </c>
      <c r="E10" s="9" t="n">
        <v>2460577</v>
      </c>
      <c r="F10" s="16" t="n"/>
      <c r="G10" s="9" t="n"/>
      <c r="H10" s="6" t="inlineStr">
        <is>
          <t>5970 Marion xlsx (income block)</t>
        </is>
      </c>
    </row>
    <row r="11">
      <c r="A11" s="32" t="inlineStr">
        <is>
          <t>18300 E 28th Ave (R0110351)</t>
        </is>
      </c>
      <c r="B11" s="32" t="inlineStr">
        <is>
          <t>2025</t>
        </is>
      </c>
      <c r="C11" s="36" t="n">
        <v>10683449</v>
      </c>
      <c r="D11" s="37" t="n">
        <v>124.8</v>
      </c>
      <c r="E11" s="36" t="n">
        <v>7939000</v>
      </c>
      <c r="F11" s="37" t="n">
        <v>92.73999999999999</v>
      </c>
      <c r="G11" s="36" t="n">
        <v>8100000</v>
      </c>
      <c r="H11" s="32" t="inlineStr">
        <is>
          <t>R0110351</t>
        </is>
      </c>
    </row>
    <row r="12" ht="28" customHeight="1">
      <c r="A12" s="32" t="inlineStr">
        <is>
          <t>Majestic Commercenter Bldg 6 (R0111559)</t>
        </is>
      </c>
      <c r="B12" s="32" t="inlineStr">
        <is>
          <t>2026</t>
        </is>
      </c>
      <c r="C12" s="36" t="n"/>
      <c r="D12" s="37" t="n"/>
      <c r="E12" s="36" t="n">
        <v>8754500</v>
      </c>
      <c r="F12" s="37" t="n">
        <v>70.04000000000001</v>
      </c>
      <c r="G12" s="36" t="n"/>
      <c r="H12" s="32" t="inlineStr">
        <is>
          <t>R0111559</t>
        </is>
      </c>
    </row>
    <row r="13">
      <c r="A13" s="32" t="inlineStr">
        <is>
          <t>Majestic Commercenter Bldg 7 (R0111560)</t>
        </is>
      </c>
      <c r="B13" s="32" t="inlineStr">
        <is>
          <t>2026</t>
        </is>
      </c>
      <c r="C13" s="36" t="n"/>
      <c r="D13" s="37" t="n"/>
      <c r="E13" s="36" t="n">
        <v>10345200</v>
      </c>
      <c r="F13" s="37" t="n">
        <v>51.73</v>
      </c>
      <c r="G13" s="36" t="n"/>
      <c r="H13" s="32" t="inlineStr">
        <is>
          <t>R0111560</t>
        </is>
      </c>
    </row>
    <row r="14">
      <c r="A14" s="32" t="inlineStr">
        <is>
          <t>6051 Washington St (R0114026)</t>
        </is>
      </c>
      <c r="B14" s="32" t="inlineStr">
        <is>
          <t>2025</t>
        </is>
      </c>
      <c r="C14" s="36" t="n"/>
      <c r="D14" s="37" t="n"/>
      <c r="E14" s="36" t="n"/>
      <c r="F14" s="37" t="n"/>
      <c r="G14" s="36" t="n"/>
      <c r="H14" s="32" t="inlineStr">
        <is>
          <t>R0114026</t>
        </is>
      </c>
    </row>
    <row r="15" ht="30" customHeight="1">
      <c r="A15" s="32" t="inlineStr">
        <is>
          <t>Anchor Business Park (R0121833)</t>
        </is>
      </c>
      <c r="B15" s="32" t="inlineStr">
        <is>
          <t>2025</t>
        </is>
      </c>
      <c r="C15" s="36" t="n">
        <v>5487982</v>
      </c>
      <c r="D15" s="37" t="n">
        <v>150</v>
      </c>
      <c r="E15" s="36" t="n">
        <v>3919000</v>
      </c>
      <c r="F15" s="37" t="n">
        <v>107.45</v>
      </c>
      <c r="G15" s="36" t="n"/>
      <c r="H15" s="32" t="inlineStr">
        <is>
          <t>R0121833</t>
        </is>
      </c>
    </row>
    <row r="16">
      <c r="A16" s="32" t="inlineStr">
        <is>
          <t>5977-5995 N Broadway (R0103518)</t>
        </is>
      </c>
      <c r="B16" s="32" t="inlineStr">
        <is>
          <t>2024</t>
        </is>
      </c>
      <c r="C16" s="36" t="n">
        <v>6885558</v>
      </c>
      <c r="D16" s="37" t="n">
        <v>127</v>
      </c>
      <c r="E16" s="36" t="n">
        <v>5794600</v>
      </c>
      <c r="F16" s="37" t="n">
        <v>106.46</v>
      </c>
      <c r="G16" s="36" t="n"/>
      <c r="H16" s="32" t="inlineStr">
        <is>
          <t>R0103518</t>
        </is>
      </c>
    </row>
    <row r="17">
      <c r="A17" s="32" t="inlineStr">
        <is>
          <t>5945 &amp; 5957 Broadway (R0103519)</t>
        </is>
      </c>
      <c r="B17" s="32" t="inlineStr">
        <is>
          <t>2025</t>
        </is>
      </c>
      <c r="C17" s="36" t="n">
        <v>7902868</v>
      </c>
      <c r="D17" s="37" t="n">
        <v>121.16</v>
      </c>
      <c r="E17" s="36" t="n">
        <v>5900000</v>
      </c>
      <c r="F17" s="37" t="n">
        <v>90.45</v>
      </c>
      <c r="G17" s="36" t="n"/>
      <c r="H17" s="32" t="inlineStr">
        <is>
          <t>R0103519</t>
        </is>
      </c>
    </row>
    <row r="18">
      <c r="A18" s="32" t="inlineStr">
        <is>
          <t>5710 E. 56th Avenue (R0187789)</t>
        </is>
      </c>
      <c r="B18" s="32" t="inlineStr">
        <is>
          <t>2025</t>
        </is>
      </c>
      <c r="C18" s="36" t="n">
        <v>6896593</v>
      </c>
      <c r="D18" s="37" t="n">
        <v>137.93</v>
      </c>
      <c r="E18" s="36" t="n">
        <v>5440000</v>
      </c>
      <c r="F18" s="37" t="n">
        <v>108.8</v>
      </c>
      <c r="G18" s="36" t="n"/>
      <c r="H18" s="32" t="inlineStr">
        <is>
          <t>R0187789</t>
        </is>
      </c>
    </row>
    <row r="19">
      <c r="A19" s="32" t="inlineStr">
        <is>
          <t>Confluent Center 70 (R0188699)</t>
        </is>
      </c>
      <c r="B19" s="32" t="inlineStr">
        <is>
          <t>2025</t>
        </is>
      </c>
      <c r="C19" s="36" t="n">
        <v>13272555</v>
      </c>
      <c r="D19" s="37" t="n">
        <v>126.2</v>
      </c>
      <c r="E19" s="36" t="n">
        <v>11498000</v>
      </c>
      <c r="F19" s="37" t="n">
        <v>109.32</v>
      </c>
      <c r="G19" s="36" t="n">
        <v>12707001</v>
      </c>
      <c r="H19" s="32" t="inlineStr">
        <is>
          <t>R0188699</t>
        </is>
      </c>
    </row>
    <row r="20">
      <c r="A20" s="32" t="inlineStr">
        <is>
          <t>17851 E 40th Avenue (R0198179)</t>
        </is>
      </c>
      <c r="B20" s="32" t="inlineStr">
        <is>
          <t>(not stated in document)</t>
        </is>
      </c>
      <c r="C20" s="36" t="n"/>
      <c r="D20" s="37" t="n"/>
      <c r="E20" s="36" t="n"/>
      <c r="F20" s="37" t="n"/>
      <c r="G20" s="36" t="n"/>
      <c r="H20" s="32" t="inlineStr">
        <is>
          <t>R0198179 - lease document only, no valuation</t>
        </is>
      </c>
    </row>
    <row r="21">
      <c r="A21" s="32" t="inlineStr">
        <is>
          <t>Majestic Commercenter Bldg 5 (R0191099)</t>
        </is>
      </c>
      <c r="B21" s="32" t="inlineStr">
        <is>
          <t>2025</t>
        </is>
      </c>
      <c r="C21" s="36" t="n">
        <v>19943316</v>
      </c>
      <c r="D21" s="37" t="n">
        <v>125.39</v>
      </c>
      <c r="E21" s="36" t="n">
        <v>11139000</v>
      </c>
      <c r="F21" s="37" t="n">
        <v>70.04000000000001</v>
      </c>
      <c r="G21" s="36" t="n"/>
      <c r="H21" s="32" t="inlineStr">
        <is>
          <t>R0191099</t>
        </is>
      </c>
    </row>
    <row r="22" ht="28" customHeight="1">
      <c r="A22" s="32" t="inlineStr">
        <is>
          <t>3420 Lisbon Street (R0200721)</t>
        </is>
      </c>
      <c r="B22" s="32" t="inlineStr">
        <is>
          <t>2025</t>
        </is>
      </c>
      <c r="C22" s="36" t="n">
        <v>5477148</v>
      </c>
      <c r="D22" s="37" t="n">
        <v>151.25</v>
      </c>
      <c r="E22" s="36" t="n">
        <v>4463600</v>
      </c>
      <c r="F22" s="37" t="n">
        <v>123.26</v>
      </c>
      <c r="G22" s="36" t="n"/>
      <c r="H22" s="32" t="inlineStr">
        <is>
          <t>R0200721</t>
        </is>
      </c>
    </row>
    <row r="23">
      <c r="A23" s="32" t="inlineStr">
        <is>
          <t>5690 E. 56th Avenue (R0187787)</t>
        </is>
      </c>
      <c r="B23" s="32" t="inlineStr">
        <is>
          <t>2025</t>
        </is>
      </c>
      <c r="C23" s="36" t="n">
        <v>5266489</v>
      </c>
      <c r="D23" s="37" t="n">
        <v>150.47</v>
      </c>
      <c r="E23" s="36" t="n">
        <v>3930000</v>
      </c>
      <c r="F23" s="37" t="n">
        <v>112.29</v>
      </c>
      <c r="G23" s="36" t="n"/>
      <c r="H23" s="32" t="inlineStr">
        <is>
          <t>R0187787</t>
        </is>
      </c>
    </row>
    <row r="24">
      <c r="A24" s="32" t="inlineStr">
        <is>
          <t>Alpine Park II (R0157664)</t>
        </is>
      </c>
      <c r="B24" s="32" t="inlineStr">
        <is>
          <t>2025</t>
        </is>
      </c>
      <c r="C24" s="36" t="n">
        <v>3423218</v>
      </c>
      <c r="D24" s="37" t="n">
        <v>163.01</v>
      </c>
      <c r="E24" s="36" t="n">
        <v>2200000</v>
      </c>
      <c r="F24" s="37" t="n">
        <v>104.76</v>
      </c>
      <c r="G24" s="36" t="n"/>
      <c r="H24" s="32" t="inlineStr">
        <is>
          <t>R0157664</t>
        </is>
      </c>
    </row>
    <row r="25">
      <c r="A25" s="32" t="inlineStr">
        <is>
          <t>9410 Heinz Way (R0164588)</t>
        </is>
      </c>
      <c r="B25" s="32" t="inlineStr">
        <is>
          <t>2025</t>
        </is>
      </c>
      <c r="C25" s="36" t="n">
        <v>17644243</v>
      </c>
      <c r="D25" s="37" t="n">
        <v>125.47</v>
      </c>
      <c r="E25" s="36" t="n">
        <v>8539000</v>
      </c>
      <c r="F25" s="37" t="n">
        <v>60.72</v>
      </c>
      <c r="G25" s="36" t="n">
        <v>12800000</v>
      </c>
      <c r="H25" s="32" t="inlineStr">
        <is>
          <t>R0164588</t>
        </is>
      </c>
    </row>
    <row r="26">
      <c r="A26" s="32" t="inlineStr">
        <is>
          <t>2850 Walden Street (R0164287)</t>
        </is>
      </c>
      <c r="B26" s="32" t="inlineStr">
        <is>
          <t>2025</t>
        </is>
      </c>
      <c r="C26" s="36" t="n">
        <v>4531688</v>
      </c>
      <c r="D26" s="37" t="n">
        <v>162.9</v>
      </c>
      <c r="E26" s="36" t="n">
        <v>2835000</v>
      </c>
      <c r="F26" s="37" t="n">
        <v>101.91</v>
      </c>
      <c r="G26" s="36" t="n">
        <v>2834700</v>
      </c>
      <c r="H26" s="32" t="inlineStr">
        <is>
          <t>R0164287</t>
        </is>
      </c>
    </row>
    <row r="27">
      <c r="A27" s="32" t="inlineStr">
        <is>
          <t>Park 70 (R0180894)</t>
        </is>
      </c>
      <c r="B27" s="32" t="inlineStr">
        <is>
          <t>2025</t>
        </is>
      </c>
      <c r="C27" s="36" t="n">
        <v>24584873</v>
      </c>
      <c r="D27" s="37" t="n">
        <v>150.1</v>
      </c>
      <c r="E27" s="36" t="n">
        <v>13214100</v>
      </c>
      <c r="F27" s="37" t="n">
        <v>80.68000000000001</v>
      </c>
      <c r="G27" s="36" t="n">
        <v>15521000</v>
      </c>
      <c r="H27" s="32" t="inlineStr">
        <is>
          <t>R0180894</t>
        </is>
      </c>
    </row>
    <row r="29">
      <c r="A29" s="18" t="inlineStr">
        <is>
          <t>Historical detail — R0178308: 2025 Land $1,125,150 / Imp $4,025,175 / Total $5,150,325; 2024 Total $4,999,770.  R0169133: 2025 Land $992,519 / Imp $2,122,296 / schedule Total $3,114,815 (cover shows $3,408,546); 2024 Total $2,900,000.  R0024442: 2024 County $2,000,000 → 2025 $3,876,387 (+93.8%).</t>
        </is>
      </c>
      <c r="B29" s="20" t="n"/>
      <c r="C29" s="20" t="n"/>
      <c r="D29" s="20" t="n"/>
      <c r="E29" s="20" t="n"/>
      <c r="F29" s="20" t="n"/>
      <c r="G29" s="20" t="n"/>
      <c r="H29" s="21" t="n"/>
    </row>
    <row r="31">
      <c r="A31" s="17" t="inlineStr">
        <is>
          <t>B. Income-Approach Proformas</t>
        </is>
      </c>
      <c r="B31" s="20" t="n"/>
      <c r="C31" s="20" t="n"/>
      <c r="D31" s="20" t="n"/>
      <c r="E31" s="20" t="n"/>
      <c r="F31" s="20" t="n"/>
      <c r="G31" s="20" t="n"/>
      <c r="H31" s="21" t="n"/>
    </row>
    <row r="32">
      <c r="A32" s="4" t="inlineStr">
        <is>
          <t>Property</t>
        </is>
      </c>
      <c r="B32" s="4" t="inlineStr">
        <is>
          <t>PGI</t>
        </is>
      </c>
      <c r="C32" s="4" t="inlineStr">
        <is>
          <t>Vacancy</t>
        </is>
      </c>
      <c r="D32" s="4" t="inlineStr">
        <is>
          <t>EGI</t>
        </is>
      </c>
      <c r="E32" s="4" t="inlineStr">
        <is>
          <t>Operating Exp</t>
        </is>
      </c>
      <c r="F32" s="4" t="inlineStr">
        <is>
          <t>NOI</t>
        </is>
      </c>
      <c r="G32" s="4" t="inlineStr">
        <is>
          <t>Cap Rate</t>
        </is>
      </c>
      <c r="H32" s="4" t="inlineStr">
        <is>
          <t>Indicated Value</t>
        </is>
      </c>
    </row>
    <row r="33">
      <c r="A33" s="6" t="inlineStr">
        <is>
          <t>7205 Gilpin Way</t>
        </is>
      </c>
      <c r="B33" s="9" t="n">
        <v>359394</v>
      </c>
      <c r="C33" s="9" t="n">
        <v>-17970</v>
      </c>
      <c r="D33" s="9" t="n">
        <v>341424</v>
      </c>
      <c r="E33" s="9" t="n">
        <v>-27314</v>
      </c>
      <c r="F33" s="14" t="n">
        <v>314110</v>
      </c>
      <c r="G33" s="19" t="n">
        <v>0.065</v>
      </c>
      <c r="H33" s="14" t="n">
        <v>4832500</v>
      </c>
    </row>
    <row r="34">
      <c r="A34" s="6" t="inlineStr">
        <is>
          <t>17608 E. 24th Dr</t>
        </is>
      </c>
      <c r="B34" s="9" t="n">
        <v>209100</v>
      </c>
      <c r="C34" s="9" t="n">
        <v>-10455</v>
      </c>
      <c r="D34" s="9" t="n">
        <v>198645</v>
      </c>
      <c r="E34" s="9" t="n">
        <v>-15892</v>
      </c>
      <c r="F34" s="14" t="n">
        <v>182753</v>
      </c>
      <c r="G34" s="19" t="n">
        <v>0.06</v>
      </c>
      <c r="H34" s="14" t="n">
        <v>3050000</v>
      </c>
    </row>
    <row r="35">
      <c r="A35" s="6" t="inlineStr">
        <is>
          <t>12260 Pennsylvania St</t>
        </is>
      </c>
      <c r="B35" s="9" t="n">
        <v>237290</v>
      </c>
      <c r="C35" s="9" t="n">
        <v>-16610</v>
      </c>
      <c r="D35" s="9" t="n">
        <v>220680</v>
      </c>
      <c r="E35" s="9" t="n">
        <v>-22068</v>
      </c>
      <c r="F35" s="14" t="n">
        <v>198612</v>
      </c>
      <c r="G35" s="19" t="n">
        <v>0.07000000000000001</v>
      </c>
      <c r="H35" s="14" t="n">
        <v>2837000</v>
      </c>
    </row>
    <row r="36">
      <c r="A36" s="6" t="inlineStr">
        <is>
          <t>6770 E. 56th Ave</t>
        </is>
      </c>
      <c r="B36" s="9" t="n">
        <v>115824</v>
      </c>
      <c r="C36" s="9" t="n">
        <v>-5791</v>
      </c>
      <c r="D36" s="9" t="n">
        <v>110033</v>
      </c>
      <c r="E36" s="9" t="n">
        <v>-5502</v>
      </c>
      <c r="F36" s="14" t="n">
        <v>104531</v>
      </c>
      <c r="G36" s="19" t="n">
        <v>0.07000000000000001</v>
      </c>
      <c r="H36" s="14" t="n">
        <v>1493302</v>
      </c>
    </row>
    <row r="37">
      <c r="A37" s="6" t="inlineStr">
        <is>
          <t>5970 Marion Drive (mkt)</t>
        </is>
      </c>
      <c r="B37" s="9" t="n">
        <v>172800</v>
      </c>
      <c r="C37" s="9" t="n">
        <v>-8640</v>
      </c>
      <c r="D37" s="9" t="n">
        <v>164160</v>
      </c>
      <c r="E37" s="9" t="n">
        <v>-4223</v>
      </c>
      <c r="F37" s="14" t="n">
        <v>159937</v>
      </c>
      <c r="G37" s="19" t="n">
        <v>0.065</v>
      </c>
      <c r="H37" s="14" t="n">
        <v>2460577</v>
      </c>
    </row>
    <row r="38">
      <c r="A38" s="32" t="inlineStr">
        <is>
          <t>18300 E 28th Ave (R0110351)</t>
        </is>
      </c>
      <c r="B38" s="36" t="n">
        <v>599228</v>
      </c>
      <c r="C38" s="36" t="n">
        <v>-59923</v>
      </c>
      <c r="D38" s="36" t="n">
        <v>539305</v>
      </c>
      <c r="E38" s="36" t="n">
        <v>-43144</v>
      </c>
      <c r="F38" s="38" t="n">
        <v>496161</v>
      </c>
      <c r="G38" s="39" t="n">
        <v>0.0625</v>
      </c>
      <c r="H38" s="38" t="n">
        <v>7939000</v>
      </c>
    </row>
    <row r="39">
      <c r="A39" s="32" t="inlineStr">
        <is>
          <t>Majestic Commercenter Bldg 6 (R0111559)</t>
        </is>
      </c>
      <c r="B39" s="36" t="n">
        <v>781250</v>
      </c>
      <c r="C39" s="36" t="n">
        <v>-78125</v>
      </c>
      <c r="D39" s="36" t="n">
        <v>703125</v>
      </c>
      <c r="E39" s="36" t="n">
        <v>-35156</v>
      </c>
      <c r="F39" s="38" t="n">
        <v>667969</v>
      </c>
      <c r="G39" s="39" t="n">
        <v>0.07630000000000001</v>
      </c>
      <c r="H39" s="38" t="n">
        <v>8754500</v>
      </c>
    </row>
    <row r="40">
      <c r="A40" s="32" t="inlineStr">
        <is>
          <t>Majestic Commercenter Bldg 7 (R0111560)</t>
        </is>
      </c>
      <c r="B40" s="36" t="n">
        <v>1250000</v>
      </c>
      <c r="C40" s="36" t="n">
        <v>-125000</v>
      </c>
      <c r="D40" s="36" t="n">
        <v>1125000</v>
      </c>
      <c r="E40" s="36" t="n">
        <v>-56250</v>
      </c>
      <c r="F40" s="38" t="n">
        <v>1068750</v>
      </c>
      <c r="G40" s="39" t="n">
        <v>0.07630000000000001</v>
      </c>
      <c r="H40" s="38" t="n">
        <v>14007200</v>
      </c>
    </row>
    <row r="41">
      <c r="A41" s="32" t="inlineStr">
        <is>
          <t>Anchor Business Park - market (R0121833)</t>
        </is>
      </c>
      <c r="B41" s="36" t="n">
        <v>346484</v>
      </c>
      <c r="C41" s="36" t="n">
        <v>-17324</v>
      </c>
      <c r="D41" s="36" t="n">
        <v>329160</v>
      </c>
      <c r="E41" s="36" t="n">
        <v>-49374</v>
      </c>
      <c r="F41" s="38" t="n">
        <v>279786</v>
      </c>
      <c r="G41" s="39" t="n">
        <v>0.07140000000000001</v>
      </c>
      <c r="H41" s="38" t="n">
        <v>3919000</v>
      </c>
    </row>
    <row r="42">
      <c r="A42" s="32" t="inlineStr">
        <is>
          <t>Anchor Business Park - actual 2024 (R0121833)</t>
        </is>
      </c>
      <c r="B42" s="36" t="n">
        <v>457717</v>
      </c>
      <c r="C42" s="36" t="n"/>
      <c r="D42" s="36" t="n">
        <v>457717</v>
      </c>
      <c r="E42" s="36" t="n">
        <v>-110337</v>
      </c>
      <c r="F42" s="38" t="n">
        <v>347380</v>
      </c>
      <c r="G42" s="39" t="n">
        <v>0.099</v>
      </c>
      <c r="H42" s="38" t="n">
        <v>3510000</v>
      </c>
    </row>
    <row r="43">
      <c r="A43" s="32" t="inlineStr">
        <is>
          <t>Anchor Business Park - actual 2023 (R0121833)</t>
        </is>
      </c>
      <c r="B43" s="36" t="n">
        <v>401204</v>
      </c>
      <c r="C43" s="36" t="n"/>
      <c r="D43" s="36" t="n">
        <v>401204</v>
      </c>
      <c r="E43" s="36" t="n">
        <v>-119063</v>
      </c>
      <c r="F43" s="38" t="n">
        <v>282140</v>
      </c>
      <c r="G43" s="39" t="n">
        <v>0.099</v>
      </c>
      <c r="H43" s="38" t="n">
        <v>2851000</v>
      </c>
    </row>
    <row r="44">
      <c r="A44" s="32" t="inlineStr">
        <is>
          <t>5977-5995 N Broadway (R0103518)</t>
        </is>
      </c>
      <c r="B44" s="36" t="n">
        <v>489879</v>
      </c>
      <c r="C44" s="36" t="n">
        <v>-39190</v>
      </c>
      <c r="D44" s="36" t="n">
        <v>450689</v>
      </c>
      <c r="E44" s="36" t="n">
        <v>-45069</v>
      </c>
      <c r="F44" s="38" t="n">
        <v>405620</v>
      </c>
      <c r="G44" s="46" t="n">
        <v>0.07000000000000001</v>
      </c>
      <c r="H44" s="38" t="n">
        <v>5794600</v>
      </c>
    </row>
    <row r="45">
      <c r="A45" s="32" t="inlineStr">
        <is>
          <t>5710 E. 56th Avenue - actual 2023 (R0187789)</t>
        </is>
      </c>
      <c r="B45" s="36" t="n">
        <v>640426</v>
      </c>
      <c r="C45" s="36" t="n">
        <v>-51234</v>
      </c>
      <c r="D45" s="36" t="n">
        <v>589192</v>
      </c>
      <c r="E45" s="36" t="n">
        <v>-94857</v>
      </c>
      <c r="F45" s="38" t="n">
        <v>494335</v>
      </c>
      <c r="G45" s="39" t="n"/>
      <c r="H45" s="38" t="n"/>
    </row>
    <row r="46">
      <c r="A46" s="32" t="inlineStr">
        <is>
          <t>5710 E. 56th Avenue - actual 2024 (R0187789)</t>
        </is>
      </c>
      <c r="B46" s="36" t="n">
        <v>725742</v>
      </c>
      <c r="C46" s="36" t="n">
        <v>-58059</v>
      </c>
      <c r="D46" s="36" t="n">
        <v>667683</v>
      </c>
      <c r="E46" s="36" t="n">
        <v>-107192</v>
      </c>
      <c r="F46" s="38" t="n">
        <v>560491</v>
      </c>
      <c r="G46" s="39" t="n"/>
      <c r="H46" s="38" t="n"/>
    </row>
    <row r="47">
      <c r="A47" s="32" t="inlineStr">
        <is>
          <t>5710 E. 56th Avenue - concluded, avg NOI (R0187789)</t>
        </is>
      </c>
      <c r="B47" s="36" t="n"/>
      <c r="C47" s="36" t="n"/>
      <c r="D47" s="36" t="n"/>
      <c r="E47" s="36" t="n"/>
      <c r="F47" s="38" t="n">
        <v>527413</v>
      </c>
      <c r="G47" s="39" t="n">
        <v>0.097</v>
      </c>
      <c r="H47" s="38" t="n">
        <v>5440000</v>
      </c>
    </row>
    <row r="48">
      <c r="A48" s="32" t="inlineStr">
        <is>
          <t>Confluent Center 70 - market proforma (R0188699)</t>
        </is>
      </c>
      <c r="B48" s="36" t="n">
        <v>815099</v>
      </c>
      <c r="C48" s="36" t="n">
        <v>-65208</v>
      </c>
      <c r="D48" s="36" t="n">
        <v>749891</v>
      </c>
      <c r="E48" s="36" t="n">
        <v>-59991</v>
      </c>
      <c r="F48" s="38" t="n">
        <v>689899</v>
      </c>
      <c r="G48" s="39" t="n">
        <v>0.06</v>
      </c>
      <c r="H48" s="38" t="n">
        <v>11498000</v>
      </c>
    </row>
    <row r="49">
      <c r="A49" s="32" t="inlineStr">
        <is>
          <t>Confluent Center 70 - actual 2024 NNN (R0188699)</t>
        </is>
      </c>
      <c r="B49" s="36" t="n">
        <v>1536047</v>
      </c>
      <c r="C49" s="36" t="n"/>
      <c r="D49" s="36" t="n">
        <v>1536047</v>
      </c>
      <c r="E49" s="36" t="n">
        <v>-782165</v>
      </c>
      <c r="F49" s="38" t="n">
        <v>753882</v>
      </c>
      <c r="G49" s="39" t="n"/>
      <c r="H49" s="38" t="n"/>
    </row>
    <row r="50">
      <c r="A50" s="32" t="inlineStr">
        <is>
          <t>Majestic Commercenter Bldg 5 (R0191099)</t>
        </is>
      </c>
      <c r="B50" s="36" t="n">
        <v>994044</v>
      </c>
      <c r="C50" s="36" t="n">
        <v>-99404</v>
      </c>
      <c r="D50" s="36" t="n">
        <v>894639</v>
      </c>
      <c r="E50" s="36" t="n">
        <v>-44732</v>
      </c>
      <c r="F50" s="38" t="n">
        <v>849907</v>
      </c>
      <c r="G50" s="39" t="n">
        <v>0.07630000000000001</v>
      </c>
      <c r="H50" s="38" t="n">
        <v>11139000</v>
      </c>
    </row>
    <row r="51">
      <c r="A51" s="32" t="inlineStr">
        <is>
          <t>3420 Lisbon Street (R0200721)</t>
        </is>
      </c>
      <c r="B51" s="36" t="n">
        <v>398332</v>
      </c>
      <c r="C51" s="36" t="n">
        <v>-39833</v>
      </c>
      <c r="D51" s="36" t="n">
        <v>358499</v>
      </c>
      <c r="E51" s="36" t="n">
        <v>-17925</v>
      </c>
      <c r="F51" s="38" t="n">
        <v>340574</v>
      </c>
      <c r="G51" s="39" t="n">
        <v>0.07630000000000001</v>
      </c>
      <c r="H51" s="38" t="n">
        <v>4463600</v>
      </c>
    </row>
    <row r="52">
      <c r="A52" s="32" t="inlineStr">
        <is>
          <t>5690 E. 56th Avenue - actual 2023 (R0187787)</t>
        </is>
      </c>
      <c r="B52" s="36" t="n">
        <v>445925</v>
      </c>
      <c r="C52" s="36" t="n">
        <v>-35674</v>
      </c>
      <c r="D52" s="36" t="n">
        <v>410251</v>
      </c>
      <c r="E52" s="36" t="n">
        <v>-65287</v>
      </c>
      <c r="F52" s="38" t="n">
        <v>344964</v>
      </c>
      <c r="G52" s="46" t="n"/>
      <c r="H52" s="38" t="n"/>
    </row>
    <row r="53">
      <c r="A53" s="32" t="inlineStr">
        <is>
          <t>5690 E. 56th Avenue - actual 2024 (R0187787)</t>
        </is>
      </c>
      <c r="B53" s="36" t="n">
        <v>547382</v>
      </c>
      <c r="C53" s="36" t="n">
        <v>-43791</v>
      </c>
      <c r="D53" s="36" t="n">
        <v>503591</v>
      </c>
      <c r="E53" s="36" t="n">
        <v>-86600</v>
      </c>
      <c r="F53" s="38" t="n">
        <v>416991</v>
      </c>
      <c r="G53" s="46" t="n"/>
      <c r="H53" s="38" t="n"/>
    </row>
    <row r="54">
      <c r="A54" s="32" t="inlineStr">
        <is>
          <t>5690 E. 56th Avenue - concluded, avg NOI (R0187787)</t>
        </is>
      </c>
      <c r="B54" s="36" t="n"/>
      <c r="C54" s="36" t="n"/>
      <c r="D54" s="36" t="n"/>
      <c r="E54" s="36" t="n"/>
      <c r="F54" s="38" t="n">
        <v>380978</v>
      </c>
      <c r="G54" s="46" t="n">
        <v>0.097</v>
      </c>
      <c r="H54" s="38" t="n">
        <v>3930000</v>
      </c>
    </row>
    <row r="55">
      <c r="A55" s="32" t="inlineStr">
        <is>
          <t>9410 Heinz Way - market proforma (R0164588)</t>
        </is>
      </c>
      <c r="B55" s="36" t="n">
        <v>773465</v>
      </c>
      <c r="C55" s="36" t="n">
        <v>-77347</v>
      </c>
      <c r="D55" s="36" t="n">
        <v>696119</v>
      </c>
      <c r="E55" s="36" t="n">
        <v>-55689</v>
      </c>
      <c r="F55" s="38" t="n">
        <v>640429</v>
      </c>
      <c r="G55" s="46" t="n">
        <v>0.075</v>
      </c>
      <c r="H55" s="38" t="n">
        <v>8539000</v>
      </c>
    </row>
    <row r="56">
      <c r="A56" s="32" t="inlineStr">
        <is>
          <t>Park 70 - market proforma (R0180894)</t>
        </is>
      </c>
      <c r="B56" s="36" t="n">
        <v>982740</v>
      </c>
      <c r="C56" s="36" t="n">
        <v>-49137</v>
      </c>
      <c r="D56" s="36" t="n">
        <v>933603</v>
      </c>
      <c r="E56" s="36" t="n">
        <v>-74688</v>
      </c>
      <c r="F56" s="38" t="n">
        <v>858915</v>
      </c>
      <c r="G56" s="46" t="n">
        <v>0.065</v>
      </c>
      <c r="H56" s="38" t="n">
        <v>13214100</v>
      </c>
    </row>
    <row r="57">
      <c r="A57" s="32" t="inlineStr">
        <is>
          <t>Park 70 - actual YE2024 (R0180894)</t>
        </is>
      </c>
      <c r="B57" s="36" t="n">
        <v>2146279</v>
      </c>
      <c r="C57" s="36" t="n"/>
      <c r="D57" s="36" t="n">
        <v>2146279</v>
      </c>
      <c r="E57" s="36" t="n">
        <v>-1307976</v>
      </c>
      <c r="F57" s="38" t="n">
        <v>838303</v>
      </c>
      <c r="G57" s="46" t="n"/>
      <c r="H57" s="38" t="n"/>
    </row>
    <row r="58">
      <c r="A58" s="32" t="inlineStr">
        <is>
          <t>Park 70 - actual YE2023 (R0180894)</t>
        </is>
      </c>
      <c r="B58" s="36" t="n">
        <v>2148674</v>
      </c>
      <c r="C58" s="36" t="n"/>
      <c r="D58" s="36" t="n">
        <v>2148674</v>
      </c>
      <c r="E58" s="36" t="n">
        <v>-1297289</v>
      </c>
      <c r="F58" s="38" t="n">
        <v>851385</v>
      </c>
      <c r="G58" s="46" t="n"/>
      <c r="H58" s="38" t="n"/>
    </row>
    <row r="59">
      <c r="A59" s="32" t="inlineStr">
        <is>
          <t>Park 70 - actual YE2022 (R0180894)</t>
        </is>
      </c>
      <c r="B59" s="36" t="n">
        <v>1635142</v>
      </c>
      <c r="C59" s="36" t="n"/>
      <c r="D59" s="36" t="n">
        <v>1635142</v>
      </c>
      <c r="E59" s="36" t="n">
        <v>-765306</v>
      </c>
      <c r="F59" s="38" t="n">
        <v>869836</v>
      </c>
      <c r="G59" s="46" t="n"/>
      <c r="H59" s="38" t="n"/>
    </row>
    <row r="60">
      <c r="A60" s="32" t="inlineStr">
        <is>
          <t>Alpine Park II - stabilized, taxes in cap rate (R0157664)</t>
        </is>
      </c>
      <c r="B60" s="36" t="n">
        <v>260000</v>
      </c>
      <c r="C60" s="36" t="n"/>
      <c r="D60" s="36" t="n">
        <v>260000</v>
      </c>
      <c r="E60" s="36" t="n">
        <v>-42000</v>
      </c>
      <c r="F60" s="38" t="n">
        <v>218000</v>
      </c>
      <c r="G60" s="46" t="n">
        <v>0.098</v>
      </c>
      <c r="H60" s="38" t="n">
        <v>2224490</v>
      </c>
    </row>
    <row r="61">
      <c r="A61" s="32" t="inlineStr">
        <is>
          <t>Alpine Park II - stabilized, taxes in expenses (R0157664)</t>
        </is>
      </c>
      <c r="B61" s="36" t="n">
        <v>260000</v>
      </c>
      <c r="C61" s="36" t="n"/>
      <c r="D61" s="36" t="n">
        <v>260000</v>
      </c>
      <c r="E61" s="36" t="n">
        <v>-107000</v>
      </c>
      <c r="F61" s="38" t="n">
        <v>153000</v>
      </c>
      <c r="G61" s="46" t="n">
        <v>0.07000000000000001</v>
      </c>
      <c r="H61" s="38" t="n">
        <v>2185714</v>
      </c>
    </row>
    <row r="62">
      <c r="A62" s="32" t="inlineStr">
        <is>
          <t>2850 Walden St - owner work sheet at requested value (R0164287)</t>
        </is>
      </c>
      <c r="B62" s="36" t="n">
        <v>210590</v>
      </c>
      <c r="C62" s="36" t="n"/>
      <c r="D62" s="36" t="n">
        <v>210590</v>
      </c>
      <c r="E62" s="36" t="n">
        <v>-103260</v>
      </c>
      <c r="F62" s="38" t="n">
        <v>107330</v>
      </c>
      <c r="G62" s="46" t="n">
        <v>0.03785</v>
      </c>
      <c r="H62" s="38" t="n">
        <v>2835663</v>
      </c>
    </row>
    <row r="63">
      <c r="A63" s="32" t="inlineStr">
        <is>
          <t>2850 Walden St - owner work sheet at assessed value (R0164287)</t>
        </is>
      </c>
      <c r="B63" s="36" t="n">
        <v>210590</v>
      </c>
      <c r="C63" s="36" t="n"/>
      <c r="D63" s="36" t="n">
        <v>210590</v>
      </c>
      <c r="E63" s="36" t="n">
        <v>-158922</v>
      </c>
      <c r="F63" s="38" t="n">
        <v>51668</v>
      </c>
      <c r="G63" s="46" t="n">
        <v>0.01141</v>
      </c>
      <c r="H63" s="38" t="n">
        <v>4531688</v>
      </c>
    </row>
    <row r="64">
      <c r="A64" s="32" t="inlineStr">
        <is>
          <t>5945 &amp; 5957 Broadway (R0103519) - agent capitalization</t>
        </is>
      </c>
      <c r="B64" s="36" t="n"/>
      <c r="C64" s="36" t="n"/>
      <c r="D64" s="36" t="n"/>
      <c r="E64" s="36" t="n"/>
      <c r="F64" s="38" t="n">
        <v>550000</v>
      </c>
      <c r="G64" s="46" t="n">
        <v>0.09331</v>
      </c>
      <c r="H64" s="38" t="n">
        <v>5894300</v>
      </c>
    </row>
    <row r="66">
      <c r="A66" s="18" t="inlineStr">
        <is>
          <t>Proforma vacancy/EGI figures as reported by each preparer (Ryan, Property Tax Advisors, or owner's analysis). 5970 Marion figures are from the owner's income-approach block in the 2024 P&amp;L workbook (PGI $172,800, 95% occ, NOI $159,938, 6.5% cap → $2,460,577; assigned $2,527,915).</t>
        </is>
      </c>
      <c r="B66" s="20" t="n"/>
      <c r="C66" s="20" t="n"/>
      <c r="D66" s="20" t="n"/>
      <c r="E66" s="20" t="n"/>
      <c r="F66" s="20" t="n"/>
      <c r="G66" s="20" t="n"/>
      <c r="H66" s="21" t="n"/>
    </row>
  </sheetData>
  <mergeCells count="6">
    <mergeCell ref="A4:H4"/>
    <mergeCell ref="A29:H29"/>
    <mergeCell ref="A2:H2"/>
    <mergeCell ref="A66:H66"/>
    <mergeCell ref="A1:H1"/>
    <mergeCell ref="A31:H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5"/>
  <cols>
    <col width="36" customWidth="1" min="1" max="1"/>
    <col width="16" customWidth="1" min="2" max="2"/>
    <col width="16" customWidth="1" min="3" max="3"/>
    <col width="18" customWidth="1" min="4" max="4"/>
    <col width="50" customWidth="1" min="5" max="5"/>
  </cols>
  <sheetData>
    <row r="1" ht="26" customHeight="1">
      <c r="A1" s="1" t="inlineStr">
        <is>
          <t>INCOME &amp; EXPENSE SUMMARY</t>
        </is>
      </c>
    </row>
    <row r="2" ht="14" customHeight="1">
      <c r="A2" s="2" t="inlineStr">
        <is>
          <t>Operating income, expense &amp; net by property and year (cash/tax basis as noted)</t>
        </is>
      </c>
    </row>
    <row r="4" ht="28" customHeight="1">
      <c r="A4" s="4" t="inlineStr">
        <is>
          <t>Property / Year</t>
        </is>
      </c>
      <c r="B4" s="4" t="inlineStr">
        <is>
          <t>Total Income</t>
        </is>
      </c>
      <c r="C4" s="4" t="inlineStr">
        <is>
          <t>Total Expense</t>
        </is>
      </c>
      <c r="D4" s="4" t="inlineStr">
        <is>
          <t>Net Income / (Loss)</t>
        </is>
      </c>
      <c r="E4" s="4" t="inlineStr">
        <is>
          <t>Basis / Source</t>
        </is>
      </c>
    </row>
    <row r="5">
      <c r="A5" s="11" t="inlineStr">
        <is>
          <t>5970 Marion Drive — FY2024</t>
        </is>
      </c>
      <c r="B5" s="22" t="n">
        <v>249672.2</v>
      </c>
      <c r="C5" s="22" t="n">
        <v>162774.36</v>
      </c>
      <c r="D5" s="23">
        <f>B5-C5</f>
        <v/>
      </c>
      <c r="E5" s="6" t="inlineStr">
        <is>
          <t>5970_Marion 2024 P&amp;L (cash; incl. debt svc &amp; taxes)</t>
        </is>
      </c>
    </row>
    <row r="6">
      <c r="A6" s="11" t="inlineStr">
        <is>
          <t>5970 Marion Drive — FY2023</t>
        </is>
      </c>
      <c r="B6" s="22" t="n">
        <v>247311.55</v>
      </c>
      <c r="C6" s="22" t="n">
        <v>188635.46</v>
      </c>
      <c r="D6" s="23">
        <f>B6-C6</f>
        <v/>
      </c>
      <c r="E6" s="6" t="inlineStr">
        <is>
          <t>2023 Cash Flow (cash; incl. debt svc &amp; taxes)</t>
        </is>
      </c>
    </row>
    <row r="7">
      <c r="A7" s="11" t="inlineStr">
        <is>
          <t>2011 E 58th (TempTee) — 2024 survey</t>
        </is>
      </c>
      <c r="B7" s="22" t="n"/>
      <c r="C7" s="22" t="n">
        <v>138050</v>
      </c>
      <c r="D7" s="24" t="inlineStr">
        <is>
          <t>—</t>
        </is>
      </c>
      <c r="E7" s="6" t="inlineStr">
        <is>
          <t>Owner-occupied; reported OpEx only ('in house' items = $0)</t>
        </is>
      </c>
    </row>
    <row r="8">
      <c r="A8" s="11" t="inlineStr">
        <is>
          <t>125 Bridge St (Broadview) — Form 8825</t>
        </is>
      </c>
      <c r="B8" s="22" t="n">
        <v>307817</v>
      </c>
      <c r="C8" s="22" t="n">
        <v>316181</v>
      </c>
      <c r="D8" s="23">
        <f>B8-C8</f>
        <v/>
      </c>
      <c r="E8" s="6" t="inlineStr">
        <is>
          <t>IRS Form 8825 (tax basis; incl. depreciation, amort. &amp; interest)</t>
        </is>
      </c>
    </row>
    <row r="9">
      <c r="A9" s="40" t="inlineStr">
        <is>
          <t>18300 E 28th Ave - CY2024</t>
        </is>
      </c>
      <c r="B9" s="37" t="n">
        <v>943294.95</v>
      </c>
      <c r="C9" s="37" t="n">
        <v>390362.08</v>
      </c>
      <c r="D9" s="41">
        <f>B9-C9</f>
        <v/>
      </c>
      <c r="E9" s="32" t="inlineStr">
        <is>
          <t>Accrual. True NOI: no debt service, depreciation or capex in operating expenses. R0110351</t>
        </is>
      </c>
    </row>
    <row r="10" ht="28" customHeight="1">
      <c r="A10" s="40" t="inlineStr">
        <is>
          <t>18300 E 28th Ave - CY2023</t>
        </is>
      </c>
      <c r="B10" s="37" t="n">
        <v>883682.08</v>
      </c>
      <c r="C10" s="37" t="n">
        <v>361874.61</v>
      </c>
      <c r="D10" s="41">
        <f>B10-C10</f>
        <v/>
      </c>
      <c r="E10" s="32" t="inlineStr">
        <is>
          <t>Accrual. True NOI. R0110351</t>
        </is>
      </c>
    </row>
    <row r="11">
      <c r="A11" s="40" t="inlineStr">
        <is>
          <t>Majestic Commercenter Bldg 6 - CY2024</t>
        </is>
      </c>
      <c r="B11" s="37" t="n">
        <v>1631357.84</v>
      </c>
      <c r="C11" s="37" t="n">
        <v>642378.16</v>
      </c>
      <c r="D11" s="41">
        <f>B11-C11</f>
        <v/>
      </c>
      <c r="E11" s="32" t="inlineStr">
        <is>
          <t>Operating income before interest ($276,132.81) and other/depreciation ($548,107.94); net income after those = $164,738.93. R0111559</t>
        </is>
      </c>
    </row>
    <row r="12">
      <c r="A12" s="40" t="inlineStr">
        <is>
          <t>Majestic Commercenter Bldg 6 - CY2023</t>
        </is>
      </c>
      <c r="B12" s="37" t="n">
        <v>1809817.41</v>
      </c>
      <c r="C12" s="37" t="n">
        <v>975170.45</v>
      </c>
      <c r="D12" s="41">
        <f>B12-C12</f>
        <v/>
      </c>
      <c r="E12" s="32" t="inlineStr">
        <is>
          <t>Operating income before interest ($284,797.60) and other/depreciation ($592,527.05); net income after those = ($42,677.69). R0111559</t>
        </is>
      </c>
    </row>
    <row r="13">
      <c r="A13" s="40" t="inlineStr">
        <is>
          <t>Majestic Commercenter Bldg 7 - CY2024</t>
        </is>
      </c>
      <c r="B13" s="37" t="n">
        <v>601617.52</v>
      </c>
      <c r="C13" s="37" t="n">
        <v>856598.01</v>
      </c>
      <c r="D13" s="41">
        <f>B13-C13</f>
        <v/>
      </c>
      <c r="E13" s="32" t="inlineStr">
        <is>
          <t>Operating LOSS - FedEx lease expired 4/30/2024. Before interest ($443,845.39) and other/depr ($721,647.35); net = ($1,420,473.23). R0111560</t>
        </is>
      </c>
    </row>
    <row r="14">
      <c r="A14" s="40" t="inlineStr">
        <is>
          <t>Majestic Commercenter Bldg 7 - CY2023</t>
        </is>
      </c>
      <c r="B14" s="37" t="n">
        <v>2280295</v>
      </c>
      <c r="C14" s="37" t="n">
        <v>1162402.67</v>
      </c>
      <c r="D14" s="41">
        <f>B14-C14</f>
        <v/>
      </c>
      <c r="E14" s="32" t="inlineStr">
        <is>
          <t>Operating income before interest ($457,772.92) and other/depr ($795,716.24); net = ($135,596.83). Expenses include $887,022.00 real estate taxes. R0111560</t>
        </is>
      </c>
    </row>
    <row r="15">
      <c r="A15" s="40" t="inlineStr">
        <is>
          <t>6051 Washington St - CY2024</t>
        </is>
      </c>
      <c r="B15" s="37" t="n">
        <v>282582.82</v>
      </c>
      <c r="C15" s="37" t="n">
        <v>125492.28</v>
      </c>
      <c r="D15" s="41">
        <f>B15-C15</f>
        <v/>
      </c>
      <c r="E15" s="32" t="inlineStr">
        <is>
          <t>Cash basis. NOT a true NOI: expenses include depreciation $78,017.21 + amortization $5,811.58 and lease commissions $34,701.00, while property tax is $0.00. R0114026</t>
        </is>
      </c>
    </row>
    <row r="16">
      <c r="A16" s="40" t="inlineStr">
        <is>
          <t>6051 Washington St - CY2023</t>
        </is>
      </c>
      <c r="B16" s="37" t="n">
        <v>216726</v>
      </c>
      <c r="C16" s="37" t="n"/>
      <c r="D16" s="41" t="inlineStr">
        <is>
          <t>-</t>
        </is>
      </c>
      <c r="E16" s="32" t="inlineStr">
        <is>
          <t>Cash basis, EXCERPT ONLY. Income total as printed; itemised rents total $214,254.27, so $2,471.73 sits on a page not included in the submission. Expense detail incomplete (only accounting $3,006.92, amortization $855.00, bank fees $30.00 shown). R0114026</t>
        </is>
      </c>
    </row>
    <row r="17">
      <c r="A17" s="40" t="inlineStr">
        <is>
          <t>Anchor Business Park - CY2024</t>
        </is>
      </c>
      <c r="B17" s="37" t="n">
        <v>457717.43</v>
      </c>
      <c r="C17" s="37" t="n">
        <v>290220.4</v>
      </c>
      <c r="D17" s="41">
        <f>B17-C17</f>
        <v/>
      </c>
      <c r="E17" s="32" t="inlineStr">
        <is>
          <t>Accrual. NOT a true NOI: includes interest expense $44,300.59. Total expense $289,750.40 + other expense $470.00. Net income $167,497.03. R0121833</t>
        </is>
      </c>
    </row>
    <row r="18">
      <c r="A18" s="40" t="inlineStr">
        <is>
          <t>Anchor Business Park - CY2023</t>
        </is>
      </c>
      <c r="B18" s="37" t="n">
        <v>401203.65</v>
      </c>
      <c r="C18" s="37" t="n">
        <v>285540.55</v>
      </c>
      <c r="D18" s="41">
        <f>B18-C18</f>
        <v/>
      </c>
      <c r="E18" s="32" t="inlineStr">
        <is>
          <t>Accrual. NOT a true NOI: includes interest expense $46,920.74. Net income $115,663.10. R0121833</t>
        </is>
      </c>
    </row>
    <row r="19">
      <c r="A19" s="40" t="inlineStr">
        <is>
          <t>5977-5995 N Broadway - CY2023</t>
        </is>
      </c>
      <c r="B19" s="37" t="n">
        <v>550031</v>
      </c>
      <c r="C19" s="37" t="n">
        <v>250528</v>
      </c>
      <c r="D19" s="41">
        <f>B19-C19</f>
        <v/>
      </c>
      <c r="E19" s="32" t="inlineStr">
        <is>
          <t>Accrual. TRUE NOI - depreciation ($71,686) and lease-cost amortization ($9,843) sit below the NOI line; net income after those = $217,973. R0103518</t>
        </is>
      </c>
    </row>
    <row r="20">
      <c r="A20" s="40" t="inlineStr">
        <is>
          <t>5945 &amp; 5957 Broadway - CY2024</t>
        </is>
      </c>
      <c r="B20" s="37" t="n">
        <v>704810.59</v>
      </c>
      <c r="C20" s="37" t="n">
        <v>524505.21</v>
      </c>
      <c r="D20" s="41">
        <f>B20-C20</f>
        <v/>
      </c>
      <c r="E20" s="32" t="inlineStr">
        <is>
          <t>Cash basis. NOT a true NOI: expenses include loan interest $140,115.06, income tax $71,185.00 and property tax $169,029.80. Agent's stated 2024 NOI excluding those = $560,634. R0103519</t>
        </is>
      </c>
    </row>
    <row r="21">
      <c r="A21" s="40" t="inlineStr">
        <is>
          <t>5945 &amp; 5957 Broadway - CY2023</t>
        </is>
      </c>
      <c r="B21" s="37" t="n">
        <v>655107.84</v>
      </c>
      <c r="C21" s="37" t="n">
        <v>453235.5</v>
      </c>
      <c r="D21" s="41">
        <f>B21-C21</f>
        <v/>
      </c>
      <c r="E21" s="32" t="inlineStr">
        <is>
          <t>Cash basis. NOT a true NOI: includes loan interest $142,547.72, income tax $50,000.00, property tax $148,047.68. Agent's stated 2023 NOI = $542,466. R0103519</t>
        </is>
      </c>
    </row>
    <row r="22">
      <c r="A22" s="40" t="inlineStr">
        <is>
          <t>5720 Washington St - 2023/2024 survey</t>
        </is>
      </c>
      <c r="B22" s="37" t="n"/>
      <c r="C22" s="37" t="n">
        <v>71980</v>
      </c>
      <c r="D22" s="41" t="inlineStr">
        <is>
          <t>-</t>
        </is>
      </c>
      <c r="E22" s="32" t="inlineStr">
        <is>
          <t>100% owner-occupied, so no rental income is reported. Operating expenses only, and they were written into the TENANT column of the survey grid despite the owner-occupancy. R0103704</t>
        </is>
      </c>
    </row>
    <row r="23">
      <c r="A23" s="40" t="inlineStr">
        <is>
          <t>1890 E 58th Ave - 12 mo from 1/1/2023</t>
        </is>
      </c>
      <c r="B23" s="37" t="n">
        <v>670872</v>
      </c>
      <c r="C23" s="37" t="n">
        <v>244295.66</v>
      </c>
      <c r="D23" s="41">
        <f>B23-C23</f>
        <v/>
      </c>
      <c r="E23" s="32" t="inlineStr">
        <is>
          <t>County I&amp;E survey, Gross lease. Owner-paid expenses only; janitorial and snow/trash were marked 'T' rather than given a dollar amount, and no property tax or management line was reported. R0103779</t>
        </is>
      </c>
    </row>
    <row r="24">
      <c r="A24" s="40" t="inlineStr">
        <is>
          <t>5710 E. 56th Avenue - CY2023</t>
        </is>
      </c>
      <c r="B24" s="37" t="n">
        <v>640426</v>
      </c>
      <c r="C24" s="37" t="n">
        <v>214395</v>
      </c>
      <c r="D24" s="41">
        <f>B24-C24</f>
        <v/>
      </c>
      <c r="E24" s="32" t="inlineStr">
        <is>
          <t>Owner-reported. Total expenses INCLUDE real estate taxes ($137,214); the petitioner's NOI of $494,335 strips taxes out, adds a 3% reserve and applies 8% vacancy. R0187789</t>
        </is>
      </c>
    </row>
    <row r="25">
      <c r="A25" s="40" t="inlineStr">
        <is>
          <t>5710 E. 56th Avenue - CY2024</t>
        </is>
      </c>
      <c r="B25" s="37" t="n">
        <v>725742</v>
      </c>
      <c r="C25" s="37" t="n">
        <v>228330</v>
      </c>
      <c r="D25" s="41">
        <f>B25-C25</f>
        <v/>
      </c>
      <c r="E25" s="32" t="inlineStr">
        <is>
          <t>Owner-reported. Includes real estate taxes ($141,168); petitioner's NOI $560,491 on the same basis as 2023. Two-year average NOI $527,413. R0187789</t>
        </is>
      </c>
    </row>
    <row r="26">
      <c r="A26" s="40" t="inlineStr">
        <is>
          <t>Confluent Center 70 - CY2024</t>
        </is>
      </c>
      <c r="B26" s="37" t="n">
        <v>1536047</v>
      </c>
      <c r="C26" s="37" t="n">
        <v>782165</v>
      </c>
      <c r="D26" s="41">
        <f>B26-C26</f>
        <v/>
      </c>
      <c r="E26" s="32" t="inlineStr">
        <is>
          <t>Actual NNN, accrual. Expenses include property taxes $391,900. TRUE NOI $753,882 ($7.17 PSF) - no debt service or depreciation. R0188699</t>
        </is>
      </c>
    </row>
    <row r="27">
      <c r="A27" s="40" t="inlineStr">
        <is>
          <t>Majestic Commercenter Bldg 5 - CY2024</t>
        </is>
      </c>
      <c r="B27" s="37" t="n">
        <v>1800360.37</v>
      </c>
      <c r="C27" s="37" t="n">
        <v>628819.46</v>
      </c>
      <c r="D27" s="41">
        <f>B27-C27</f>
        <v/>
      </c>
      <c r="E27" s="32" t="inlineStr">
        <is>
          <t>Operating income before interest ($331,694.13) and other/depreciation ($559,919.27); net income after those = $279,927.51. R0191099</t>
        </is>
      </c>
    </row>
    <row r="28">
      <c r="A28" s="40" t="inlineStr">
        <is>
          <t>3420 Lisbon Street - CY2024</t>
        </is>
      </c>
      <c r="B28" s="37" t="n">
        <v>484482.38</v>
      </c>
      <c r="C28" s="37" t="n">
        <v>205776.75</v>
      </c>
      <c r="D28" s="41">
        <f>B28-C28</f>
        <v/>
      </c>
      <c r="E28" s="32" t="inlineStr">
        <is>
          <t>Operating income before interest ($86,641.63) and other/depreciation ($233,804.17); net income after those = ($41,740.17). R0200721</t>
        </is>
      </c>
    </row>
    <row r="29">
      <c r="A29" s="40" t="inlineStr">
        <is>
          <t>5690 E. 56th Avenue - CY2023</t>
        </is>
      </c>
      <c r="B29" s="37" t="n">
        <v>445925</v>
      </c>
      <c r="C29" s="37" t="n">
        <v>169139</v>
      </c>
      <c r="D29" s="41">
        <f>B29-C29</f>
        <v/>
      </c>
      <c r="E29" s="32" t="inlineStr">
        <is>
          <t>Owner-reported gross income and expenses. Expenses INCLUDE real estate taxes ($116,160); the petitioner's NOI of $344,964 strips taxes out, adds a 3% reserve and applies 8% vacancy. R0187787</t>
        </is>
      </c>
    </row>
    <row r="30">
      <c r="A30" s="40" t="inlineStr">
        <is>
          <t>5690 E. 56th Avenue - CY2024</t>
        </is>
      </c>
      <c r="B30" s="37" t="n">
        <v>547382</v>
      </c>
      <c r="C30" s="37" t="n">
        <v>194687</v>
      </c>
      <c r="D30" s="41">
        <f>B30-C30</f>
        <v/>
      </c>
      <c r="E30" s="32" t="inlineStr">
        <is>
          <t>Includes real estate taxes ($123,195); petitioner's NOI $416,991. Two-year average NOI $380,978. R0187787</t>
        </is>
      </c>
    </row>
    <row r="31">
      <c r="A31" s="40" t="inlineStr">
        <is>
          <t>Alpine Park II - CY2024</t>
        </is>
      </c>
      <c r="B31" s="37" t="n">
        <v>229531</v>
      </c>
      <c r="C31" s="37" t="n">
        <v>107553.3</v>
      </c>
      <c r="D31" s="41">
        <f>B31-C31</f>
        <v/>
      </c>
      <c r="E31" s="32" t="inlineStr">
        <is>
          <t>Accrual. TRUE NOI $121,977.70 - no debt service or depreciation. Expenses include real property taxes $69,401.60. R0157664</t>
        </is>
      </c>
    </row>
    <row r="32">
      <c r="A32" s="40" t="inlineStr">
        <is>
          <t>Alpine Park II - CY2023</t>
        </is>
      </c>
      <c r="B32" s="37" t="n">
        <v>256200</v>
      </c>
      <c r="C32" s="37" t="n">
        <v>91938.17999999999</v>
      </c>
      <c r="D32" s="41">
        <f>B32-C32</f>
        <v/>
      </c>
      <c r="E32" s="32" t="inlineStr">
        <is>
          <t>Accrual. TRUE NOI $164,261.82. Real property taxes $59,985.48. R0157664</t>
        </is>
      </c>
    </row>
    <row r="33">
      <c r="A33" s="40" t="inlineStr">
        <is>
          <t>Alpine Park II - CY2022</t>
        </is>
      </c>
      <c r="B33" s="37" t="n">
        <v>258992.67</v>
      </c>
      <c r="C33" s="37" t="n">
        <v>96393.71000000001</v>
      </c>
      <c r="D33" s="41">
        <f>B33-C33</f>
        <v/>
      </c>
      <c r="E33" s="32" t="inlineStr">
        <is>
          <t>Accrual. NOI $162,598.96; net income after $5,791.72 of capital improvements = $156,807.24. R0157664</t>
        </is>
      </c>
    </row>
    <row r="34">
      <c r="A34" s="40" t="inlineStr">
        <is>
          <t>Alpine Park II - CY2021</t>
        </is>
      </c>
      <c r="B34" s="37" t="n">
        <v>289136.52</v>
      </c>
      <c r="C34" s="37" t="n">
        <v>74778.87</v>
      </c>
      <c r="D34" s="41">
        <f>B34-C34</f>
        <v/>
      </c>
      <c r="E34" s="32" t="inlineStr">
        <is>
          <t>Accrual. NOI $214,357.65; net income after $2,642.04 of capital improvements = $211,715.61. R0157664</t>
        </is>
      </c>
    </row>
    <row r="35">
      <c r="A35" s="40" t="inlineStr">
        <is>
          <t>Park 70 - YE2024</t>
        </is>
      </c>
      <c r="B35" s="37" t="n">
        <v>2146279</v>
      </c>
      <c r="C35" s="37" t="n">
        <v>1307976</v>
      </c>
      <c r="D35" s="41">
        <f>B35-C35</f>
        <v/>
      </c>
      <c r="E35" s="32" t="inlineStr">
        <is>
          <t>Actual. TRUE NOI $838,303 ($5.13 PSF). Expenses include property taxes $912,402 and $1,118 of non-recoverable expense. 100% occupied. R0180894</t>
        </is>
      </c>
    </row>
    <row r="36">
      <c r="A36" s="40" t="inlineStr">
        <is>
          <t>Park 70 - YE2023</t>
        </is>
      </c>
      <c r="B36" s="37" t="n">
        <v>2148674</v>
      </c>
      <c r="C36" s="37" t="n">
        <v>1297289</v>
      </c>
      <c r="D36" s="41">
        <f>B36-C36</f>
        <v/>
      </c>
      <c r="E36" s="32" t="inlineStr">
        <is>
          <t>Actual. NOI $851,385 ($5.21 PSF). Property taxes $923,586; non-recoverable $17,221. R0180894</t>
        </is>
      </c>
    </row>
    <row r="37">
      <c r="A37" s="40" t="inlineStr">
        <is>
          <t>Park 70 - YE2022</t>
        </is>
      </c>
      <c r="B37" s="37" t="n">
        <v>1635142</v>
      </c>
      <c r="C37" s="37" t="n">
        <v>765306</v>
      </c>
      <c r="D37" s="41">
        <f>B37-C37</f>
        <v/>
      </c>
      <c r="E37" s="32" t="inlineStr">
        <is>
          <t>Actual. NOI $869,836 ($5.32 PSF). Property taxes $533,285; non-recoverable $8,751. R0180894</t>
        </is>
      </c>
    </row>
    <row r="38">
      <c r="A38" s="40" t="inlineStr">
        <is>
          <t>2850 Walden Street - 2025 (owner schedule)</t>
        </is>
      </c>
      <c r="B38" s="37" t="n">
        <v>210589</v>
      </c>
      <c r="C38" s="37" t="n">
        <v>158923</v>
      </c>
      <c r="D38" s="41">
        <f>B38-C38</f>
        <v/>
      </c>
      <c r="E38" s="32" t="inlineStr">
        <is>
          <t>Owner's rent schedule. The only expense the owner bears is property tax; the tenant pays everything else. Net $51,666 - a 1.14% return on the assessor's $4,531,688. R0164287</t>
        </is>
      </c>
    </row>
    <row r="40">
      <c r="A40" s="18" t="inlineStr">
        <is>
          <t>Net = Total Income − Total Expense as printed. Bases differ: 5970 Marion &amp; Broadview totals include financing/depreciation, so they are cash-flow / tax figures, not NOI. TempTee reported operating expenses only. See 'Assessments &amp; Valuation' tab for stabilized NOI proformas.</t>
        </is>
      </c>
      <c r="B40" s="20" t="n"/>
      <c r="C40" s="20" t="n"/>
      <c r="D40" s="20" t="n"/>
      <c r="E40" s="21" t="n"/>
    </row>
  </sheetData>
  <mergeCells count="3">
    <mergeCell ref="A2:E2"/>
    <mergeCell ref="A1:E1"/>
    <mergeCell ref="A40:E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48"/>
  <sheetViews>
    <sheetView workbookViewId="0">
      <pane ySplit="4" topLeftCell="A5" activePane="bottomLeft" state="frozen"/>
      <selection pane="bottomLeft" activeCell="A1" sqref="A1"/>
    </sheetView>
  </sheetViews>
  <sheetFormatPr baseColWidth="8" defaultRowHeight="15"/>
  <cols>
    <col width="32" customWidth="1" min="1" max="1"/>
    <col width="12" customWidth="1" min="2" max="2"/>
    <col width="34" customWidth="1" min="3" max="3"/>
    <col width="16" customWidth="1" min="4" max="4"/>
    <col width="46" customWidth="1" min="5" max="5"/>
  </cols>
  <sheetData>
    <row r="1" ht="26" customHeight="1">
      <c r="A1" s="1" t="inlineStr">
        <is>
          <t>INCOME &amp; EXPENSE DETAIL</t>
        </is>
      </c>
    </row>
    <row r="2" ht="14" customHeight="1">
      <c r="A2" s="2" t="inlineStr">
        <is>
          <t>Line-item detail by property/year. Totals use =SUM to cross-check printed figures.</t>
        </is>
      </c>
    </row>
    <row r="4" ht="28" customHeight="1">
      <c r="A4" s="4" t="inlineStr">
        <is>
          <t>Property / Year</t>
        </is>
      </c>
      <c r="B4" s="4" t="inlineStr">
        <is>
          <t>Category</t>
        </is>
      </c>
      <c r="C4" s="4" t="inlineStr">
        <is>
          <t>Line Item / Account</t>
        </is>
      </c>
      <c r="D4" s="4" t="inlineStr">
        <is>
          <t>Amount</t>
        </is>
      </c>
      <c r="E4" s="4" t="inlineStr">
        <is>
          <t>Notes</t>
        </is>
      </c>
    </row>
    <row r="5">
      <c r="A5" s="6" t="inlineStr">
        <is>
          <t>5970 Marion Drive — FY2024</t>
        </is>
      </c>
      <c r="B5" s="25" t="inlineStr">
        <is>
          <t>Income</t>
        </is>
      </c>
      <c r="C5" s="6" t="inlineStr">
        <is>
          <t>4001 - Rent (Units 1 &amp; 2)</t>
        </is>
      </c>
      <c r="D5" s="22" t="n">
        <v>168399.6</v>
      </c>
      <c r="E5" s="6" t="inlineStr">
        <is>
          <t>Whatever It Takes Transmissions + Integrated Turf Solutions</t>
        </is>
      </c>
    </row>
    <row r="6">
      <c r="A6" s="6" t="inlineStr">
        <is>
          <t>5970 Marion Drive — FY2024</t>
        </is>
      </c>
      <c r="B6" s="25" t="inlineStr">
        <is>
          <t>Income</t>
        </is>
      </c>
      <c r="C6" s="6" t="inlineStr">
        <is>
          <t>4200 - CAM Escrows</t>
        </is>
      </c>
      <c r="D6" s="22" t="n">
        <v>81272.60000000001</v>
      </c>
      <c r="E6" s="6" t="inlineStr">
        <is>
          <t>CAM recoveries</t>
        </is>
      </c>
    </row>
    <row r="7">
      <c r="A7" s="11" t="inlineStr">
        <is>
          <t>5970 Marion Drive — FY2024</t>
        </is>
      </c>
      <c r="B7" s="26" t="inlineStr">
        <is>
          <t>Income</t>
        </is>
      </c>
      <c r="C7" s="12" t="inlineStr">
        <is>
          <t>TOTAL INCOME</t>
        </is>
      </c>
      <c r="D7" s="23">
        <f>SUM(D5:D6)</f>
        <v/>
      </c>
      <c r="E7" s="18" t="inlineStr">
        <is>
          <t>Printed total: $249,672.20.</t>
        </is>
      </c>
    </row>
    <row r="8">
      <c r="A8" s="6" t="inlineStr">
        <is>
          <t>5970 Marion Drive — FY2024</t>
        </is>
      </c>
      <c r="B8" s="27" t="inlineStr">
        <is>
          <t>Expense</t>
        </is>
      </c>
      <c r="C8" s="6" t="inlineStr">
        <is>
          <t>Utilities - Water</t>
        </is>
      </c>
      <c r="D8" s="22" t="n">
        <v>2175.55</v>
      </c>
      <c r="E8" s="6" t="inlineStr"/>
    </row>
    <row r="9">
      <c r="A9" s="6" t="inlineStr">
        <is>
          <t>5970 Marion Drive — FY2024</t>
        </is>
      </c>
      <c r="B9" s="27" t="inlineStr">
        <is>
          <t>Expense</t>
        </is>
      </c>
      <c r="C9" s="6" t="inlineStr">
        <is>
          <t>Utilities - Sewer</t>
        </is>
      </c>
      <c r="D9" s="22" t="n">
        <v>394.3</v>
      </c>
      <c r="E9" s="6" t="inlineStr"/>
    </row>
    <row r="10">
      <c r="A10" s="6" t="inlineStr">
        <is>
          <t>5970 Marion Drive — FY2024</t>
        </is>
      </c>
      <c r="B10" s="27" t="inlineStr">
        <is>
          <t>Expense</t>
        </is>
      </c>
      <c r="C10" s="6" t="inlineStr">
        <is>
          <t>Inspection &amp; Compliance</t>
        </is>
      </c>
      <c r="D10" s="22" t="n">
        <v>100</v>
      </c>
      <c r="E10" s="6" t="inlineStr"/>
    </row>
    <row r="11">
      <c r="A11" s="6" t="inlineStr">
        <is>
          <t>5970 Marion Drive — FY2024</t>
        </is>
      </c>
      <c r="B11" s="27" t="inlineStr">
        <is>
          <t>Expense</t>
        </is>
      </c>
      <c r="C11" s="6" t="inlineStr">
        <is>
          <t>Snow Removal</t>
        </is>
      </c>
      <c r="D11" s="22" t="n">
        <v>927.47</v>
      </c>
      <c r="E11" s="6" t="inlineStr"/>
    </row>
    <row r="12">
      <c r="A12" s="6" t="inlineStr">
        <is>
          <t>5970 Marion Drive — FY2024</t>
        </is>
      </c>
      <c r="B12" s="27" t="inlineStr">
        <is>
          <t>Expense</t>
        </is>
      </c>
      <c r="C12" s="6" t="inlineStr">
        <is>
          <t>Common Area Clean</t>
        </is>
      </c>
      <c r="D12" s="22" t="n">
        <v>200</v>
      </c>
      <c r="E12" s="6" t="inlineStr"/>
    </row>
    <row r="13">
      <c r="A13" s="6" t="inlineStr">
        <is>
          <t>5970 Marion Drive — FY2024</t>
        </is>
      </c>
      <c r="B13" s="27" t="inlineStr">
        <is>
          <t>Expense</t>
        </is>
      </c>
      <c r="C13" s="6" t="inlineStr">
        <is>
          <t>Property Management</t>
        </is>
      </c>
      <c r="D13" s="22" t="n">
        <v>6000</v>
      </c>
      <c r="E13" s="6" t="inlineStr">
        <is>
          <t>Deerwoods</t>
        </is>
      </c>
    </row>
    <row r="14">
      <c r="A14" s="6" t="inlineStr">
        <is>
          <t>5970 Marion Drive — FY2024</t>
        </is>
      </c>
      <c r="B14" s="27" t="inlineStr">
        <is>
          <t>Expense</t>
        </is>
      </c>
      <c r="C14" s="6" t="inlineStr">
        <is>
          <t>Eviction Fees</t>
        </is>
      </c>
      <c r="D14" s="22" t="n">
        <v>0</v>
      </c>
      <c r="E14" s="6" t="inlineStr">
        <is>
          <t>net $0</t>
        </is>
      </c>
    </row>
    <row r="15">
      <c r="A15" s="6" t="inlineStr">
        <is>
          <t>5970 Marion Drive — FY2024</t>
        </is>
      </c>
      <c r="B15" s="27" t="inlineStr">
        <is>
          <t>Expense</t>
        </is>
      </c>
      <c r="C15" s="6" t="inlineStr">
        <is>
          <t>Insurance</t>
        </is>
      </c>
      <c r="D15" s="22" t="n">
        <v>10241.26</v>
      </c>
      <c r="E15" s="6" t="inlineStr">
        <is>
          <t>Farmers</t>
        </is>
      </c>
    </row>
    <row r="16">
      <c r="A16" s="6" t="inlineStr">
        <is>
          <t>5970 Marion Drive — FY2024</t>
        </is>
      </c>
      <c r="B16" s="27" t="inlineStr">
        <is>
          <t>Expense</t>
        </is>
      </c>
      <c r="C16" s="6" t="inlineStr">
        <is>
          <t>Taxes - Real Property</t>
        </is>
      </c>
      <c r="D16" s="22" t="n">
        <v>62852.62</v>
      </c>
      <c r="E16" s="6" t="inlineStr">
        <is>
          <t>Adams Co.</t>
        </is>
      </c>
    </row>
    <row r="17">
      <c r="A17" s="6" t="inlineStr">
        <is>
          <t>5970 Marion Drive — FY2024</t>
        </is>
      </c>
      <c r="B17" s="27" t="inlineStr">
        <is>
          <t>Expense</t>
        </is>
      </c>
      <c r="C17" s="6" t="inlineStr">
        <is>
          <t>Taxes Other</t>
        </is>
      </c>
      <c r="D17" s="22" t="n">
        <v>800</v>
      </c>
      <c r="E17" s="6" t="inlineStr"/>
    </row>
    <row r="18">
      <c r="A18" s="6" t="inlineStr">
        <is>
          <t>5970 Marion Drive — FY2024</t>
        </is>
      </c>
      <c r="B18" s="27" t="inlineStr">
        <is>
          <t>Expense</t>
        </is>
      </c>
      <c r="C18" s="6" t="inlineStr">
        <is>
          <t>Mortgage Principal</t>
        </is>
      </c>
      <c r="D18" s="22" t="n">
        <v>27586.31</v>
      </c>
      <c r="E18" s="6" t="inlineStr">
        <is>
          <t>Alpine Bank</t>
        </is>
      </c>
    </row>
    <row r="19">
      <c r="A19" s="6" t="inlineStr">
        <is>
          <t>5970 Marion Drive — FY2024</t>
        </is>
      </c>
      <c r="B19" s="27" t="inlineStr">
        <is>
          <t>Expense</t>
        </is>
      </c>
      <c r="C19" s="6" t="inlineStr">
        <is>
          <t>Mortgage Interest</t>
        </is>
      </c>
      <c r="D19" s="22" t="n">
        <v>50738.17</v>
      </c>
      <c r="E19" s="6" t="inlineStr">
        <is>
          <t>Alpine Bank</t>
        </is>
      </c>
    </row>
    <row r="20">
      <c r="A20" s="6" t="inlineStr">
        <is>
          <t>5970 Marion Drive — FY2024</t>
        </is>
      </c>
      <c r="B20" s="27" t="inlineStr">
        <is>
          <t>Expense</t>
        </is>
      </c>
      <c r="C20" s="6" t="inlineStr">
        <is>
          <t>Legal &amp; Professional</t>
        </is>
      </c>
      <c r="D20" s="22" t="n">
        <v>465</v>
      </c>
      <c r="E20" s="6" t="inlineStr"/>
    </row>
    <row r="21">
      <c r="A21" s="6" t="inlineStr">
        <is>
          <t>5970 Marion Drive — FY2024</t>
        </is>
      </c>
      <c r="B21" s="27" t="inlineStr">
        <is>
          <t>Expense</t>
        </is>
      </c>
      <c r="C21" s="6" t="inlineStr">
        <is>
          <t>Other</t>
        </is>
      </c>
      <c r="D21" s="22" t="n">
        <v>293.68</v>
      </c>
      <c r="E21" s="6" t="inlineStr"/>
    </row>
    <row r="22">
      <c r="A22" s="11" t="inlineStr">
        <is>
          <t>5970 Marion Drive — FY2024</t>
        </is>
      </c>
      <c r="B22" s="28" t="inlineStr">
        <is>
          <t>Expense</t>
        </is>
      </c>
      <c r="C22" s="12" t="inlineStr">
        <is>
          <t>TOTAL EXPENSE</t>
        </is>
      </c>
      <c r="D22" s="23">
        <f>SUM(D8:D21)</f>
        <v/>
      </c>
      <c r="E22" s="18" t="inlineStr">
        <is>
          <t>Printed total: $162,774.36. cash basis; incl. debt service &amp; property taxes</t>
        </is>
      </c>
    </row>
    <row r="23">
      <c r="A23" s="6" t="inlineStr">
        <is>
          <t>5970 Marion Drive — FY2023</t>
        </is>
      </c>
      <c r="B23" s="25" t="inlineStr">
        <is>
          <t>Income</t>
        </is>
      </c>
      <c r="C23" s="6" t="inlineStr">
        <is>
          <t>CAM Escrows</t>
        </is>
      </c>
      <c r="D23" s="22" t="n">
        <v>89143.03999999999</v>
      </c>
      <c r="E23" s="6" t="inlineStr"/>
    </row>
    <row r="24">
      <c r="A24" s="6" t="inlineStr">
        <is>
          <t>5970 Marion Drive — FY2023</t>
        </is>
      </c>
      <c r="B24" s="25" t="inlineStr">
        <is>
          <t>Income</t>
        </is>
      </c>
      <c r="C24" s="6" t="inlineStr">
        <is>
          <t>Prior Year CAM</t>
        </is>
      </c>
      <c r="D24" s="22" t="n">
        <v>523.01</v>
      </c>
      <c r="E24" s="6" t="inlineStr"/>
    </row>
    <row r="25">
      <c r="A25" s="6" t="inlineStr">
        <is>
          <t>5970 Marion Drive — FY2023</t>
        </is>
      </c>
      <c r="B25" s="25" t="inlineStr">
        <is>
          <t>Income</t>
        </is>
      </c>
      <c r="C25" s="6" t="inlineStr">
        <is>
          <t>Tenant Admin Fees</t>
        </is>
      </c>
      <c r="D25" s="22" t="n">
        <v>500</v>
      </c>
      <c r="E25" s="6" t="inlineStr"/>
    </row>
    <row r="26">
      <c r="A26" s="6" t="inlineStr">
        <is>
          <t>5970 Marion Drive — FY2023</t>
        </is>
      </c>
      <c r="B26" s="25" t="inlineStr">
        <is>
          <t>Income</t>
        </is>
      </c>
      <c r="C26" s="6" t="inlineStr">
        <is>
          <t>Rent Income</t>
        </is>
      </c>
      <c r="D26" s="22" t="n">
        <v>157145.5</v>
      </c>
      <c r="E26" s="6" t="inlineStr"/>
    </row>
    <row r="27">
      <c r="A27" s="11" t="inlineStr">
        <is>
          <t>5970 Marion Drive — FY2023</t>
        </is>
      </c>
      <c r="B27" s="26" t="inlineStr">
        <is>
          <t>Income</t>
        </is>
      </c>
      <c r="C27" s="12" t="inlineStr">
        <is>
          <t>TOTAL INCOME</t>
        </is>
      </c>
      <c r="D27" s="23">
        <f>SUM(D23:D26)</f>
        <v/>
      </c>
      <c r="E27" s="18" t="inlineStr">
        <is>
          <t>Printed total: $247,311.55.</t>
        </is>
      </c>
    </row>
    <row r="28">
      <c r="A28" s="6" t="inlineStr">
        <is>
          <t>5970 Marion Drive — FY2023</t>
        </is>
      </c>
      <c r="B28" s="27" t="inlineStr">
        <is>
          <t>Expense</t>
        </is>
      </c>
      <c r="C28" s="6" t="inlineStr">
        <is>
          <t>Electrical Repairs &amp; Lighting</t>
        </is>
      </c>
      <c r="D28" s="22" t="n">
        <v>1550</v>
      </c>
      <c r="E28" s="6" t="inlineStr"/>
    </row>
    <row r="29">
      <c r="A29" s="6" t="inlineStr">
        <is>
          <t>5970 Marion Drive — FY2023</t>
        </is>
      </c>
      <c r="B29" s="27" t="inlineStr">
        <is>
          <t>Expense</t>
        </is>
      </c>
      <c r="C29" s="6" t="inlineStr">
        <is>
          <t>Roofing Repairs</t>
        </is>
      </c>
      <c r="D29" s="22" t="n">
        <v>47000</v>
      </c>
      <c r="E29" s="6" t="inlineStr"/>
    </row>
    <row r="30">
      <c r="A30" s="6" t="inlineStr">
        <is>
          <t>5970 Marion Drive — FY2023</t>
        </is>
      </c>
      <c r="B30" s="27" t="inlineStr">
        <is>
          <t>Expense</t>
        </is>
      </c>
      <c r="C30" s="6" t="inlineStr">
        <is>
          <t>Drywall Repairs</t>
        </is>
      </c>
      <c r="D30" s="22" t="n">
        <v>810</v>
      </c>
      <c r="E30" s="6" t="inlineStr"/>
    </row>
    <row r="31">
      <c r="A31" s="6" t="inlineStr">
        <is>
          <t>5970 Marion Drive — FY2023</t>
        </is>
      </c>
      <c r="B31" s="27" t="inlineStr">
        <is>
          <t>Expense</t>
        </is>
      </c>
      <c r="C31" s="6" t="inlineStr">
        <is>
          <t>Snow Removal</t>
        </is>
      </c>
      <c r="D31" s="22" t="n">
        <v>1016.31</v>
      </c>
      <c r="E31" s="6" t="inlineStr"/>
    </row>
    <row r="32">
      <c r="A32" s="6" t="inlineStr">
        <is>
          <t>5970 Marion Drive — FY2023</t>
        </is>
      </c>
      <c r="B32" s="27" t="inlineStr">
        <is>
          <t>Expense</t>
        </is>
      </c>
      <c r="C32" s="6" t="inlineStr">
        <is>
          <t>Utilities - Water</t>
        </is>
      </c>
      <c r="D32" s="22" t="n">
        <v>2157.08</v>
      </c>
      <c r="E32" s="6" t="inlineStr"/>
    </row>
    <row r="33">
      <c r="A33" s="6" t="inlineStr">
        <is>
          <t>5970 Marion Drive — FY2023</t>
        </is>
      </c>
      <c r="B33" s="27" t="inlineStr">
        <is>
          <t>Expense</t>
        </is>
      </c>
      <c r="C33" s="6" t="inlineStr">
        <is>
          <t>Trash</t>
        </is>
      </c>
      <c r="D33" s="22" t="n">
        <v>151.01</v>
      </c>
      <c r="E33" s="6" t="inlineStr"/>
    </row>
    <row r="34">
      <c r="A34" s="6" t="inlineStr">
        <is>
          <t>5970 Marion Drive — FY2023</t>
        </is>
      </c>
      <c r="B34" s="27" t="inlineStr">
        <is>
          <t>Expense</t>
        </is>
      </c>
      <c r="C34" s="6" t="inlineStr">
        <is>
          <t>Inspection &amp; Compliance</t>
        </is>
      </c>
      <c r="D34" s="22" t="n">
        <v>110</v>
      </c>
      <c r="E34" s="6" t="inlineStr"/>
    </row>
    <row r="35">
      <c r="A35" s="6" t="inlineStr">
        <is>
          <t>5970 Marion Drive — FY2023</t>
        </is>
      </c>
      <c r="B35" s="27" t="inlineStr">
        <is>
          <t>Expense</t>
        </is>
      </c>
      <c r="C35" s="6" t="inlineStr">
        <is>
          <t>Property Management</t>
        </is>
      </c>
      <c r="D35" s="22" t="n">
        <v>6000</v>
      </c>
      <c r="E35" s="6" t="inlineStr"/>
    </row>
    <row r="36">
      <c r="A36" s="6" t="inlineStr">
        <is>
          <t>5970 Marion Drive — FY2023</t>
        </is>
      </c>
      <c r="B36" s="27" t="inlineStr">
        <is>
          <t>Expense</t>
        </is>
      </c>
      <c r="C36" s="6" t="inlineStr">
        <is>
          <t>Bank fees</t>
        </is>
      </c>
      <c r="D36" s="22" t="n">
        <v>180</v>
      </c>
      <c r="E36" s="6" t="inlineStr"/>
    </row>
    <row r="37">
      <c r="A37" s="6" t="inlineStr">
        <is>
          <t>5970 Marion Drive — FY2023</t>
        </is>
      </c>
      <c r="B37" s="27" t="inlineStr">
        <is>
          <t>Expense</t>
        </is>
      </c>
      <c r="C37" s="6" t="inlineStr">
        <is>
          <t>Insurance</t>
        </is>
      </c>
      <c r="D37" s="22" t="n">
        <v>8640.99</v>
      </c>
      <c r="E37" s="6" t="inlineStr"/>
    </row>
    <row r="38">
      <c r="A38" s="6" t="inlineStr">
        <is>
          <t>5970 Marion Drive — FY2023</t>
        </is>
      </c>
      <c r="B38" s="27" t="inlineStr">
        <is>
          <t>Expense</t>
        </is>
      </c>
      <c r="C38" s="6" t="inlineStr">
        <is>
          <t>Taxes - Real Property</t>
        </is>
      </c>
      <c r="D38" s="22" t="n">
        <v>37726.76</v>
      </c>
      <c r="E38" s="6" t="inlineStr"/>
    </row>
    <row r="39">
      <c r="A39" s="6" t="inlineStr">
        <is>
          <t>5970 Marion Drive — FY2023</t>
        </is>
      </c>
      <c r="B39" s="27" t="inlineStr">
        <is>
          <t>Expense</t>
        </is>
      </c>
      <c r="C39" s="6" t="inlineStr">
        <is>
          <t>Taxes Other</t>
        </is>
      </c>
      <c r="D39" s="22" t="n">
        <v>4968.83</v>
      </c>
      <c r="E39" s="6" t="inlineStr"/>
    </row>
    <row r="40">
      <c r="A40" s="6" t="inlineStr">
        <is>
          <t>5970 Marion Drive — FY2023</t>
        </is>
      </c>
      <c r="B40" s="27" t="inlineStr">
        <is>
          <t>Expense</t>
        </is>
      </c>
      <c r="C40" s="6" t="inlineStr">
        <is>
          <t>Mortgage Principal</t>
        </is>
      </c>
      <c r="D40" s="22" t="n">
        <v>26699.59</v>
      </c>
      <c r="E40" s="6" t="inlineStr"/>
    </row>
    <row r="41">
      <c r="A41" s="6" t="inlineStr">
        <is>
          <t>5970 Marion Drive — FY2023</t>
        </is>
      </c>
      <c r="B41" s="27" t="inlineStr">
        <is>
          <t>Expense</t>
        </is>
      </c>
      <c r="C41" s="6" t="inlineStr">
        <is>
          <t>Mortgage Interest</t>
        </is>
      </c>
      <c r="D41" s="22" t="n">
        <v>51624.89</v>
      </c>
      <c r="E41" s="6" t="inlineStr"/>
    </row>
    <row r="42">
      <c r="A42" s="11" t="inlineStr">
        <is>
          <t>5970 Marion Drive — FY2023</t>
        </is>
      </c>
      <c r="B42" s="28" t="inlineStr">
        <is>
          <t>Expense</t>
        </is>
      </c>
      <c r="C42" s="12" t="inlineStr">
        <is>
          <t>TOTAL EXPENSE</t>
        </is>
      </c>
      <c r="D42" s="23">
        <f>SUM(D28:D41)</f>
        <v/>
      </c>
      <c r="E42" s="18" t="inlineStr">
        <is>
          <t>Printed total: $188,635.46. cash basis; Owner Draw $100,000 (financing) excluded</t>
        </is>
      </c>
    </row>
    <row r="43">
      <c r="A43" s="6" t="inlineStr">
        <is>
          <t>2011 E 58th (TempTee) — 2024</t>
        </is>
      </c>
      <c r="B43" s="27" t="inlineStr">
        <is>
          <t>Expense</t>
        </is>
      </c>
      <c r="C43" s="6" t="inlineStr">
        <is>
          <t>Advertising (leasing)</t>
        </is>
      </c>
      <c r="D43" s="22" t="n">
        <v>0</v>
      </c>
      <c r="E43" s="6" t="inlineStr"/>
    </row>
    <row r="44">
      <c r="A44" s="6" t="inlineStr">
        <is>
          <t>2011 E 58th (TempTee) — 2024</t>
        </is>
      </c>
      <c r="B44" s="27" t="inlineStr">
        <is>
          <t>Expense</t>
        </is>
      </c>
      <c r="C44" s="6" t="inlineStr">
        <is>
          <t>Building Insurance</t>
        </is>
      </c>
      <c r="D44" s="22" t="n">
        <v>14050</v>
      </c>
      <c r="E44" s="6" t="inlineStr"/>
    </row>
    <row r="45">
      <c r="A45" s="6" t="inlineStr">
        <is>
          <t>2011 E 58th (TempTee) — 2024</t>
        </is>
      </c>
      <c r="B45" s="27" t="inlineStr">
        <is>
          <t>Expense</t>
        </is>
      </c>
      <c r="C45" s="6" t="inlineStr">
        <is>
          <t>Building Repair &amp; Maintenance</t>
        </is>
      </c>
      <c r="D45" s="22" t="n">
        <v>10000</v>
      </c>
      <c r="E45" s="6" t="inlineStr"/>
    </row>
    <row r="46">
      <c r="A46" s="6" t="inlineStr">
        <is>
          <t>2011 E 58th (TempTee) — 2024</t>
        </is>
      </c>
      <c r="B46" s="27" t="inlineStr">
        <is>
          <t>Expense</t>
        </is>
      </c>
      <c r="C46" s="6" t="inlineStr">
        <is>
          <t>Ground Maintenance</t>
        </is>
      </c>
      <c r="D46" s="22" t="n">
        <v>0</v>
      </c>
      <c r="E46" s="6" t="inlineStr">
        <is>
          <t>'in house'</t>
        </is>
      </c>
    </row>
    <row r="47">
      <c r="A47" s="6" t="inlineStr">
        <is>
          <t>2011 E 58th (TempTee) — 2024</t>
        </is>
      </c>
      <c r="B47" s="27" t="inlineStr">
        <is>
          <t>Expense</t>
        </is>
      </c>
      <c r="C47" s="6" t="inlineStr">
        <is>
          <t>Janitorial</t>
        </is>
      </c>
      <c r="D47" s="22" t="n">
        <v>0</v>
      </c>
      <c r="E47" s="6" t="inlineStr">
        <is>
          <t>'in house'</t>
        </is>
      </c>
    </row>
    <row r="48">
      <c r="A48" s="6" t="inlineStr">
        <is>
          <t>2011 E 58th (TempTee) — 2024</t>
        </is>
      </c>
      <c r="B48" s="27" t="inlineStr">
        <is>
          <t>Expense</t>
        </is>
      </c>
      <c r="C48" s="6" t="inlineStr">
        <is>
          <t>Leasing Commissions</t>
        </is>
      </c>
      <c r="D48" s="22" t="n">
        <v>0</v>
      </c>
      <c r="E48" s="6" t="inlineStr"/>
    </row>
    <row r="49">
      <c r="A49" s="6" t="inlineStr">
        <is>
          <t>2011 E 58th (TempTee) — 2024</t>
        </is>
      </c>
      <c r="B49" s="27" t="inlineStr">
        <is>
          <t>Expense</t>
        </is>
      </c>
      <c r="C49" s="6" t="inlineStr">
        <is>
          <t>Management</t>
        </is>
      </c>
      <c r="D49" s="22" t="n">
        <v>0</v>
      </c>
      <c r="E49" s="6" t="inlineStr"/>
    </row>
    <row r="50">
      <c r="A50" s="6" t="inlineStr">
        <is>
          <t>2011 E 58th (TempTee) — 2024</t>
        </is>
      </c>
      <c r="B50" s="27" t="inlineStr">
        <is>
          <t>Expense</t>
        </is>
      </c>
      <c r="C50" s="6" t="inlineStr">
        <is>
          <t>Snow/Trash Removal</t>
        </is>
      </c>
      <c r="D50" s="22" t="n">
        <v>12000</v>
      </c>
      <c r="E50" s="6" t="inlineStr"/>
    </row>
    <row r="51">
      <c r="A51" s="6" t="inlineStr">
        <is>
          <t>2011 E 58th (TempTee) — 2024</t>
        </is>
      </c>
      <c r="B51" s="27" t="inlineStr">
        <is>
          <t>Expense</t>
        </is>
      </c>
      <c r="C51" s="6" t="inlineStr">
        <is>
          <t>Utilities</t>
        </is>
      </c>
      <c r="D51" s="22" t="n">
        <v>102000</v>
      </c>
      <c r="E51" s="6" t="inlineStr"/>
    </row>
    <row r="52">
      <c r="A52" s="11" t="inlineStr">
        <is>
          <t>2011 E 58th (TempTee) — 2024</t>
        </is>
      </c>
      <c r="B52" s="28" t="inlineStr">
        <is>
          <t>Expense</t>
        </is>
      </c>
      <c r="C52" s="12" t="inlineStr">
        <is>
          <t>TOTAL EXPENSE</t>
        </is>
      </c>
      <c r="D52" s="23">
        <f>SUM(D43:D51)</f>
        <v/>
      </c>
      <c r="E52" s="18" t="inlineStr">
        <is>
          <t>Printed total: $138,050.00. Adams Co. survey; 100% owner-occupied (~17,000 SF); 'in house' items = $0</t>
        </is>
      </c>
    </row>
    <row r="53">
      <c r="A53" s="6" t="inlineStr">
        <is>
          <t>125 Bridge St (Broadview) — Form 8825</t>
        </is>
      </c>
      <c r="B53" s="25" t="inlineStr">
        <is>
          <t>Income</t>
        </is>
      </c>
      <c r="C53" s="6" t="inlineStr">
        <is>
          <t>Gross rents</t>
        </is>
      </c>
      <c r="D53" s="22" t="n">
        <v>307817</v>
      </c>
      <c r="E53" s="6" t="inlineStr">
        <is>
          <t>IRS Form 8825, Property A (125 Bridge St, COMMERCIAL)</t>
        </is>
      </c>
    </row>
    <row r="54">
      <c r="A54" s="11" t="inlineStr">
        <is>
          <t>125 Bridge St (Broadview) — Form 8825</t>
        </is>
      </c>
      <c r="B54" s="26" t="inlineStr">
        <is>
          <t>Income</t>
        </is>
      </c>
      <c r="C54" s="12" t="inlineStr">
        <is>
          <t>TOTAL INCOME</t>
        </is>
      </c>
      <c r="D54" s="23">
        <f>SUM(D53:D53)</f>
        <v/>
      </c>
      <c r="E54" s="18" t="inlineStr">
        <is>
          <t>Printed total: $307,817.00.</t>
        </is>
      </c>
    </row>
    <row r="55">
      <c r="A55" s="6" t="inlineStr">
        <is>
          <t>125 Bridge St (Broadview) — Form 8825</t>
        </is>
      </c>
      <c r="B55" s="27" t="inlineStr">
        <is>
          <t>Expense</t>
        </is>
      </c>
      <c r="C55" s="6" t="inlineStr">
        <is>
          <t>Advertising</t>
        </is>
      </c>
      <c r="D55" s="22" t="n">
        <v>776</v>
      </c>
      <c r="E55" s="6" t="inlineStr"/>
    </row>
    <row r="56">
      <c r="A56" s="6" t="inlineStr">
        <is>
          <t>125 Bridge St (Broadview) — Form 8825</t>
        </is>
      </c>
      <c r="B56" s="27" t="inlineStr">
        <is>
          <t>Expense</t>
        </is>
      </c>
      <c r="C56" s="6" t="inlineStr">
        <is>
          <t>Insurance</t>
        </is>
      </c>
      <c r="D56" s="22" t="n">
        <v>12004</v>
      </c>
      <c r="E56" s="6" t="inlineStr"/>
    </row>
    <row r="57">
      <c r="A57" s="6" t="inlineStr">
        <is>
          <t>125 Bridge St (Broadview) — Form 8825</t>
        </is>
      </c>
      <c r="B57" s="27" t="inlineStr">
        <is>
          <t>Expense</t>
        </is>
      </c>
      <c r="C57" s="6" t="inlineStr">
        <is>
          <t>Legal &amp; professional fees</t>
        </is>
      </c>
      <c r="D57" s="22" t="n">
        <v>10211</v>
      </c>
      <c r="E57" s="6" t="inlineStr"/>
    </row>
    <row r="58">
      <c r="A58" s="6" t="inlineStr">
        <is>
          <t>125 Bridge St (Broadview) — Form 8825</t>
        </is>
      </c>
      <c r="B58" s="27" t="inlineStr">
        <is>
          <t>Expense</t>
        </is>
      </c>
      <c r="C58" s="6" t="inlineStr">
        <is>
          <t>Interest</t>
        </is>
      </c>
      <c r="D58" s="22" t="n">
        <v>98058</v>
      </c>
      <c r="E58" s="6" t="inlineStr"/>
    </row>
    <row r="59">
      <c r="A59" s="6" t="inlineStr">
        <is>
          <t>125 Bridge St (Broadview) — Form 8825</t>
        </is>
      </c>
      <c r="B59" s="27" t="inlineStr">
        <is>
          <t>Expense</t>
        </is>
      </c>
      <c r="C59" s="6" t="inlineStr">
        <is>
          <t>Repairs</t>
        </is>
      </c>
      <c r="D59" s="22" t="n">
        <v>100279</v>
      </c>
      <c r="E59" s="6" t="inlineStr"/>
    </row>
    <row r="60">
      <c r="A60" s="6" t="inlineStr">
        <is>
          <t>125 Bridge St (Broadview) — Form 8825</t>
        </is>
      </c>
      <c r="B60" s="27" t="inlineStr">
        <is>
          <t>Expense</t>
        </is>
      </c>
      <c r="C60" s="6" t="inlineStr">
        <is>
          <t>Utilities</t>
        </is>
      </c>
      <c r="D60" s="22" t="n">
        <v>4731</v>
      </c>
      <c r="E60" s="6" t="inlineStr"/>
    </row>
    <row r="61">
      <c r="A61" s="6" t="inlineStr">
        <is>
          <t>125 Bridge St (Broadview) — Form 8825</t>
        </is>
      </c>
      <c r="B61" s="27" t="inlineStr">
        <is>
          <t>Expense</t>
        </is>
      </c>
      <c r="C61" s="6" t="inlineStr">
        <is>
          <t>Depreciation</t>
        </is>
      </c>
      <c r="D61" s="22" t="n">
        <v>47109</v>
      </c>
      <c r="E61" s="6" t="inlineStr"/>
    </row>
    <row r="62">
      <c r="A62" s="6" t="inlineStr">
        <is>
          <t>125 Bridge St (Broadview) — Form 8825</t>
        </is>
      </c>
      <c r="B62" s="27" t="inlineStr">
        <is>
          <t>Expense</t>
        </is>
      </c>
      <c r="C62" s="6" t="inlineStr">
        <is>
          <t>Meals - 100%</t>
        </is>
      </c>
      <c r="D62" s="22" t="n">
        <v>1080</v>
      </c>
      <c r="E62" s="6" t="inlineStr"/>
    </row>
    <row r="63">
      <c r="A63" s="6" t="inlineStr">
        <is>
          <t>125 Bridge St (Broadview) — Form 8825</t>
        </is>
      </c>
      <c r="B63" s="27" t="inlineStr">
        <is>
          <t>Expense</t>
        </is>
      </c>
      <c r="C63" s="6" t="inlineStr">
        <is>
          <t>Amortization</t>
        </is>
      </c>
      <c r="D63" s="22" t="n">
        <v>2166</v>
      </c>
      <c r="E63" s="6" t="inlineStr"/>
    </row>
    <row r="64">
      <c r="A64" s="6" t="inlineStr">
        <is>
          <t>125 Bridge St (Broadview) — Form 8825</t>
        </is>
      </c>
      <c r="B64" s="27" t="inlineStr">
        <is>
          <t>Expense</t>
        </is>
      </c>
      <c r="C64" s="6" t="inlineStr">
        <is>
          <t>Other (Statement #8A)</t>
        </is>
      </c>
      <c r="D64" s="22" t="n">
        <v>39767</v>
      </c>
      <c r="E64" s="6" t="inlineStr"/>
    </row>
    <row r="65">
      <c r="A65" s="11" t="inlineStr">
        <is>
          <t>125 Bridge St (Broadview) — Form 8825</t>
        </is>
      </c>
      <c r="B65" s="28" t="inlineStr">
        <is>
          <t>Expense</t>
        </is>
      </c>
      <c r="C65" s="12" t="inlineStr">
        <is>
          <t>TOTAL EXPENSE</t>
        </is>
      </c>
      <c r="D65" s="23">
        <f>SUM(D55:D64)</f>
        <v/>
      </c>
      <c r="E65" s="18" t="inlineStr">
        <is>
          <t>Printed total: $316,181.00. IRS Form 8825; net rental loss $(8,364). Tax basis (incl. depreciation, amortization &amp; interest).</t>
        </is>
      </c>
    </row>
    <row r="66">
      <c r="A66" s="32" t="inlineStr">
        <is>
          <t>18300 E 28th Ave - CY2024</t>
        </is>
      </c>
      <c r="B66" s="42" t="inlineStr">
        <is>
          <t>Income</t>
        </is>
      </c>
      <c r="C66" s="32" t="inlineStr">
        <is>
          <t>Base Rent - Industrial</t>
        </is>
      </c>
      <c r="D66" s="37" t="n">
        <v>545012.1</v>
      </c>
      <c r="E66" s="32" t="inlineStr"/>
    </row>
    <row r="67">
      <c r="A67" s="32" t="inlineStr">
        <is>
          <t>18300 E 28th Ave - CY2024</t>
        </is>
      </c>
      <c r="B67" s="42" t="inlineStr">
        <is>
          <t>Income</t>
        </is>
      </c>
      <c r="C67" s="32" t="inlineStr">
        <is>
          <t>Recovery - Current Yr CAM/Operating Exp</t>
        </is>
      </c>
      <c r="D67" s="37" t="n">
        <v>21372.13</v>
      </c>
      <c r="E67" s="32" t="inlineStr"/>
    </row>
    <row r="68">
      <c r="A68" s="32" t="inlineStr">
        <is>
          <t>18300 E 28th Ave - CY2024</t>
        </is>
      </c>
      <c r="B68" s="42" t="inlineStr">
        <is>
          <t>Income</t>
        </is>
      </c>
      <c r="C68" s="32" t="inlineStr">
        <is>
          <t>Recovery - Current Yr Insurance</t>
        </is>
      </c>
      <c r="D68" s="37" t="n">
        <v>37117.43</v>
      </c>
      <c r="E68" s="32" t="inlineStr"/>
    </row>
    <row r="69">
      <c r="A69" s="32" t="inlineStr">
        <is>
          <t>18300 E 28th Ave - CY2024</t>
        </is>
      </c>
      <c r="B69" s="42" t="inlineStr">
        <is>
          <t>Income</t>
        </is>
      </c>
      <c r="C69" s="32" t="inlineStr">
        <is>
          <t>Recovery - Current Yr Taxes</t>
        </is>
      </c>
      <c r="D69" s="37" t="n">
        <v>348999.96</v>
      </c>
      <c r="E69" s="32" t="inlineStr"/>
    </row>
    <row r="70">
      <c r="A70" s="32" t="inlineStr">
        <is>
          <t>18300 E 28th Ave - CY2024</t>
        </is>
      </c>
      <c r="B70" s="42" t="inlineStr">
        <is>
          <t>Income</t>
        </is>
      </c>
      <c r="C70" s="32" t="inlineStr">
        <is>
          <t>Recovery - Prior Yr CAM/Operating Exp</t>
        </is>
      </c>
      <c r="D70" s="37" t="n">
        <v>7784.82</v>
      </c>
      <c r="E70" s="32" t="inlineStr"/>
    </row>
    <row r="71">
      <c r="A71" s="32" t="inlineStr">
        <is>
          <t>18300 E 28th Ave - CY2024</t>
        </is>
      </c>
      <c r="B71" s="42" t="inlineStr">
        <is>
          <t>Income</t>
        </is>
      </c>
      <c r="C71" s="32" t="inlineStr">
        <is>
          <t>Recovery - Prior Yr Insurance</t>
        </is>
      </c>
      <c r="D71" s="37" t="n">
        <v>197.31</v>
      </c>
      <c r="E71" s="32" t="inlineStr"/>
    </row>
    <row r="72">
      <c r="A72" s="32" t="inlineStr">
        <is>
          <t>18300 E 28th Ave - CY2024</t>
        </is>
      </c>
      <c r="B72" s="42" t="inlineStr">
        <is>
          <t>Income</t>
        </is>
      </c>
      <c r="C72" s="32" t="inlineStr">
        <is>
          <t>Recovery - Prior Yr Taxes</t>
        </is>
      </c>
      <c r="D72" s="37" t="n">
        <v>-17188.8</v>
      </c>
      <c r="E72" s="32" t="inlineStr">
        <is>
          <t>Credit</t>
        </is>
      </c>
    </row>
    <row r="73">
      <c r="A73" s="32" t="inlineStr">
        <is>
          <t>18300 E 28th Ave - CY2024</t>
        </is>
      </c>
      <c r="B73" s="42" t="inlineStr">
        <is>
          <t>Income</t>
        </is>
      </c>
      <c r="C73" s="40" t="inlineStr">
        <is>
          <t>TOTAL REVENUE</t>
        </is>
      </c>
      <c r="D73" s="43">
        <f>SUM(D66:D72)</f>
        <v/>
      </c>
      <c r="E73" s="32" t="inlineStr">
        <is>
          <t>Printed total: $943,294.95</t>
        </is>
      </c>
    </row>
    <row r="74">
      <c r="A74" s="32" t="inlineStr">
        <is>
          <t>18300 E 28th Ave - CY2024</t>
        </is>
      </c>
      <c r="B74" s="42" t="inlineStr">
        <is>
          <t>Expense</t>
        </is>
      </c>
      <c r="C74" s="32" t="inlineStr">
        <is>
          <t>Admin - General</t>
        </is>
      </c>
      <c r="D74" s="37" t="n">
        <v>8.210000000000001</v>
      </c>
      <c r="E74" s="32" t="inlineStr"/>
    </row>
    <row r="75">
      <c r="A75" s="32" t="inlineStr">
        <is>
          <t>18300 E 28th Ave - CY2024</t>
        </is>
      </c>
      <c r="B75" s="42" t="inlineStr">
        <is>
          <t>Expense</t>
        </is>
      </c>
      <c r="C75" s="32" t="inlineStr">
        <is>
          <t>Admin - Full-Time Salaries</t>
        </is>
      </c>
      <c r="D75" s="37" t="n">
        <v>5638.74</v>
      </c>
      <c r="E75" s="32" t="inlineStr"/>
    </row>
    <row r="76">
      <c r="A76" s="32" t="inlineStr">
        <is>
          <t>18300 E 28th Ave - CY2024</t>
        </is>
      </c>
      <c r="B76" s="42" t="inlineStr">
        <is>
          <t>Expense</t>
        </is>
      </c>
      <c r="C76" s="32" t="inlineStr">
        <is>
          <t>Admin - Office Supplies &amp; Equipment</t>
        </is>
      </c>
      <c r="D76" s="37" t="n">
        <v>1.46</v>
      </c>
      <c r="E76" s="32" t="inlineStr"/>
    </row>
    <row r="77">
      <c r="A77" s="32" t="inlineStr">
        <is>
          <t>18300 E 28th Ave - CY2024</t>
        </is>
      </c>
      <c r="B77" s="42" t="inlineStr">
        <is>
          <t>Expense</t>
        </is>
      </c>
      <c r="C77" s="32" t="inlineStr">
        <is>
          <t>Professional Fee - MRI</t>
        </is>
      </c>
      <c r="D77" s="37" t="n">
        <v>3236.14</v>
      </c>
      <c r="E77" s="32" t="inlineStr"/>
    </row>
    <row r="78">
      <c r="A78" s="32" t="inlineStr">
        <is>
          <t>18300 E 28th Ave - CY2024</t>
        </is>
      </c>
      <c r="B78" s="42" t="inlineStr">
        <is>
          <t>Expense</t>
        </is>
      </c>
      <c r="C78" s="32" t="inlineStr">
        <is>
          <t>Cleaning - Pest Control</t>
        </is>
      </c>
      <c r="D78" s="37" t="n">
        <v>165</v>
      </c>
      <c r="E78" s="32" t="inlineStr"/>
    </row>
    <row r="79">
      <c r="A79" s="32" t="inlineStr">
        <is>
          <t>18300 E 28th Ave - CY2024</t>
        </is>
      </c>
      <c r="B79" s="42" t="inlineStr">
        <is>
          <t>Expense</t>
        </is>
      </c>
      <c r="C79" s="32" t="inlineStr">
        <is>
          <t>Professional Fee - Sustainability</t>
        </is>
      </c>
      <c r="D79" s="37" t="n">
        <v>1627.76</v>
      </c>
      <c r="E79" s="32" t="inlineStr"/>
    </row>
    <row r="80">
      <c r="A80" s="32" t="inlineStr">
        <is>
          <t>18300 E 28th Ave - CY2024</t>
        </is>
      </c>
      <c r="B80" s="42" t="inlineStr">
        <is>
          <t>Expense</t>
        </is>
      </c>
      <c r="C80" s="32" t="inlineStr">
        <is>
          <t>Bank Charges</t>
        </is>
      </c>
      <c r="D80" s="37" t="n">
        <v>2519.66</v>
      </c>
      <c r="E80" s="32" t="inlineStr"/>
    </row>
    <row r="81">
      <c r="A81" s="32" t="inlineStr">
        <is>
          <t>18300 E 28th Ave - CY2024</t>
        </is>
      </c>
      <c r="B81" s="42" t="inlineStr">
        <is>
          <t>Expense</t>
        </is>
      </c>
      <c r="C81" s="32" t="inlineStr">
        <is>
          <t>Management Fee</t>
        </is>
      </c>
      <c r="D81" s="37" t="n">
        <v>8175.16</v>
      </c>
      <c r="E81" s="32" t="inlineStr"/>
    </row>
    <row r="82">
      <c r="A82" s="32" t="inlineStr">
        <is>
          <t>18300 E 28th Ave - CY2024</t>
        </is>
      </c>
      <c r="B82" s="42" t="inlineStr">
        <is>
          <t>Expense</t>
        </is>
      </c>
      <c r="C82" s="32" t="inlineStr">
        <is>
          <t>Real Estate Taxes</t>
        </is>
      </c>
      <c r="D82" s="37" t="n">
        <v>348999.96</v>
      </c>
      <c r="E82" s="32" t="inlineStr"/>
    </row>
    <row r="83">
      <c r="A83" s="32" t="inlineStr">
        <is>
          <t>18300 E 28th Ave - CY2024</t>
        </is>
      </c>
      <c r="B83" s="42" t="inlineStr">
        <is>
          <t>Expense</t>
        </is>
      </c>
      <c r="C83" s="32" t="inlineStr">
        <is>
          <t>Prior Year Taxes</t>
        </is>
      </c>
      <c r="D83" s="37" t="n">
        <v>-17188.8</v>
      </c>
      <c r="E83" s="32" t="inlineStr">
        <is>
          <t>Credit</t>
        </is>
      </c>
    </row>
    <row r="84">
      <c r="A84" s="32" t="inlineStr">
        <is>
          <t>18300 E 28th Ave - CY2024</t>
        </is>
      </c>
      <c r="B84" s="42" t="inlineStr">
        <is>
          <t>Expense</t>
        </is>
      </c>
      <c r="C84" s="32" t="inlineStr">
        <is>
          <t>Insurance - Property</t>
        </is>
      </c>
      <c r="D84" s="37" t="n">
        <v>25578.36</v>
      </c>
      <c r="E84" s="32" t="inlineStr"/>
    </row>
    <row r="85">
      <c r="A85" s="32" t="inlineStr">
        <is>
          <t>18300 E 28th Ave - CY2024</t>
        </is>
      </c>
      <c r="B85" s="42" t="inlineStr">
        <is>
          <t>Expense</t>
        </is>
      </c>
      <c r="C85" s="32" t="inlineStr">
        <is>
          <t>Insurance - Liability</t>
        </is>
      </c>
      <c r="D85" s="37" t="n">
        <v>3521.23</v>
      </c>
      <c r="E85" s="32" t="inlineStr"/>
    </row>
    <row r="86">
      <c r="A86" s="32" t="inlineStr">
        <is>
          <t>18300 E 28th Ave - CY2024</t>
        </is>
      </c>
      <c r="B86" s="42" t="inlineStr">
        <is>
          <t>Expense</t>
        </is>
      </c>
      <c r="C86" s="32" t="inlineStr">
        <is>
          <t>Insurance - Other</t>
        </is>
      </c>
      <c r="D86" s="37" t="n">
        <v>8017.84</v>
      </c>
      <c r="E86" s="32" t="inlineStr"/>
    </row>
    <row r="87">
      <c r="A87" s="32" t="inlineStr">
        <is>
          <t>18300 E 28th Ave - CY2024</t>
        </is>
      </c>
      <c r="B87" s="42" t="inlineStr">
        <is>
          <t>Expense</t>
        </is>
      </c>
      <c r="C87" s="32" t="inlineStr">
        <is>
          <t>Nonrecoverable - R&amp;M Other</t>
        </is>
      </c>
      <c r="D87" s="37" t="n">
        <v>61.36</v>
      </c>
      <c r="E87" s="32" t="inlineStr"/>
    </row>
    <row r="88">
      <c r="A88" s="32" t="inlineStr">
        <is>
          <t>18300 E 28th Ave - CY2024</t>
        </is>
      </c>
      <c r="B88" s="42" t="inlineStr">
        <is>
          <t>Expense</t>
        </is>
      </c>
      <c r="C88" s="40" t="inlineStr">
        <is>
          <t>TOTAL OPERATING EXPENSES</t>
        </is>
      </c>
      <c r="D88" s="43">
        <f>SUM(D74:D87)</f>
        <v/>
      </c>
      <c r="E88" s="32" t="inlineStr">
        <is>
          <t>Printed total: $390,362.08</t>
        </is>
      </c>
    </row>
    <row r="89">
      <c r="A89" s="32" t="inlineStr">
        <is>
          <t>18300 E 28th Ave - CY2023</t>
        </is>
      </c>
      <c r="B89" s="42" t="inlineStr">
        <is>
          <t>Income</t>
        </is>
      </c>
      <c r="C89" s="32" t="inlineStr">
        <is>
          <t>Base Rent - Industrial</t>
        </is>
      </c>
      <c r="D89" s="37" t="n">
        <v>531386.87</v>
      </c>
      <c r="E89" s="32" t="inlineStr"/>
    </row>
    <row r="90">
      <c r="A90" s="32" t="inlineStr">
        <is>
          <t>18300 E 28th Ave - CY2023</t>
        </is>
      </c>
      <c r="B90" s="42" t="inlineStr">
        <is>
          <t>Income</t>
        </is>
      </c>
      <c r="C90" s="32" t="inlineStr">
        <is>
          <t>Recovery - Current Yr CAM/Operating Exp</t>
        </is>
      </c>
      <c r="D90" s="37" t="n">
        <v>18538.35</v>
      </c>
      <c r="E90" s="32" t="inlineStr"/>
    </row>
    <row r="91">
      <c r="A91" s="32" t="inlineStr">
        <is>
          <t>18300 E 28th Ave - CY2023</t>
        </is>
      </c>
      <c r="B91" s="42" t="inlineStr">
        <is>
          <t>Income</t>
        </is>
      </c>
      <c r="C91" s="32" t="inlineStr">
        <is>
          <t>Recovery - Current Yr Insurance</t>
        </is>
      </c>
      <c r="D91" s="37" t="n">
        <v>29594.51</v>
      </c>
      <c r="E91" s="32" t="inlineStr"/>
    </row>
    <row r="92">
      <c r="A92" s="32" t="inlineStr">
        <is>
          <t>18300 E 28th Ave - CY2023</t>
        </is>
      </c>
      <c r="B92" s="42" t="inlineStr">
        <is>
          <t>Income</t>
        </is>
      </c>
      <c r="C92" s="32" t="inlineStr">
        <is>
          <t>Recovery - Current Yr Taxes</t>
        </is>
      </c>
      <c r="D92" s="37" t="n">
        <v>308202.9</v>
      </c>
      <c r="E92" s="32" t="inlineStr"/>
    </row>
    <row r="93">
      <c r="A93" s="32" t="inlineStr">
        <is>
          <t>18300 E 28th Ave - CY2023</t>
        </is>
      </c>
      <c r="B93" s="42" t="inlineStr">
        <is>
          <t>Income</t>
        </is>
      </c>
      <c r="C93" s="32" t="inlineStr">
        <is>
          <t>Recovery - Prior Yr CAM/Operating Exp</t>
        </is>
      </c>
      <c r="D93" s="37" t="n">
        <v>-766.53</v>
      </c>
      <c r="E93" s="32" t="inlineStr">
        <is>
          <t>Credit</t>
        </is>
      </c>
    </row>
    <row r="94">
      <c r="A94" s="32" t="inlineStr">
        <is>
          <t>18300 E 28th Ave - CY2023</t>
        </is>
      </c>
      <c r="B94" s="42" t="inlineStr">
        <is>
          <t>Income</t>
        </is>
      </c>
      <c r="C94" s="32" t="inlineStr">
        <is>
          <t>Recovery - Prior Yr Insurance</t>
        </is>
      </c>
      <c r="D94" s="37" t="n">
        <v>-312.24</v>
      </c>
      <c r="E94" s="32" t="inlineStr">
        <is>
          <t>Credit</t>
        </is>
      </c>
    </row>
    <row r="95">
      <c r="A95" s="32" t="inlineStr">
        <is>
          <t>18300 E 28th Ave - CY2023</t>
        </is>
      </c>
      <c r="B95" s="42" t="inlineStr">
        <is>
          <t>Income</t>
        </is>
      </c>
      <c r="C95" s="32" t="inlineStr">
        <is>
          <t>Recovery - Prior Yr Taxes</t>
        </is>
      </c>
      <c r="D95" s="37" t="n">
        <v>-2961.78</v>
      </c>
      <c r="E95" s="32" t="inlineStr">
        <is>
          <t>Credit</t>
        </is>
      </c>
    </row>
    <row r="96">
      <c r="A96" s="32" t="inlineStr">
        <is>
          <t>18300 E 28th Ave - CY2023</t>
        </is>
      </c>
      <c r="B96" s="42" t="inlineStr">
        <is>
          <t>Income</t>
        </is>
      </c>
      <c r="C96" s="40" t="inlineStr">
        <is>
          <t>TOTAL REVENUE</t>
        </is>
      </c>
      <c r="D96" s="43">
        <f>SUM(D89:D95)</f>
        <v/>
      </c>
      <c r="E96" s="32" t="inlineStr">
        <is>
          <t>Printed total: $883,682.08</t>
        </is>
      </c>
    </row>
    <row r="97">
      <c r="A97" s="32" t="inlineStr">
        <is>
          <t>18300 E 28th Ave - CY2023</t>
        </is>
      </c>
      <c r="B97" s="42" t="inlineStr">
        <is>
          <t>Expense</t>
        </is>
      </c>
      <c r="C97" s="32" t="inlineStr">
        <is>
          <t>Admin - General</t>
        </is>
      </c>
      <c r="D97" s="37" t="n">
        <v>57.1</v>
      </c>
      <c r="E97" s="32" t="inlineStr"/>
    </row>
    <row r="98">
      <c r="A98" s="32" t="inlineStr">
        <is>
          <t>18300 E 28th Ave - CY2023</t>
        </is>
      </c>
      <c r="B98" s="42" t="inlineStr">
        <is>
          <t>Expense</t>
        </is>
      </c>
      <c r="C98" s="32" t="inlineStr">
        <is>
          <t>Admin - Full-Time Salaries</t>
        </is>
      </c>
      <c r="D98" s="37" t="n">
        <v>6546.36</v>
      </c>
      <c r="E98" s="32" t="inlineStr"/>
    </row>
    <row r="99">
      <c r="A99" s="32" t="inlineStr">
        <is>
          <t>18300 E 28th Ave - CY2023</t>
        </is>
      </c>
      <c r="B99" s="42" t="inlineStr">
        <is>
          <t>Expense</t>
        </is>
      </c>
      <c r="C99" s="32" t="inlineStr">
        <is>
          <t>Admin - Office Supplies &amp; Equipment</t>
        </is>
      </c>
      <c r="D99" s="37" t="n">
        <v>1.61</v>
      </c>
      <c r="E99" s="32" t="inlineStr"/>
    </row>
    <row r="100">
      <c r="A100" s="32" t="inlineStr">
        <is>
          <t>18300 E 28th Ave - CY2023</t>
        </is>
      </c>
      <c r="B100" s="42" t="inlineStr">
        <is>
          <t>Expense</t>
        </is>
      </c>
      <c r="C100" s="32" t="inlineStr">
        <is>
          <t>Professional Fee - MRI</t>
        </is>
      </c>
      <c r="D100" s="37" t="n">
        <v>2752.6</v>
      </c>
      <c r="E100" s="32" t="inlineStr"/>
    </row>
    <row r="101">
      <c r="A101" s="32" t="inlineStr">
        <is>
          <t>18300 E 28th Ave - CY2023</t>
        </is>
      </c>
      <c r="B101" s="42" t="inlineStr">
        <is>
          <t>Expense</t>
        </is>
      </c>
      <c r="C101" s="32" t="inlineStr">
        <is>
          <t>Professional Fee - Audit and Tax Filing</t>
        </is>
      </c>
      <c r="D101" s="37" t="n">
        <v>7310.78</v>
      </c>
      <c r="E101" s="32" t="inlineStr"/>
    </row>
    <row r="102">
      <c r="A102" s="32" t="inlineStr">
        <is>
          <t>18300 E 28th Ave - CY2023</t>
        </is>
      </c>
      <c r="B102" s="42" t="inlineStr">
        <is>
          <t>Expense</t>
        </is>
      </c>
      <c r="C102" s="32" t="inlineStr">
        <is>
          <t>Professional Fee - Legal</t>
        </is>
      </c>
      <c r="D102" s="37" t="n">
        <v>518.5</v>
      </c>
      <c r="E102" s="32" t="inlineStr"/>
    </row>
    <row r="103">
      <c r="A103" s="32" t="inlineStr">
        <is>
          <t>18300 E 28th Ave - CY2023</t>
        </is>
      </c>
      <c r="B103" s="42" t="inlineStr">
        <is>
          <t>Expense</t>
        </is>
      </c>
      <c r="C103" s="32" t="inlineStr">
        <is>
          <t>Professional Fee - Sustainability</t>
        </is>
      </c>
      <c r="D103" s="37" t="n">
        <v>915.86</v>
      </c>
      <c r="E103" s="32" t="inlineStr"/>
    </row>
    <row r="104">
      <c r="A104" s="32" t="inlineStr">
        <is>
          <t>18300 E 28th Ave - CY2023</t>
        </is>
      </c>
      <c r="B104" s="42" t="inlineStr">
        <is>
          <t>Expense</t>
        </is>
      </c>
      <c r="C104" s="32" t="inlineStr">
        <is>
          <t>Bank Charges</t>
        </is>
      </c>
      <c r="D104" s="37" t="n">
        <v>768.0700000000001</v>
      </c>
      <c r="E104" s="32" t="inlineStr"/>
    </row>
    <row r="105">
      <c r="A105" s="32" t="inlineStr">
        <is>
          <t>18300 E 28th Ave - CY2023</t>
        </is>
      </c>
      <c r="B105" s="42" t="inlineStr">
        <is>
          <t>Expense</t>
        </is>
      </c>
      <c r="C105" s="32" t="inlineStr">
        <is>
          <t>Management Fee</t>
        </is>
      </c>
      <c r="D105" s="37" t="n">
        <v>7970.79</v>
      </c>
      <c r="E105" s="32" t="inlineStr"/>
    </row>
    <row r="106">
      <c r="A106" s="32" t="inlineStr">
        <is>
          <t>18300 E 28th Ave - CY2023</t>
        </is>
      </c>
      <c r="B106" s="42" t="inlineStr">
        <is>
          <t>Expense</t>
        </is>
      </c>
      <c r="C106" s="32" t="inlineStr">
        <is>
          <t>Real Estate Taxes</t>
        </is>
      </c>
      <c r="D106" s="37" t="n">
        <v>308202.9</v>
      </c>
      <c r="E106" s="32" t="inlineStr"/>
    </row>
    <row r="107">
      <c r="A107" s="32" t="inlineStr">
        <is>
          <t>18300 E 28th Ave - CY2023</t>
        </is>
      </c>
      <c r="B107" s="42" t="inlineStr">
        <is>
          <t>Expense</t>
        </is>
      </c>
      <c r="C107" s="32" t="inlineStr">
        <is>
          <t>Prior Year Taxes</t>
        </is>
      </c>
      <c r="D107" s="37" t="n">
        <v>-2961.78</v>
      </c>
      <c r="E107" s="32" t="inlineStr">
        <is>
          <t>Credit</t>
        </is>
      </c>
    </row>
    <row r="108">
      <c r="A108" s="32" t="inlineStr">
        <is>
          <t>18300 E 28th Ave - CY2023</t>
        </is>
      </c>
      <c r="B108" s="42" t="inlineStr">
        <is>
          <t>Expense</t>
        </is>
      </c>
      <c r="C108" s="32" t="inlineStr">
        <is>
          <t>Insurance - Property</t>
        </is>
      </c>
      <c r="D108" s="37" t="n">
        <v>20559.31</v>
      </c>
      <c r="E108" s="32" t="inlineStr"/>
    </row>
    <row r="109">
      <c r="A109" s="32" t="inlineStr">
        <is>
          <t>18300 E 28th Ave - CY2023</t>
        </is>
      </c>
      <c r="B109" s="42" t="inlineStr">
        <is>
          <t>Expense</t>
        </is>
      </c>
      <c r="C109" s="32" t="inlineStr">
        <is>
          <t>Insurance - Liability</t>
        </is>
      </c>
      <c r="D109" s="37" t="n">
        <v>3820.7</v>
      </c>
      <c r="E109" s="32" t="inlineStr"/>
    </row>
    <row r="110">
      <c r="A110" s="32" t="inlineStr">
        <is>
          <t>18300 E 28th Ave - CY2023</t>
        </is>
      </c>
      <c r="B110" s="42" t="inlineStr">
        <is>
          <t>Expense</t>
        </is>
      </c>
      <c r="C110" s="32" t="inlineStr">
        <is>
          <t>Insurance - Other</t>
        </is>
      </c>
      <c r="D110" s="37" t="n">
        <v>5411.81</v>
      </c>
      <c r="E110" s="32" t="inlineStr"/>
    </row>
    <row r="111">
      <c r="A111" s="32" t="inlineStr">
        <is>
          <t>18300 E 28th Ave - CY2023</t>
        </is>
      </c>
      <c r="B111" s="42" t="inlineStr">
        <is>
          <t>Expense</t>
        </is>
      </c>
      <c r="C111" s="40" t="inlineStr">
        <is>
          <t>TOTAL OPERATING EXPENSES</t>
        </is>
      </c>
      <c r="D111" s="43">
        <f>SUM(D97:D110)</f>
        <v/>
      </c>
      <c r="E111" s="32" t="inlineStr">
        <is>
          <t>Printed total: $361,874.61</t>
        </is>
      </c>
    </row>
    <row r="112">
      <c r="A112" s="32" t="inlineStr">
        <is>
          <t>Anchor Business Park - CY2024</t>
        </is>
      </c>
      <c r="B112" s="42" t="inlineStr">
        <is>
          <t>Income</t>
        </is>
      </c>
      <c r="C112" s="32" t="inlineStr">
        <is>
          <t>Rental Income</t>
        </is>
      </c>
      <c r="D112" s="37" t="n">
        <v>295017.1</v>
      </c>
      <c r="E112" s="32" t="inlineStr"/>
    </row>
    <row r="113">
      <c r="A113" s="32" t="inlineStr">
        <is>
          <t>Anchor Business Park - CY2024</t>
        </is>
      </c>
      <c r="B113" s="42" t="inlineStr">
        <is>
          <t>Income</t>
        </is>
      </c>
      <c r="C113" s="32" t="inlineStr">
        <is>
          <t>Property Taxes - Tenant</t>
        </is>
      </c>
      <c r="D113" s="37" t="n">
        <v>118960.59</v>
      </c>
      <c r="E113" s="32" t="inlineStr"/>
    </row>
    <row r="114">
      <c r="A114" s="32" t="inlineStr">
        <is>
          <t>Anchor Business Park - CY2024</t>
        </is>
      </c>
      <c r="B114" s="42" t="inlineStr">
        <is>
          <t>Income</t>
        </is>
      </c>
      <c r="C114" s="32" t="inlineStr">
        <is>
          <t>Building Insurance</t>
        </is>
      </c>
      <c r="D114" s="37" t="n">
        <v>20106</v>
      </c>
      <c r="E114" s="32" t="inlineStr"/>
    </row>
    <row r="115">
      <c r="A115" s="32" t="inlineStr">
        <is>
          <t>Anchor Business Park - CY2024</t>
        </is>
      </c>
      <c r="B115" s="42" t="inlineStr">
        <is>
          <t>Income</t>
        </is>
      </c>
      <c r="C115" s="32" t="inlineStr">
        <is>
          <t>Gas &amp; Electric</t>
        </is>
      </c>
      <c r="D115" s="37" t="n">
        <v>8448.940000000001</v>
      </c>
      <c r="E115" s="32" t="inlineStr"/>
    </row>
    <row r="116">
      <c r="A116" s="32" t="inlineStr">
        <is>
          <t>Anchor Business Park - CY2024</t>
        </is>
      </c>
      <c r="B116" s="42" t="inlineStr">
        <is>
          <t>Income</t>
        </is>
      </c>
      <c r="C116" s="32" t="inlineStr">
        <is>
          <t>Community Area Maintenance</t>
        </is>
      </c>
      <c r="D116" s="37" t="n">
        <v>5487.8</v>
      </c>
      <c r="E116" s="32" t="inlineStr"/>
    </row>
    <row r="117">
      <c r="A117" s="32" t="inlineStr">
        <is>
          <t>Anchor Business Park - CY2024</t>
        </is>
      </c>
      <c r="B117" s="42" t="inlineStr">
        <is>
          <t>Income</t>
        </is>
      </c>
      <c r="C117" s="32" t="inlineStr">
        <is>
          <t>Water &amp; Sewer</t>
        </is>
      </c>
      <c r="D117" s="37" t="n">
        <v>5097</v>
      </c>
      <c r="E117" s="32" t="inlineStr"/>
    </row>
    <row r="118">
      <c r="A118" s="32" t="inlineStr">
        <is>
          <t>Anchor Business Park - CY2024</t>
        </is>
      </c>
      <c r="B118" s="42" t="inlineStr">
        <is>
          <t>Income</t>
        </is>
      </c>
      <c r="C118" s="32" t="inlineStr">
        <is>
          <t>Trash</t>
        </is>
      </c>
      <c r="D118" s="37" t="n">
        <v>3600</v>
      </c>
      <c r="E118" s="32" t="inlineStr"/>
    </row>
    <row r="119">
      <c r="A119" s="32" t="inlineStr">
        <is>
          <t>Anchor Business Park - CY2024</t>
        </is>
      </c>
      <c r="B119" s="42" t="inlineStr">
        <is>
          <t>Income</t>
        </is>
      </c>
      <c r="C119" s="32" t="inlineStr">
        <is>
          <t>Misc. Tenant Repairs</t>
        </is>
      </c>
      <c r="D119" s="37" t="n">
        <v>1000</v>
      </c>
      <c r="E119" s="32" t="inlineStr"/>
    </row>
    <row r="120">
      <c r="A120" s="32" t="inlineStr">
        <is>
          <t>Anchor Business Park - CY2024</t>
        </is>
      </c>
      <c r="B120" s="42" t="inlineStr">
        <is>
          <t>Income</t>
        </is>
      </c>
      <c r="C120" s="40" t="inlineStr">
        <is>
          <t>TOTAL INCOME</t>
        </is>
      </c>
      <c r="D120" s="43">
        <f>SUM(D112:D119)</f>
        <v/>
      </c>
      <c r="E120" s="32" t="inlineStr">
        <is>
          <t>Printed total: $457,717.43</t>
        </is>
      </c>
    </row>
    <row r="121">
      <c r="A121" s="32" t="inlineStr">
        <is>
          <t>Anchor Business Park - CY2024</t>
        </is>
      </c>
      <c r="B121" s="42" t="inlineStr">
        <is>
          <t>Expense</t>
        </is>
      </c>
      <c r="C121" s="32" t="inlineStr">
        <is>
          <t>Property Tax Expense</t>
        </is>
      </c>
      <c r="D121" s="37" t="n">
        <v>133608.36</v>
      </c>
      <c r="E121" s="32" t="inlineStr"/>
    </row>
    <row r="122">
      <c r="A122" s="32" t="inlineStr">
        <is>
          <t>Anchor Business Park - CY2024</t>
        </is>
      </c>
      <c r="B122" s="42" t="inlineStr">
        <is>
          <t>Expense</t>
        </is>
      </c>
      <c r="C122" s="32" t="inlineStr">
        <is>
          <t>Interest Expense - Loan</t>
        </is>
      </c>
      <c r="D122" s="37" t="n">
        <v>44300.59</v>
      </c>
      <c r="E122" s="32" t="inlineStr">
        <is>
          <t>Debt service - excluded from a true NOI</t>
        </is>
      </c>
    </row>
    <row r="123">
      <c r="A123" s="32" t="inlineStr">
        <is>
          <t>Anchor Business Park - CY2024</t>
        </is>
      </c>
      <c r="B123" s="42" t="inlineStr">
        <is>
          <t>Expense</t>
        </is>
      </c>
      <c r="C123" s="32" t="inlineStr">
        <is>
          <t>Property Management Fees</t>
        </is>
      </c>
      <c r="D123" s="37" t="n">
        <v>31500</v>
      </c>
      <c r="E123" s="32" t="inlineStr"/>
    </row>
    <row r="124">
      <c r="A124" s="32" t="inlineStr">
        <is>
          <t>Anchor Business Park - CY2024</t>
        </is>
      </c>
      <c r="B124" s="42" t="inlineStr">
        <is>
          <t>Expense</t>
        </is>
      </c>
      <c r="C124" s="32" t="inlineStr">
        <is>
          <t>Building Maintenance</t>
        </is>
      </c>
      <c r="D124" s="37" t="n">
        <v>29130.84</v>
      </c>
      <c r="E124" s="32" t="inlineStr"/>
    </row>
    <row r="125">
      <c r="A125" s="32" t="inlineStr">
        <is>
          <t>Anchor Business Park - CY2024</t>
        </is>
      </c>
      <c r="B125" s="42" t="inlineStr">
        <is>
          <t>Expense</t>
        </is>
      </c>
      <c r="C125" s="32" t="inlineStr">
        <is>
          <t>Insurance Expense</t>
        </is>
      </c>
      <c r="D125" s="37" t="n">
        <v>18520.09</v>
      </c>
      <c r="E125" s="32" t="inlineStr"/>
    </row>
    <row r="126">
      <c r="A126" s="32" t="inlineStr">
        <is>
          <t>Anchor Business Park - CY2024</t>
        </is>
      </c>
      <c r="B126" s="42" t="inlineStr">
        <is>
          <t>Expense</t>
        </is>
      </c>
      <c r="C126" s="32" t="inlineStr">
        <is>
          <t>Utilities</t>
        </is>
      </c>
      <c r="D126" s="37" t="n">
        <v>9783.049999999999</v>
      </c>
      <c r="E126" s="32" t="inlineStr"/>
    </row>
    <row r="127">
      <c r="A127" s="32" t="inlineStr">
        <is>
          <t>Anchor Business Park - CY2024</t>
        </is>
      </c>
      <c r="B127" s="42" t="inlineStr">
        <is>
          <t>Expense</t>
        </is>
      </c>
      <c r="C127" s="32" t="inlineStr">
        <is>
          <t>Trash Removal</t>
        </is>
      </c>
      <c r="D127" s="37" t="n">
        <v>5821.82</v>
      </c>
      <c r="E127" s="32" t="inlineStr"/>
    </row>
    <row r="128">
      <c r="A128" s="32" t="inlineStr">
        <is>
          <t>Anchor Business Park - CY2024</t>
        </is>
      </c>
      <c r="B128" s="42" t="inlineStr">
        <is>
          <t>Expense</t>
        </is>
      </c>
      <c r="C128" s="32" t="inlineStr">
        <is>
          <t>Common Area Maintenance</t>
        </is>
      </c>
      <c r="D128" s="37" t="n">
        <v>5750</v>
      </c>
      <c r="E128" s="32" t="inlineStr"/>
    </row>
    <row r="129">
      <c r="A129" s="32" t="inlineStr">
        <is>
          <t>Anchor Business Park - CY2024</t>
        </is>
      </c>
      <c r="B129" s="42" t="inlineStr">
        <is>
          <t>Expense</t>
        </is>
      </c>
      <c r="C129" s="32" t="inlineStr">
        <is>
          <t>Water &amp; Sewer Expense</t>
        </is>
      </c>
      <c r="D129" s="37" t="n">
        <v>4616.57</v>
      </c>
      <c r="E129" s="32" t="inlineStr"/>
    </row>
    <row r="130">
      <c r="A130" s="32" t="inlineStr">
        <is>
          <t>Anchor Business Park - CY2024</t>
        </is>
      </c>
      <c r="B130" s="42" t="inlineStr">
        <is>
          <t>Expense</t>
        </is>
      </c>
      <c r="C130" s="32" t="inlineStr">
        <is>
          <t>Telephone Expense</t>
        </is>
      </c>
      <c r="D130" s="37" t="n">
        <v>1780.94</v>
      </c>
      <c r="E130" s="32" t="inlineStr"/>
    </row>
    <row r="131">
      <c r="A131" s="32" t="inlineStr">
        <is>
          <t>Anchor Business Park - CY2024</t>
        </is>
      </c>
      <c r="B131" s="42" t="inlineStr">
        <is>
          <t>Expense</t>
        </is>
      </c>
      <c r="C131" s="32" t="inlineStr">
        <is>
          <t>Automobile Expense</t>
        </is>
      </c>
      <c r="D131" s="37" t="n">
        <v>1504.2</v>
      </c>
      <c r="E131" s="32" t="inlineStr"/>
    </row>
    <row r="132">
      <c r="A132" s="32" t="inlineStr">
        <is>
          <t>Anchor Business Park - CY2024</t>
        </is>
      </c>
      <c r="B132" s="42" t="inlineStr">
        <is>
          <t>Expense</t>
        </is>
      </c>
      <c r="C132" s="32" t="inlineStr">
        <is>
          <t>Accounting Expense</t>
        </is>
      </c>
      <c r="D132" s="37" t="n">
        <v>1062.5</v>
      </c>
      <c r="E132" s="32" t="inlineStr"/>
    </row>
    <row r="133">
      <c r="A133" s="32" t="inlineStr">
        <is>
          <t>Anchor Business Park - CY2024</t>
        </is>
      </c>
      <c r="B133" s="42" t="inlineStr">
        <is>
          <t>Expense</t>
        </is>
      </c>
      <c r="C133" s="32" t="inlineStr">
        <is>
          <t>Adams Co Stormwater Utility Fee</t>
        </is>
      </c>
      <c r="D133" s="37" t="n">
        <v>886</v>
      </c>
      <c r="E133" s="32" t="inlineStr"/>
    </row>
    <row r="134">
      <c r="A134" s="32" t="inlineStr">
        <is>
          <t>Anchor Business Park - CY2024</t>
        </is>
      </c>
      <c r="B134" s="42" t="inlineStr">
        <is>
          <t>Expense</t>
        </is>
      </c>
      <c r="C134" s="32" t="inlineStr">
        <is>
          <t>Fire Alarm Monitoring</t>
        </is>
      </c>
      <c r="D134" s="37" t="n">
        <v>830.4400000000001</v>
      </c>
      <c r="E134" s="32" t="inlineStr"/>
    </row>
    <row r="135">
      <c r="A135" s="32" t="inlineStr">
        <is>
          <t>Anchor Business Park - CY2024</t>
        </is>
      </c>
      <c r="B135" s="42" t="inlineStr">
        <is>
          <t>Expense</t>
        </is>
      </c>
      <c r="C135" s="32" t="inlineStr">
        <is>
          <t>Fire Alarm Inspection &amp; Repairs</t>
        </is>
      </c>
      <c r="D135" s="37" t="n">
        <v>655</v>
      </c>
      <c r="E135" s="32" t="inlineStr"/>
    </row>
    <row r="136">
      <c r="A136" s="32" t="inlineStr">
        <is>
          <t>Anchor Business Park - CY2024</t>
        </is>
      </c>
      <c r="B136" s="42" t="inlineStr">
        <is>
          <t>Expense</t>
        </is>
      </c>
      <c r="C136" s="32" t="inlineStr">
        <is>
          <t>Ask My Accountant (other expense)</t>
        </is>
      </c>
      <c r="D136" s="37" t="n">
        <v>470</v>
      </c>
      <c r="E136" s="32" t="inlineStr"/>
    </row>
    <row r="137">
      <c r="A137" s="32" t="inlineStr">
        <is>
          <t>Anchor Business Park - CY2024</t>
        </is>
      </c>
      <c r="B137" s="42" t="inlineStr">
        <is>
          <t>Expense</t>
        </is>
      </c>
      <c r="C137" s="40" t="inlineStr">
        <is>
          <t>TOTAL EXPENSE (incl. other)</t>
        </is>
      </c>
      <c r="D137" s="43">
        <f>SUM(D121:D136)</f>
        <v/>
      </c>
      <c r="E137" s="32" t="inlineStr">
        <is>
          <t>Printed total: $290,220.40</t>
        </is>
      </c>
    </row>
    <row r="138">
      <c r="A138" s="32" t="inlineStr">
        <is>
          <t>Anchor Business Park - CY2023</t>
        </is>
      </c>
      <c r="B138" s="42" t="inlineStr">
        <is>
          <t>Income</t>
        </is>
      </c>
      <c r="C138" s="32" t="inlineStr">
        <is>
          <t>Rental Income</t>
        </is>
      </c>
      <c r="D138" s="37" t="n">
        <v>279618.69</v>
      </c>
      <c r="E138" s="32" t="inlineStr"/>
    </row>
    <row r="139">
      <c r="A139" s="32" t="inlineStr">
        <is>
          <t>Anchor Business Park - CY2023</t>
        </is>
      </c>
      <c r="B139" s="42" t="inlineStr">
        <is>
          <t>Income</t>
        </is>
      </c>
      <c r="C139" s="32" t="inlineStr">
        <is>
          <t>Property Taxes - Tenant</t>
        </is>
      </c>
      <c r="D139" s="37" t="n">
        <v>80179.09</v>
      </c>
      <c r="E139" s="32" t="inlineStr"/>
    </row>
    <row r="140">
      <c r="A140" s="32" t="inlineStr">
        <is>
          <t>Anchor Business Park - CY2023</t>
        </is>
      </c>
      <c r="B140" s="42" t="inlineStr">
        <is>
          <t>Income</t>
        </is>
      </c>
      <c r="C140" s="32" t="inlineStr">
        <is>
          <t>Building Insurance</t>
        </is>
      </c>
      <c r="D140" s="37" t="n">
        <v>18863.75</v>
      </c>
      <c r="E140" s="32" t="inlineStr"/>
    </row>
    <row r="141">
      <c r="A141" s="32" t="inlineStr">
        <is>
          <t>Anchor Business Park - CY2023</t>
        </is>
      </c>
      <c r="B141" s="42" t="inlineStr">
        <is>
          <t>Income</t>
        </is>
      </c>
      <c r="C141" s="32" t="inlineStr">
        <is>
          <t>Gas &amp; Electric</t>
        </is>
      </c>
      <c r="D141" s="37" t="n">
        <v>9403.07</v>
      </c>
      <c r="E141" s="32" t="inlineStr"/>
    </row>
    <row r="142">
      <c r="A142" s="32" t="inlineStr">
        <is>
          <t>Anchor Business Park - CY2023</t>
        </is>
      </c>
      <c r="B142" s="42" t="inlineStr">
        <is>
          <t>Income</t>
        </is>
      </c>
      <c r="C142" s="32" t="inlineStr">
        <is>
          <t>Community Area Maintenance</t>
        </is>
      </c>
      <c r="D142" s="37" t="n">
        <v>7474.61</v>
      </c>
      <c r="E142" s="32" t="inlineStr"/>
    </row>
    <row r="143">
      <c r="A143" s="32" t="inlineStr">
        <is>
          <t>Anchor Business Park - CY2023</t>
        </is>
      </c>
      <c r="B143" s="42" t="inlineStr">
        <is>
          <t>Income</t>
        </is>
      </c>
      <c r="C143" s="32" t="inlineStr">
        <is>
          <t>Water &amp; Sewer</t>
        </is>
      </c>
      <c r="D143" s="37" t="n">
        <v>3485.67</v>
      </c>
      <c r="E143" s="32" t="inlineStr"/>
    </row>
    <row r="144">
      <c r="A144" s="32" t="inlineStr">
        <is>
          <t>Anchor Business Park - CY2023</t>
        </is>
      </c>
      <c r="B144" s="42" t="inlineStr">
        <is>
          <t>Income</t>
        </is>
      </c>
      <c r="C144" s="32" t="inlineStr">
        <is>
          <t>Trash</t>
        </is>
      </c>
      <c r="D144" s="37" t="n">
        <v>2847.77</v>
      </c>
      <c r="E144" s="32" t="inlineStr"/>
    </row>
    <row r="145">
      <c r="A145" s="32" t="inlineStr">
        <is>
          <t>Anchor Business Park - CY2023</t>
        </is>
      </c>
      <c r="B145" s="42" t="inlineStr">
        <is>
          <t>Income</t>
        </is>
      </c>
      <c r="C145" s="32" t="inlineStr">
        <is>
          <t>Misc. Tenant Repairs</t>
        </is>
      </c>
      <c r="D145" s="37" t="n">
        <v>-669</v>
      </c>
      <c r="E145" s="32" t="inlineStr">
        <is>
          <t>Credit</t>
        </is>
      </c>
    </row>
    <row r="146">
      <c r="A146" s="32" t="inlineStr">
        <is>
          <t>Anchor Business Park - CY2023</t>
        </is>
      </c>
      <c r="B146" s="42" t="inlineStr">
        <is>
          <t>Income</t>
        </is>
      </c>
      <c r="C146" s="40" t="inlineStr">
        <is>
          <t>TOTAL INCOME</t>
        </is>
      </c>
      <c r="D146" s="43">
        <f>SUM(D138:D145)</f>
        <v/>
      </c>
      <c r="E146" s="32" t="inlineStr">
        <is>
          <t>Printed total: $401,203.65</t>
        </is>
      </c>
    </row>
    <row r="147">
      <c r="A147" s="32" t="inlineStr">
        <is>
          <t>Anchor Business Park - CY2023</t>
        </is>
      </c>
      <c r="B147" s="42" t="inlineStr">
        <is>
          <t>Expense</t>
        </is>
      </c>
      <c r="C147" s="32" t="inlineStr">
        <is>
          <t>Property Tax Expense</t>
        </is>
      </c>
      <c r="D147" s="37" t="n">
        <v>117601.18</v>
      </c>
      <c r="E147" s="32" t="inlineStr"/>
    </row>
    <row r="148">
      <c r="A148" s="32" t="inlineStr">
        <is>
          <t>Anchor Business Park - CY2023</t>
        </is>
      </c>
      <c r="B148" s="42" t="inlineStr">
        <is>
          <t>Expense</t>
        </is>
      </c>
      <c r="C148" s="32" t="inlineStr">
        <is>
          <t>Interest Expense - Loan</t>
        </is>
      </c>
      <c r="D148" s="37" t="n">
        <v>46920.74</v>
      </c>
      <c r="E148" s="32" t="inlineStr">
        <is>
          <t>Debt service - excluded from a true NOI</t>
        </is>
      </c>
    </row>
    <row r="149">
      <c r="A149" s="32" t="inlineStr">
        <is>
          <t>Anchor Business Park - CY2023</t>
        </is>
      </c>
      <c r="B149" s="42" t="inlineStr">
        <is>
          <t>Expense</t>
        </is>
      </c>
      <c r="C149" s="32" t="inlineStr">
        <is>
          <t>Building Maintenance</t>
        </is>
      </c>
      <c r="D149" s="37" t="n">
        <v>21081.48</v>
      </c>
      <c r="E149" s="32" t="inlineStr"/>
    </row>
    <row r="150">
      <c r="A150" s="32" t="inlineStr">
        <is>
          <t>Anchor Business Park - CY2023</t>
        </is>
      </c>
      <c r="B150" s="42" t="inlineStr">
        <is>
          <t>Expense</t>
        </is>
      </c>
      <c r="C150" s="32" t="inlineStr">
        <is>
          <t>Property Management Fees</t>
        </is>
      </c>
      <c r="D150" s="37" t="n">
        <v>19500</v>
      </c>
      <c r="E150" s="32" t="inlineStr"/>
    </row>
    <row r="151">
      <c r="A151" s="32" t="inlineStr">
        <is>
          <t>Anchor Business Park - CY2023</t>
        </is>
      </c>
      <c r="B151" s="42" t="inlineStr">
        <is>
          <t>Expense</t>
        </is>
      </c>
      <c r="C151" s="32" t="inlineStr">
        <is>
          <t>Utilities</t>
        </is>
      </c>
      <c r="D151" s="37" t="n">
        <v>18166.07</v>
      </c>
      <c r="E151" s="32" t="inlineStr"/>
    </row>
    <row r="152">
      <c r="A152" s="32" t="inlineStr">
        <is>
          <t>Anchor Business Park - CY2023</t>
        </is>
      </c>
      <c r="B152" s="42" t="inlineStr">
        <is>
          <t>Expense</t>
        </is>
      </c>
      <c r="C152" s="32" t="inlineStr">
        <is>
          <t>Commission Expense</t>
        </is>
      </c>
      <c r="D152" s="37" t="n">
        <v>17116.84</v>
      </c>
      <c r="E152" s="32" t="inlineStr"/>
    </row>
    <row r="153">
      <c r="A153" s="32" t="inlineStr">
        <is>
          <t>Anchor Business Park - CY2023</t>
        </is>
      </c>
      <c r="B153" s="42" t="inlineStr">
        <is>
          <t>Expense</t>
        </is>
      </c>
      <c r="C153" s="32" t="inlineStr">
        <is>
          <t>Insurance Expense</t>
        </is>
      </c>
      <c r="D153" s="37" t="n">
        <v>15675.73</v>
      </c>
      <c r="E153" s="32" t="inlineStr"/>
    </row>
    <row r="154">
      <c r="A154" s="32" t="inlineStr">
        <is>
          <t>Anchor Business Park - CY2023</t>
        </is>
      </c>
      <c r="B154" s="42" t="inlineStr">
        <is>
          <t>Expense</t>
        </is>
      </c>
      <c r="C154" s="32" t="inlineStr">
        <is>
          <t>Common Area Maintenance</t>
        </is>
      </c>
      <c r="D154" s="37" t="n">
        <v>6990</v>
      </c>
      <c r="E154" s="32" t="inlineStr"/>
    </row>
    <row r="155">
      <c r="A155" s="32" t="inlineStr">
        <is>
          <t>Anchor Business Park - CY2023</t>
        </is>
      </c>
      <c r="B155" s="42" t="inlineStr">
        <is>
          <t>Expense</t>
        </is>
      </c>
      <c r="C155" s="32" t="inlineStr">
        <is>
          <t>Tenant Repairs</t>
        </is>
      </c>
      <c r="D155" s="37" t="n">
        <v>5957.21</v>
      </c>
      <c r="E155" s="32" t="inlineStr"/>
    </row>
    <row r="156">
      <c r="A156" s="32" t="inlineStr">
        <is>
          <t>Anchor Business Park - CY2023</t>
        </is>
      </c>
      <c r="B156" s="42" t="inlineStr">
        <is>
          <t>Expense</t>
        </is>
      </c>
      <c r="C156" s="32" t="inlineStr">
        <is>
          <t>Trash Removal</t>
        </is>
      </c>
      <c r="D156" s="37" t="n">
        <v>5314.77</v>
      </c>
      <c r="E156" s="32" t="inlineStr"/>
    </row>
    <row r="157">
      <c r="A157" s="32" t="inlineStr">
        <is>
          <t>Anchor Business Park - CY2023</t>
        </is>
      </c>
      <c r="B157" s="42" t="inlineStr">
        <is>
          <t>Expense</t>
        </is>
      </c>
      <c r="C157" s="32" t="inlineStr">
        <is>
          <t>Water &amp; Sewer Expense</t>
        </is>
      </c>
      <c r="D157" s="37" t="n">
        <v>3690.16</v>
      </c>
      <c r="E157" s="32" t="inlineStr"/>
    </row>
    <row r="158">
      <c r="A158" s="32" t="inlineStr">
        <is>
          <t>Anchor Business Park - CY2023</t>
        </is>
      </c>
      <c r="B158" s="42" t="inlineStr">
        <is>
          <t>Expense</t>
        </is>
      </c>
      <c r="C158" s="32" t="inlineStr">
        <is>
          <t>Automobile Expense</t>
        </is>
      </c>
      <c r="D158" s="37" t="n">
        <v>1955.46</v>
      </c>
      <c r="E158" s="32" t="inlineStr"/>
    </row>
    <row r="159">
      <c r="A159" s="32" t="inlineStr">
        <is>
          <t>Anchor Business Park - CY2023</t>
        </is>
      </c>
      <c r="B159" s="42" t="inlineStr">
        <is>
          <t>Expense</t>
        </is>
      </c>
      <c r="C159" s="32" t="inlineStr">
        <is>
          <t>Telephone Expense</t>
        </is>
      </c>
      <c r="D159" s="37" t="n">
        <v>1629.46</v>
      </c>
      <c r="E159" s="32" t="inlineStr"/>
    </row>
    <row r="160">
      <c r="A160" s="32" t="inlineStr">
        <is>
          <t>Anchor Business Park - CY2023</t>
        </is>
      </c>
      <c r="B160" s="42" t="inlineStr">
        <is>
          <t>Expense</t>
        </is>
      </c>
      <c r="C160" s="32" t="inlineStr">
        <is>
          <t>Accounting Expense</t>
        </is>
      </c>
      <c r="D160" s="37" t="n">
        <v>1525</v>
      </c>
      <c r="E160" s="32" t="inlineStr"/>
    </row>
    <row r="161">
      <c r="A161" s="32" t="inlineStr">
        <is>
          <t>Anchor Business Park - CY2023</t>
        </is>
      </c>
      <c r="B161" s="42" t="inlineStr">
        <is>
          <t>Expense</t>
        </is>
      </c>
      <c r="C161" s="32" t="inlineStr">
        <is>
          <t>Adams Co Stormwater Utility Fee</t>
        </is>
      </c>
      <c r="D161" s="37" t="n">
        <v>886</v>
      </c>
      <c r="E161" s="32" t="inlineStr"/>
    </row>
    <row r="162">
      <c r="A162" s="32" t="inlineStr">
        <is>
          <t>Anchor Business Park - CY2023</t>
        </is>
      </c>
      <c r="B162" s="42" t="inlineStr">
        <is>
          <t>Expense</t>
        </is>
      </c>
      <c r="C162" s="32" t="inlineStr">
        <is>
          <t>Fire Alarm Inspection &amp; Repairs</t>
        </is>
      </c>
      <c r="D162" s="37" t="n">
        <v>820.65</v>
      </c>
      <c r="E162" s="32" t="inlineStr"/>
    </row>
    <row r="163">
      <c r="A163" s="32" t="inlineStr">
        <is>
          <t>Anchor Business Park - CY2023</t>
        </is>
      </c>
      <c r="B163" s="42" t="inlineStr">
        <is>
          <t>Expense</t>
        </is>
      </c>
      <c r="C163" s="32" t="inlineStr">
        <is>
          <t>Fire Alarm Monitoring</t>
        </is>
      </c>
      <c r="D163" s="37" t="n">
        <v>673.92</v>
      </c>
      <c r="E163" s="32" t="inlineStr"/>
    </row>
    <row r="164">
      <c r="A164" s="32" t="inlineStr">
        <is>
          <t>Anchor Business Park - CY2023</t>
        </is>
      </c>
      <c r="B164" s="42" t="inlineStr">
        <is>
          <t>Expense</t>
        </is>
      </c>
      <c r="C164" s="32" t="inlineStr">
        <is>
          <t>Office Supplies</t>
        </is>
      </c>
      <c r="D164" s="37" t="n">
        <v>25.88</v>
      </c>
      <c r="E164" s="32" t="inlineStr"/>
    </row>
    <row r="165">
      <c r="A165" s="32" t="inlineStr">
        <is>
          <t>Anchor Business Park - CY2023</t>
        </is>
      </c>
      <c r="B165" s="42" t="inlineStr">
        <is>
          <t>Expense</t>
        </is>
      </c>
      <c r="C165" s="32" t="inlineStr">
        <is>
          <t>Bank Fees</t>
        </is>
      </c>
      <c r="D165" s="37" t="n">
        <v>10</v>
      </c>
      <c r="E165" s="32" t="inlineStr"/>
    </row>
    <row r="166">
      <c r="A166" s="32" t="inlineStr">
        <is>
          <t>Anchor Business Park - CY2023</t>
        </is>
      </c>
      <c r="B166" s="42" t="inlineStr">
        <is>
          <t>Expense</t>
        </is>
      </c>
      <c r="C166" s="40" t="inlineStr">
        <is>
          <t>TOTAL EXPENSE</t>
        </is>
      </c>
      <c r="D166" s="43">
        <f>SUM(D147:D165)</f>
        <v/>
      </c>
      <c r="E166" s="32" t="inlineStr">
        <is>
          <t>Printed total: $285,540.55</t>
        </is>
      </c>
    </row>
    <row r="167">
      <c r="A167" s="32" t="inlineStr">
        <is>
          <t>6051 Washington St - CY2024</t>
        </is>
      </c>
      <c r="B167" s="42" t="inlineStr">
        <is>
          <t>Income</t>
        </is>
      </c>
      <c r="C167" s="32" t="inlineStr">
        <is>
          <t>Rent - CPI</t>
        </is>
      </c>
      <c r="D167" s="37" t="n">
        <v>153780</v>
      </c>
      <c r="E167" s="32" t="inlineStr"/>
    </row>
    <row r="168">
      <c r="A168" s="32" t="inlineStr">
        <is>
          <t>6051 Washington St - CY2024</t>
        </is>
      </c>
      <c r="B168" s="42" t="inlineStr">
        <is>
          <t>Income</t>
        </is>
      </c>
      <c r="C168" s="32" t="inlineStr">
        <is>
          <t>Rent - Colorado Wrap</t>
        </is>
      </c>
      <c r="D168" s="37" t="n">
        <v>63525</v>
      </c>
      <c r="E168" s="32" t="inlineStr"/>
    </row>
    <row r="169">
      <c r="A169" s="32" t="inlineStr">
        <is>
          <t>6051 Washington St - CY2024</t>
        </is>
      </c>
      <c r="B169" s="42" t="inlineStr">
        <is>
          <t>Income</t>
        </is>
      </c>
      <c r="C169" s="32" t="inlineStr">
        <is>
          <t>Rent - Touch Stone</t>
        </is>
      </c>
      <c r="D169" s="37" t="n">
        <v>62480</v>
      </c>
      <c r="E169" s="32" t="inlineStr"/>
    </row>
    <row r="170">
      <c r="A170" s="32" t="inlineStr">
        <is>
          <t>6051 Washington St - CY2024</t>
        </is>
      </c>
      <c r="B170" s="42" t="inlineStr">
        <is>
          <t>Income</t>
        </is>
      </c>
      <c r="C170" s="32" t="inlineStr">
        <is>
          <t>Management Fee - CPI</t>
        </is>
      </c>
      <c r="D170" s="37" t="n">
        <v>1537.8</v>
      </c>
      <c r="E170" s="32" t="inlineStr"/>
    </row>
    <row r="171">
      <c r="A171" s="32" t="inlineStr">
        <is>
          <t>6051 Washington St - CY2024</t>
        </is>
      </c>
      <c r="B171" s="42" t="inlineStr">
        <is>
          <t>Income</t>
        </is>
      </c>
      <c r="C171" s="32" t="inlineStr">
        <is>
          <t>Management Fee - Colorado Wrap</t>
        </is>
      </c>
      <c r="D171" s="37" t="n">
        <v>635.22</v>
      </c>
      <c r="E171" s="32" t="inlineStr"/>
    </row>
    <row r="172">
      <c r="A172" s="32" t="inlineStr">
        <is>
          <t>6051 Washington St - CY2024</t>
        </is>
      </c>
      <c r="B172" s="42" t="inlineStr">
        <is>
          <t>Income</t>
        </is>
      </c>
      <c r="C172" s="32" t="inlineStr">
        <is>
          <t>Management Fees - Touchstone</t>
        </is>
      </c>
      <c r="D172" s="37" t="n">
        <v>624.8</v>
      </c>
      <c r="E172" s="32" t="inlineStr"/>
    </row>
    <row r="173">
      <c r="A173" s="32" t="inlineStr">
        <is>
          <t>6051 Washington St - CY2024</t>
        </is>
      </c>
      <c r="B173" s="42" t="inlineStr">
        <is>
          <t>Income</t>
        </is>
      </c>
      <c r="C173" s="40" t="inlineStr">
        <is>
          <t>TOTAL INCOME</t>
        </is>
      </c>
      <c r="D173" s="43">
        <f>SUM(D167:D172)</f>
        <v/>
      </c>
      <c r="E173" s="32" t="inlineStr">
        <is>
          <t>Printed total: $282,582.82</t>
        </is>
      </c>
    </row>
    <row r="174">
      <c r="A174" s="32" t="inlineStr">
        <is>
          <t>6051 Washington St - CY2024</t>
        </is>
      </c>
      <c r="B174" s="42" t="inlineStr">
        <is>
          <t>Expense</t>
        </is>
      </c>
      <c r="C174" s="32" t="inlineStr">
        <is>
          <t>Depreciation</t>
        </is>
      </c>
      <c r="D174" s="37" t="n">
        <v>78017.21000000001</v>
      </c>
      <c r="E174" s="32" t="inlineStr">
        <is>
          <t>Non-cash - excluded from a true NOI</t>
        </is>
      </c>
    </row>
    <row r="175">
      <c r="A175" s="32" t="inlineStr">
        <is>
          <t>6051 Washington St - CY2024</t>
        </is>
      </c>
      <c r="B175" s="42" t="inlineStr">
        <is>
          <t>Expense</t>
        </is>
      </c>
      <c r="C175" s="32" t="inlineStr">
        <is>
          <t>Lease Commissions</t>
        </is>
      </c>
      <c r="D175" s="37" t="n">
        <v>34701</v>
      </c>
      <c r="E175" s="32" t="inlineStr">
        <is>
          <t>Capital/leasing cost - excluded from a true NOI</t>
        </is>
      </c>
    </row>
    <row r="176">
      <c r="A176" s="32" t="inlineStr">
        <is>
          <t>6051 Washington St - CY2024</t>
        </is>
      </c>
      <c r="B176" s="42" t="inlineStr">
        <is>
          <t>Expense</t>
        </is>
      </c>
      <c r="C176" s="32" t="inlineStr">
        <is>
          <t>Amortization expense</t>
        </is>
      </c>
      <c r="D176" s="37" t="n">
        <v>5811.58</v>
      </c>
      <c r="E176" s="32" t="inlineStr">
        <is>
          <t>Non-cash - excluded from a true NOI</t>
        </is>
      </c>
    </row>
    <row r="177">
      <c r="A177" s="32" t="inlineStr">
        <is>
          <t>6051 Washington St - CY2024</t>
        </is>
      </c>
      <c r="B177" s="42" t="inlineStr">
        <is>
          <t>Expense</t>
        </is>
      </c>
      <c r="C177" s="32" t="inlineStr">
        <is>
          <t>Accounting Expense</t>
        </is>
      </c>
      <c r="D177" s="37" t="n">
        <v>4675</v>
      </c>
      <c r="E177" s="32" t="inlineStr"/>
    </row>
    <row r="178">
      <c r="A178" s="32" t="inlineStr">
        <is>
          <t>6051 Washington St - CY2024</t>
        </is>
      </c>
      <c r="B178" s="42" t="inlineStr">
        <is>
          <t>Expense</t>
        </is>
      </c>
      <c r="C178" s="32" t="inlineStr">
        <is>
          <t>Roof Maintenance - CAM</t>
        </is>
      </c>
      <c r="D178" s="37" t="n">
        <v>875</v>
      </c>
      <c r="E178" s="32" t="inlineStr"/>
    </row>
    <row r="179">
      <c r="A179" s="32" t="inlineStr">
        <is>
          <t>6051 Washington St - CY2024</t>
        </is>
      </c>
      <c r="B179" s="42" t="inlineStr">
        <is>
          <t>Expense</t>
        </is>
      </c>
      <c r="C179" s="32" t="inlineStr">
        <is>
          <t>Owner Expense</t>
        </is>
      </c>
      <c r="D179" s="37" t="n">
        <v>527.24</v>
      </c>
      <c r="E179" s="32" t="inlineStr"/>
    </row>
    <row r="180">
      <c r="A180" s="32" t="inlineStr">
        <is>
          <t>6051 Washington St - CY2024</t>
        </is>
      </c>
      <c r="B180" s="42" t="inlineStr">
        <is>
          <t>Expense</t>
        </is>
      </c>
      <c r="C180" s="32" t="inlineStr">
        <is>
          <t>Repair and Maintenance - CAM</t>
        </is>
      </c>
      <c r="D180" s="37" t="n">
        <v>525.25</v>
      </c>
      <c r="E180" s="32" t="inlineStr"/>
    </row>
    <row r="181">
      <c r="A181" s="32" t="inlineStr">
        <is>
          <t>6051 Washington St - CY2024</t>
        </is>
      </c>
      <c r="B181" s="42" t="inlineStr">
        <is>
          <t>Expense</t>
        </is>
      </c>
      <c r="C181" s="32" t="inlineStr">
        <is>
          <t>Legal Expense</t>
        </is>
      </c>
      <c r="D181" s="37" t="n">
        <v>345</v>
      </c>
      <c r="E181" s="32" t="inlineStr"/>
    </row>
    <row r="182">
      <c r="A182" s="32" t="inlineStr">
        <is>
          <t>6051 Washington St - CY2024</t>
        </is>
      </c>
      <c r="B182" s="42" t="inlineStr">
        <is>
          <t>Expense</t>
        </is>
      </c>
      <c r="C182" s="32" t="inlineStr">
        <is>
          <t>Bank Fees</t>
        </is>
      </c>
      <c r="D182" s="37" t="n">
        <v>15</v>
      </c>
      <c r="E182" s="32" t="inlineStr"/>
    </row>
    <row r="183">
      <c r="A183" s="32" t="inlineStr">
        <is>
          <t>6051 Washington St - CY2024</t>
        </is>
      </c>
      <c r="B183" s="42" t="inlineStr">
        <is>
          <t>Expense</t>
        </is>
      </c>
      <c r="C183" s="32" t="inlineStr">
        <is>
          <t>Property Tax</t>
        </is>
      </c>
      <c r="D183" s="37" t="n">
        <v>0</v>
      </c>
      <c r="E183" s="32" t="inlineStr">
        <is>
          <t>Reported as $0.00</t>
        </is>
      </c>
    </row>
    <row r="184">
      <c r="A184" s="32" t="inlineStr">
        <is>
          <t>6051 Washington St - CY2024</t>
        </is>
      </c>
      <c r="B184" s="42" t="inlineStr">
        <is>
          <t>Expense</t>
        </is>
      </c>
      <c r="C184" s="32" t="inlineStr">
        <is>
          <t>HVAC / Insurance / Landscape / Trash / Utilities / Water - CAM</t>
        </is>
      </c>
      <c r="D184" s="37" t="n">
        <v>0</v>
      </c>
      <c r="E184" s="32" t="inlineStr">
        <is>
          <t>All reported as $0.00</t>
        </is>
      </c>
    </row>
    <row r="185">
      <c r="A185" s="32" t="inlineStr">
        <is>
          <t>6051 Washington St - CY2024</t>
        </is>
      </c>
      <c r="B185" s="42" t="inlineStr">
        <is>
          <t>Expense</t>
        </is>
      </c>
      <c r="C185" s="40" t="inlineStr">
        <is>
          <t>TOTAL EXPENSES</t>
        </is>
      </c>
      <c r="D185" s="43">
        <f>SUM(D174:D184)</f>
        <v/>
      </c>
      <c r="E185" s="32" t="inlineStr">
        <is>
          <t>Printed total: $125,492.28</t>
        </is>
      </c>
    </row>
    <row r="186">
      <c r="A186" s="32" t="inlineStr">
        <is>
          <t>6051 Washington St - CY2023</t>
        </is>
      </c>
      <c r="B186" s="42" t="inlineStr">
        <is>
          <t>Income</t>
        </is>
      </c>
      <c r="C186" s="32" t="inlineStr">
        <is>
          <t>Rent - CPI</t>
        </is>
      </c>
      <c r="D186" s="37" t="n">
        <v>124025</v>
      </c>
      <c r="E186" s="32" t="inlineStr"/>
    </row>
    <row r="187">
      <c r="A187" s="32" t="inlineStr">
        <is>
          <t>6051 Washington St - CY2023</t>
        </is>
      </c>
      <c r="B187" s="42" t="inlineStr">
        <is>
          <t>Income</t>
        </is>
      </c>
      <c r="C187" s="32" t="inlineStr">
        <is>
          <t>Rent - Colorado Wrap</t>
        </is>
      </c>
      <c r="D187" s="37" t="n">
        <v>61425.84</v>
      </c>
      <c r="E187" s="32" t="inlineStr"/>
    </row>
    <row r="188">
      <c r="A188" s="32" t="inlineStr">
        <is>
          <t>6051 Washington St - CY2023</t>
        </is>
      </c>
      <c r="B188" s="42" t="inlineStr">
        <is>
          <t>Income</t>
        </is>
      </c>
      <c r="C188" s="32" t="inlineStr">
        <is>
          <t>Rent - Touch Stone</t>
        </is>
      </c>
      <c r="D188" s="37" t="n">
        <v>28803.43</v>
      </c>
      <c r="E188" s="32" t="inlineStr"/>
    </row>
    <row r="189">
      <c r="A189" s="32" t="inlineStr">
        <is>
          <t>6051 Washington St - CY2023</t>
        </is>
      </c>
      <c r="B189" s="42" t="inlineStr">
        <is>
          <t>Income</t>
        </is>
      </c>
      <c r="C189" s="40" t="inlineStr">
        <is>
          <t>SUBTOTAL of itemised rents (printed 'Total for Income with sub-accounts' = $216,726.00; $2,471.73 is on a page not included)</t>
        </is>
      </c>
      <c r="D189" s="43">
        <f>SUM(D186:D188)</f>
        <v/>
      </c>
      <c r="E189" s="32" t="inlineStr"/>
    </row>
    <row r="190">
      <c r="A190" s="32" t="inlineStr">
        <is>
          <t>6051 Washington St - CY2023</t>
        </is>
      </c>
      <c r="B190" s="42" t="inlineStr">
        <is>
          <t>Expense</t>
        </is>
      </c>
      <c r="C190" s="32" t="inlineStr">
        <is>
          <t>Accounting Expense</t>
        </is>
      </c>
      <c r="D190" s="37" t="n">
        <v>3006.92</v>
      </c>
      <c r="E190" s="32" t="inlineStr"/>
    </row>
    <row r="191">
      <c r="A191" s="32" t="inlineStr">
        <is>
          <t>6051 Washington St - CY2023</t>
        </is>
      </c>
      <c r="B191" s="42" t="inlineStr">
        <is>
          <t>Expense</t>
        </is>
      </c>
      <c r="C191" s="32" t="inlineStr">
        <is>
          <t>Amortization expense</t>
        </is>
      </c>
      <c r="D191" s="37" t="n">
        <v>855</v>
      </c>
      <c r="E191" s="32" t="inlineStr"/>
    </row>
    <row r="192">
      <c r="A192" s="32" t="inlineStr">
        <is>
          <t>6051 Washington St - CY2023</t>
        </is>
      </c>
      <c r="B192" s="42" t="inlineStr">
        <is>
          <t>Expense</t>
        </is>
      </c>
      <c r="C192" s="32" t="inlineStr">
        <is>
          <t>Bank Fees</t>
        </is>
      </c>
      <c r="D192" s="37" t="n">
        <v>30</v>
      </c>
      <c r="E192" s="32" t="inlineStr"/>
    </row>
    <row r="193">
      <c r="A193" s="32" t="inlineStr">
        <is>
          <t>6051 Washington St - CY2023</t>
        </is>
      </c>
      <c r="B193" s="42" t="inlineStr">
        <is>
          <t>Expense</t>
        </is>
      </c>
      <c r="C193" s="40" t="inlineStr">
        <is>
          <t>PARTIAL - expense detail truncated; no printed total in the submitted excerpt</t>
        </is>
      </c>
      <c r="D193" s="43">
        <f>SUM(D190:D192)</f>
        <v/>
      </c>
      <c r="E193" s="32" t="inlineStr"/>
    </row>
    <row r="194">
      <c r="A194" s="32" t="inlineStr">
        <is>
          <t>Majestic Commercenter Bldg 6 - CY2024</t>
        </is>
      </c>
      <c r="B194" s="42" t="inlineStr">
        <is>
          <t>Income</t>
        </is>
      </c>
      <c r="C194" s="32" t="inlineStr">
        <is>
          <t>Industrial Rental Income</t>
        </is>
      </c>
      <c r="D194" s="37" t="n">
        <v>816290.11</v>
      </c>
      <c r="E194" s="32" t="inlineStr"/>
    </row>
    <row r="195">
      <c r="A195" s="32" t="inlineStr">
        <is>
          <t>Majestic Commercenter Bldg 6 - CY2024</t>
        </is>
      </c>
      <c r="B195" s="42" t="inlineStr">
        <is>
          <t>Income</t>
        </is>
      </c>
      <c r="C195" s="32" t="inlineStr">
        <is>
          <t>Real Estate Tax Reimbursement</t>
        </is>
      </c>
      <c r="D195" s="37" t="n">
        <v>370458.18</v>
      </c>
      <c r="E195" s="32" t="inlineStr"/>
    </row>
    <row r="196">
      <c r="A196" s="32" t="inlineStr">
        <is>
          <t>Majestic Commercenter Bldg 6 - CY2024</t>
        </is>
      </c>
      <c r="B196" s="42" t="inlineStr">
        <is>
          <t>Income</t>
        </is>
      </c>
      <c r="C196" s="32" t="inlineStr">
        <is>
          <t>Utilities Reimbursement</t>
        </is>
      </c>
      <c r="D196" s="37" t="n">
        <v>237036.4</v>
      </c>
      <c r="E196" s="32" t="inlineStr"/>
    </row>
    <row r="197">
      <c r="A197" s="32" t="inlineStr">
        <is>
          <t>Majestic Commercenter Bldg 6 - CY2024</t>
        </is>
      </c>
      <c r="B197" s="42" t="inlineStr">
        <is>
          <t>Income</t>
        </is>
      </c>
      <c r="C197" s="32" t="inlineStr">
        <is>
          <t>Common Area Reimbursement</t>
        </is>
      </c>
      <c r="D197" s="37" t="n">
        <v>112044.62</v>
      </c>
      <c r="E197" s="32" t="inlineStr"/>
    </row>
    <row r="198">
      <c r="A198" s="32" t="inlineStr">
        <is>
          <t>Majestic Commercenter Bldg 6 - CY2024</t>
        </is>
      </c>
      <c r="B198" s="42" t="inlineStr">
        <is>
          <t>Income</t>
        </is>
      </c>
      <c r="C198" s="32" t="inlineStr">
        <is>
          <t>Management Fee Reimbursement</t>
        </is>
      </c>
      <c r="D198" s="37" t="n">
        <v>51268.75</v>
      </c>
      <c r="E198" s="32" t="inlineStr"/>
    </row>
    <row r="199">
      <c r="A199" s="32" t="inlineStr">
        <is>
          <t>Majestic Commercenter Bldg 6 - CY2024</t>
        </is>
      </c>
      <c r="B199" s="42" t="inlineStr">
        <is>
          <t>Income</t>
        </is>
      </c>
      <c r="C199" s="32" t="inlineStr">
        <is>
          <t>Reserve Income</t>
        </is>
      </c>
      <c r="D199" s="37" t="n">
        <v>34477.56</v>
      </c>
      <c r="E199" s="32" t="inlineStr"/>
    </row>
    <row r="200">
      <c r="A200" s="32" t="inlineStr">
        <is>
          <t>Majestic Commercenter Bldg 6 - CY2024</t>
        </is>
      </c>
      <c r="B200" s="42" t="inlineStr">
        <is>
          <t>Income</t>
        </is>
      </c>
      <c r="C200" s="32" t="inlineStr">
        <is>
          <t>Insurance Reimbursement</t>
        </is>
      </c>
      <c r="D200" s="37" t="n">
        <v>18409.99</v>
      </c>
      <c r="E200" s="32" t="inlineStr"/>
    </row>
    <row r="201">
      <c r="A201" s="32" t="inlineStr">
        <is>
          <t>Majestic Commercenter Bldg 6 - CY2024</t>
        </is>
      </c>
      <c r="B201" s="42" t="inlineStr">
        <is>
          <t>Income</t>
        </is>
      </c>
      <c r="C201" s="32" t="inlineStr">
        <is>
          <t>Rent Above/Below Market</t>
        </is>
      </c>
      <c r="D201" s="37" t="n">
        <v>11134.68</v>
      </c>
      <c r="E201" s="32" t="inlineStr"/>
    </row>
    <row r="202">
      <c r="A202" s="32" t="inlineStr">
        <is>
          <t>Majestic Commercenter Bldg 6 - CY2024</t>
        </is>
      </c>
      <c r="B202" s="42" t="inlineStr">
        <is>
          <t>Income</t>
        </is>
      </c>
      <c r="C202" s="32" t="inlineStr">
        <is>
          <t>Direct Tenant Reimbursement</t>
        </is>
      </c>
      <c r="D202" s="37" t="n">
        <v>3874.98</v>
      </c>
      <c r="E202" s="32" t="inlineStr"/>
    </row>
    <row r="203">
      <c r="A203" s="32" t="inlineStr">
        <is>
          <t>Majestic Commercenter Bldg 6 - CY2024</t>
        </is>
      </c>
      <c r="B203" s="42" t="inlineStr">
        <is>
          <t>Income</t>
        </is>
      </c>
      <c r="C203" s="32" t="inlineStr">
        <is>
          <t>Tenant TI Reimb Income</t>
        </is>
      </c>
      <c r="D203" s="37" t="n">
        <v>2545.32</v>
      </c>
      <c r="E203" s="32" t="inlineStr"/>
    </row>
    <row r="204">
      <c r="A204" s="32" t="inlineStr">
        <is>
          <t>Majestic Commercenter Bldg 6 - CY2024</t>
        </is>
      </c>
      <c r="B204" s="42" t="inlineStr">
        <is>
          <t>Income</t>
        </is>
      </c>
      <c r="C204" s="32" t="inlineStr">
        <is>
          <t>Rent Amortization</t>
        </is>
      </c>
      <c r="D204" s="37" t="n">
        <v>-26182.75</v>
      </c>
      <c r="E204" s="32" t="inlineStr">
        <is>
          <t>Credit</t>
        </is>
      </c>
    </row>
    <row r="205">
      <c r="A205" s="32" t="inlineStr">
        <is>
          <t>Majestic Commercenter Bldg 6 - CY2024</t>
        </is>
      </c>
      <c r="B205" s="42" t="inlineStr">
        <is>
          <t>Income</t>
        </is>
      </c>
      <c r="C205" s="40" t="inlineStr">
        <is>
          <t>TOTAL REVENUE</t>
        </is>
      </c>
      <c r="D205" s="43">
        <f>SUM(D194:D204)</f>
        <v/>
      </c>
      <c r="E205" s="32" t="inlineStr">
        <is>
          <t>Printed total: $1,631,357.84</t>
        </is>
      </c>
    </row>
    <row r="206">
      <c r="A206" s="32" t="inlineStr">
        <is>
          <t>Majestic Commercenter Bldg 6 - CY2024</t>
        </is>
      </c>
      <c r="B206" s="42" t="inlineStr">
        <is>
          <t>Expense</t>
        </is>
      </c>
      <c r="C206" s="32" t="inlineStr">
        <is>
          <t>Real Estate Taxes</t>
        </is>
      </c>
      <c r="D206" s="37" t="n">
        <v>238177.79</v>
      </c>
      <c r="E206" s="32" t="inlineStr"/>
    </row>
    <row r="207">
      <c r="A207" s="32" t="inlineStr">
        <is>
          <t>Majestic Commercenter Bldg 6 - CY2024</t>
        </is>
      </c>
      <c r="B207" s="42" t="inlineStr">
        <is>
          <t>Expense</t>
        </is>
      </c>
      <c r="C207" s="32" t="inlineStr">
        <is>
          <t>Utilities - DTR</t>
        </is>
      </c>
      <c r="D207" s="37" t="n">
        <v>190655.91</v>
      </c>
      <c r="E207" s="32" t="inlineStr"/>
    </row>
    <row r="208">
      <c r="A208" s="32" t="inlineStr">
        <is>
          <t>Majestic Commercenter Bldg 6 - CY2024</t>
        </is>
      </c>
      <c r="B208" s="42" t="inlineStr">
        <is>
          <t>Expense</t>
        </is>
      </c>
      <c r="C208" s="32" t="inlineStr">
        <is>
          <t>Management Fees</t>
        </is>
      </c>
      <c r="D208" s="37" t="n">
        <v>48115.93</v>
      </c>
      <c r="E208" s="32" t="inlineStr"/>
    </row>
    <row r="209">
      <c r="A209" s="32" t="inlineStr">
        <is>
          <t>Majestic Commercenter Bldg 6 - CY2024</t>
        </is>
      </c>
      <c r="B209" s="42" t="inlineStr">
        <is>
          <t>Expense</t>
        </is>
      </c>
      <c r="C209" s="32" t="inlineStr">
        <is>
          <t>Parking Lot</t>
        </is>
      </c>
      <c r="D209" s="37" t="n">
        <v>27882.26</v>
      </c>
      <c r="E209" s="32" t="inlineStr"/>
    </row>
    <row r="210">
      <c r="A210" s="32" t="inlineStr">
        <is>
          <t>Majestic Commercenter Bldg 6 - CY2024</t>
        </is>
      </c>
      <c r="B210" s="42" t="inlineStr">
        <is>
          <t>Expense</t>
        </is>
      </c>
      <c r="C210" s="32" t="inlineStr">
        <is>
          <t>Utilities - Water</t>
        </is>
      </c>
      <c r="D210" s="37" t="n">
        <v>26890.9</v>
      </c>
      <c r="E210" s="32" t="inlineStr"/>
    </row>
    <row r="211">
      <c r="A211" s="32" t="inlineStr">
        <is>
          <t>Majestic Commercenter Bldg 6 - CY2024</t>
        </is>
      </c>
      <c r="B211" s="42" t="inlineStr">
        <is>
          <t>Expense</t>
        </is>
      </c>
      <c r="C211" s="32" t="inlineStr">
        <is>
          <t>Landscaping</t>
        </is>
      </c>
      <c r="D211" s="37" t="n">
        <v>19468.01</v>
      </c>
      <c r="E211" s="32" t="inlineStr"/>
    </row>
    <row r="212">
      <c r="A212" s="32" t="inlineStr">
        <is>
          <t>Majestic Commercenter Bldg 6 - CY2024</t>
        </is>
      </c>
      <c r="B212" s="42" t="inlineStr">
        <is>
          <t>Expense</t>
        </is>
      </c>
      <c r="C212" s="32" t="inlineStr">
        <is>
          <t>Insurance - Fire &amp; Extended</t>
        </is>
      </c>
      <c r="D212" s="37" t="n">
        <v>14262</v>
      </c>
      <c r="E212" s="32" t="inlineStr"/>
    </row>
    <row r="213">
      <c r="A213" s="32" t="inlineStr">
        <is>
          <t>Majestic Commercenter Bldg 6 - CY2024</t>
        </is>
      </c>
      <c r="B213" s="42" t="inlineStr">
        <is>
          <t>Expense</t>
        </is>
      </c>
      <c r="C213" s="32" t="inlineStr">
        <is>
          <t>Snow Removal</t>
        </is>
      </c>
      <c r="D213" s="37" t="n">
        <v>13056.61</v>
      </c>
      <c r="E213" s="32" t="inlineStr"/>
    </row>
    <row r="214">
      <c r="A214" s="32" t="inlineStr">
        <is>
          <t>Majestic Commercenter Bldg 6 - CY2024</t>
        </is>
      </c>
      <c r="B214" s="42" t="inlineStr">
        <is>
          <t>Expense</t>
        </is>
      </c>
      <c r="C214" s="32" t="inlineStr">
        <is>
          <t>Utilities - Gas/Heating</t>
        </is>
      </c>
      <c r="D214" s="37" t="n">
        <v>12760.66</v>
      </c>
      <c r="E214" s="32" t="inlineStr"/>
    </row>
    <row r="215">
      <c r="A215" s="32" t="inlineStr">
        <is>
          <t>Majestic Commercenter Bldg 6 - CY2024</t>
        </is>
      </c>
      <c r="B215" s="42" t="inlineStr">
        <is>
          <t>Expense</t>
        </is>
      </c>
      <c r="C215" s="32" t="inlineStr">
        <is>
          <t>Fire Life Safety</t>
        </is>
      </c>
      <c r="D215" s="37" t="n">
        <v>8339.4</v>
      </c>
      <c r="E215" s="32" t="inlineStr"/>
    </row>
    <row r="216">
      <c r="A216" s="32" t="inlineStr">
        <is>
          <t>Majestic Commercenter Bldg 6 - CY2024</t>
        </is>
      </c>
      <c r="B216" s="42" t="inlineStr">
        <is>
          <t>Expense</t>
        </is>
      </c>
      <c r="C216" s="32" t="inlineStr">
        <is>
          <t>Painting</t>
        </is>
      </c>
      <c r="D216" s="37" t="n">
        <v>6315</v>
      </c>
      <c r="E216" s="32" t="inlineStr"/>
    </row>
    <row r="217">
      <c r="A217" s="32" t="inlineStr">
        <is>
          <t>Majestic Commercenter Bldg 6 - CY2024</t>
        </is>
      </c>
      <c r="B217" s="42" t="inlineStr">
        <is>
          <t>Expense</t>
        </is>
      </c>
      <c r="C217" s="32" t="inlineStr">
        <is>
          <t>Prof Service - Legal (Leasing)</t>
        </is>
      </c>
      <c r="D217" s="37" t="n">
        <v>4730</v>
      </c>
      <c r="E217" s="32" t="inlineStr"/>
    </row>
    <row r="218">
      <c r="A218" s="32" t="inlineStr">
        <is>
          <t>Majestic Commercenter Bldg 6 - CY2024</t>
        </is>
      </c>
      <c r="B218" s="42" t="inlineStr">
        <is>
          <t>Expense</t>
        </is>
      </c>
      <c r="C218" s="32" t="inlineStr">
        <is>
          <t>Roof</t>
        </is>
      </c>
      <c r="D218" s="37" t="n">
        <v>4541.24</v>
      </c>
      <c r="E218" s="32" t="inlineStr"/>
    </row>
    <row r="219">
      <c r="A219" s="32" t="inlineStr">
        <is>
          <t>Majestic Commercenter Bldg 6 - CY2024</t>
        </is>
      </c>
      <c r="B219" s="42" t="inlineStr">
        <is>
          <t>Expense</t>
        </is>
      </c>
      <c r="C219" s="32" t="inlineStr">
        <is>
          <t>Prof Service - Tax Prep</t>
        </is>
      </c>
      <c r="D219" s="37" t="n">
        <v>4206</v>
      </c>
      <c r="E219" s="32" t="inlineStr"/>
    </row>
    <row r="220">
      <c r="A220" s="32" t="inlineStr">
        <is>
          <t>Majestic Commercenter Bldg 6 - CY2024</t>
        </is>
      </c>
      <c r="B220" s="42" t="inlineStr">
        <is>
          <t>Expense</t>
        </is>
      </c>
      <c r="C220" s="32" t="inlineStr">
        <is>
          <t>Insurance - Liability</t>
        </is>
      </c>
      <c r="D220" s="37" t="n">
        <v>4138</v>
      </c>
      <c r="E220" s="32" t="inlineStr"/>
    </row>
    <row r="221">
      <c r="A221" s="32" t="inlineStr">
        <is>
          <t>Majestic Commercenter Bldg 6 - CY2024</t>
        </is>
      </c>
      <c r="B221" s="42" t="inlineStr">
        <is>
          <t>Expense</t>
        </is>
      </c>
      <c r="C221" s="32" t="inlineStr">
        <is>
          <t>Utilities - Electricity</t>
        </is>
      </c>
      <c r="D221" s="37" t="n">
        <v>3791.07</v>
      </c>
      <c r="E221" s="32" t="inlineStr"/>
    </row>
    <row r="222">
      <c r="A222" s="32" t="inlineStr">
        <is>
          <t>Majestic Commercenter Bldg 6 - CY2024</t>
        </is>
      </c>
      <c r="B222" s="42" t="inlineStr">
        <is>
          <t>Expense</t>
        </is>
      </c>
      <c r="C222" s="32" t="inlineStr">
        <is>
          <t>Other-DTR</t>
        </is>
      </c>
      <c r="D222" s="37" t="n">
        <v>3661.72</v>
      </c>
      <c r="E222" s="32" t="inlineStr"/>
    </row>
    <row r="223">
      <c r="A223" s="32" t="inlineStr">
        <is>
          <t>Majestic Commercenter Bldg 6 - CY2024</t>
        </is>
      </c>
      <c r="B223" s="42" t="inlineStr">
        <is>
          <t>Expense</t>
        </is>
      </c>
      <c r="C223" s="32" t="inlineStr">
        <is>
          <t>Janitorial Services</t>
        </is>
      </c>
      <c r="D223" s="37" t="n">
        <v>2100</v>
      </c>
      <c r="E223" s="32" t="inlineStr"/>
    </row>
    <row r="224">
      <c r="A224" s="32" t="inlineStr">
        <is>
          <t>Majestic Commercenter Bldg 6 - CY2024</t>
        </is>
      </c>
      <c r="B224" s="42" t="inlineStr">
        <is>
          <t>Expense</t>
        </is>
      </c>
      <c r="C224" s="32" t="inlineStr">
        <is>
          <t>Utilities - Telephone</t>
        </is>
      </c>
      <c r="D224" s="37" t="n">
        <v>1907.55</v>
      </c>
      <c r="E224" s="32" t="inlineStr"/>
    </row>
    <row r="225">
      <c r="A225" s="32" t="inlineStr">
        <is>
          <t>Majestic Commercenter Bldg 6 - CY2024</t>
        </is>
      </c>
      <c r="B225" s="42" t="inlineStr">
        <is>
          <t>Expense</t>
        </is>
      </c>
      <c r="C225" s="32" t="inlineStr">
        <is>
          <t>Lighting</t>
        </is>
      </c>
      <c r="D225" s="37" t="n">
        <v>1731.19</v>
      </c>
      <c r="E225" s="32" t="inlineStr"/>
    </row>
    <row r="226">
      <c r="A226" s="32" t="inlineStr">
        <is>
          <t>Majestic Commercenter Bldg 6 - CY2024</t>
        </is>
      </c>
      <c r="B226" s="42" t="inlineStr">
        <is>
          <t>Expense</t>
        </is>
      </c>
      <c r="C226" s="32" t="inlineStr">
        <is>
          <t>Sweeping</t>
        </is>
      </c>
      <c r="D226" s="37" t="n">
        <v>1694.89</v>
      </c>
      <c r="E226" s="32" t="inlineStr"/>
    </row>
    <row r="227">
      <c r="A227" s="32" t="inlineStr">
        <is>
          <t>Majestic Commercenter Bldg 6 - CY2024</t>
        </is>
      </c>
      <c r="B227" s="42" t="inlineStr">
        <is>
          <t>Expense</t>
        </is>
      </c>
      <c r="C227" s="32" t="inlineStr">
        <is>
          <t>Other line items (backflow 270.00, HVAC 616.79, keys 179.58, repairs 169.00, signs 600.45, window washing 460.00, other utilities 15.00, tenant relations 380.69, misc admin (0.01), legal 80.68, prof svc other 732.22, environmental 447.63)</t>
        </is>
      </c>
      <c r="D227" s="37" t="n">
        <v>3952.03</v>
      </c>
      <c r="E227" s="32" t="inlineStr">
        <is>
          <t>Aggregated minor accounts</t>
        </is>
      </c>
    </row>
    <row r="228">
      <c r="A228" s="32" t="inlineStr">
        <is>
          <t>Majestic Commercenter Bldg 6 - CY2024</t>
        </is>
      </c>
      <c r="B228" s="42" t="inlineStr">
        <is>
          <t>Expense</t>
        </is>
      </c>
      <c r="C228" s="40" t="inlineStr">
        <is>
          <t>TOTAL OPERATING EXPENSES</t>
        </is>
      </c>
      <c r="D228" s="43">
        <f>SUM(D206:D227)</f>
        <v/>
      </c>
      <c r="E228" s="32" t="inlineStr">
        <is>
          <t>Printed total: $642,378.16</t>
        </is>
      </c>
    </row>
    <row r="229">
      <c r="A229" s="32" t="inlineStr">
        <is>
          <t>Majestic Commercenter Bldg 6 - CY2023</t>
        </is>
      </c>
      <c r="B229" s="42" t="inlineStr">
        <is>
          <t>Income</t>
        </is>
      </c>
      <c r="C229" s="32" t="inlineStr">
        <is>
          <t>Industrial Rental Income</t>
        </is>
      </c>
      <c r="D229" s="37" t="n">
        <v>794984.9300000001</v>
      </c>
      <c r="E229" s="32" t="inlineStr"/>
    </row>
    <row r="230">
      <c r="A230" s="32" t="inlineStr">
        <is>
          <t>Majestic Commercenter Bldg 6 - CY2023</t>
        </is>
      </c>
      <c r="B230" s="42" t="inlineStr">
        <is>
          <t>Income</t>
        </is>
      </c>
      <c r="C230" s="32" t="inlineStr">
        <is>
          <t>Real Estate Tax Reimbursement</t>
        </is>
      </c>
      <c r="D230" s="37" t="n">
        <v>556975.99</v>
      </c>
      <c r="E230" s="32" t="inlineStr"/>
    </row>
    <row r="231">
      <c r="A231" s="32" t="inlineStr">
        <is>
          <t>Majestic Commercenter Bldg 6 - CY2023</t>
        </is>
      </c>
      <c r="B231" s="42" t="inlineStr">
        <is>
          <t>Income</t>
        </is>
      </c>
      <c r="C231" s="32" t="inlineStr">
        <is>
          <t>Utilities Reimbursement</t>
        </is>
      </c>
      <c r="D231" s="37" t="n">
        <v>224211.78</v>
      </c>
      <c r="E231" s="32" t="inlineStr"/>
    </row>
    <row r="232">
      <c r="A232" s="32" t="inlineStr">
        <is>
          <t>Majestic Commercenter Bldg 6 - CY2023</t>
        </is>
      </c>
      <c r="B232" s="42" t="inlineStr">
        <is>
          <t>Income</t>
        </is>
      </c>
      <c r="C232" s="32" t="inlineStr">
        <is>
          <t>Common Area Reimbursement</t>
        </is>
      </c>
      <c r="D232" s="37" t="n">
        <v>81142.14999999999</v>
      </c>
      <c r="E232" s="32" t="inlineStr"/>
    </row>
    <row r="233">
      <c r="A233" s="32" t="inlineStr">
        <is>
          <t>Majestic Commercenter Bldg 6 - CY2023</t>
        </is>
      </c>
      <c r="B233" s="42" t="inlineStr">
        <is>
          <t>Income</t>
        </is>
      </c>
      <c r="C233" s="32" t="inlineStr">
        <is>
          <t>Direct Tenant Reimbursement</t>
        </is>
      </c>
      <c r="D233" s="37" t="n">
        <v>48969.89</v>
      </c>
      <c r="E233" s="32" t="inlineStr"/>
    </row>
    <row r="234">
      <c r="A234" s="32" t="inlineStr">
        <is>
          <t>Majestic Commercenter Bldg 6 - CY2023</t>
        </is>
      </c>
      <c r="B234" s="42" t="inlineStr">
        <is>
          <t>Income</t>
        </is>
      </c>
      <c r="C234" s="32" t="inlineStr">
        <is>
          <t>Management Fee Reimbursement</t>
        </is>
      </c>
      <c r="D234" s="37" t="n">
        <v>39899.18</v>
      </c>
      <c r="E234" s="32" t="inlineStr"/>
    </row>
    <row r="235">
      <c r="A235" s="32" t="inlineStr">
        <is>
          <t>Majestic Commercenter Bldg 6 - CY2023</t>
        </is>
      </c>
      <c r="B235" s="42" t="inlineStr">
        <is>
          <t>Income</t>
        </is>
      </c>
      <c r="C235" s="32" t="inlineStr">
        <is>
          <t>Reserve Income</t>
        </is>
      </c>
      <c r="D235" s="37" t="n">
        <v>34477.56</v>
      </c>
      <c r="E235" s="32" t="inlineStr"/>
    </row>
    <row r="236">
      <c r="A236" s="32" t="inlineStr">
        <is>
          <t>Majestic Commercenter Bldg 6 - CY2023</t>
        </is>
      </c>
      <c r="B236" s="42" t="inlineStr">
        <is>
          <t>Income</t>
        </is>
      </c>
      <c r="C236" s="32" t="inlineStr">
        <is>
          <t>Insurance Reimbursement</t>
        </is>
      </c>
      <c r="D236" s="37" t="n">
        <v>16596</v>
      </c>
      <c r="E236" s="32" t="inlineStr"/>
    </row>
    <row r="237">
      <c r="A237" s="32" t="inlineStr">
        <is>
          <t>Majestic Commercenter Bldg 6 - CY2023</t>
        </is>
      </c>
      <c r="B237" s="42" t="inlineStr">
        <is>
          <t>Income</t>
        </is>
      </c>
      <c r="C237" s="32" t="inlineStr">
        <is>
          <t>Rent Above/Below Market</t>
        </is>
      </c>
      <c r="D237" s="37" t="n">
        <v>11134.68</v>
      </c>
      <c r="E237" s="32" t="inlineStr"/>
    </row>
    <row r="238">
      <c r="A238" s="32" t="inlineStr">
        <is>
          <t>Majestic Commercenter Bldg 6 - CY2023</t>
        </is>
      </c>
      <c r="B238" s="42" t="inlineStr">
        <is>
          <t>Income</t>
        </is>
      </c>
      <c r="C238" s="32" t="inlineStr">
        <is>
          <t>Rent Concessions</t>
        </is>
      </c>
      <c r="D238" s="37" t="n">
        <v>4125.91</v>
      </c>
      <c r="E238" s="32" t="inlineStr"/>
    </row>
    <row r="239">
      <c r="A239" s="32" t="inlineStr">
        <is>
          <t>Majestic Commercenter Bldg 6 - CY2023</t>
        </is>
      </c>
      <c r="B239" s="42" t="inlineStr">
        <is>
          <t>Income</t>
        </is>
      </c>
      <c r="C239" s="32" t="inlineStr">
        <is>
          <t>Other Reimbursements</t>
        </is>
      </c>
      <c r="D239" s="37" t="n">
        <v>3757.5</v>
      </c>
      <c r="E239" s="32" t="inlineStr"/>
    </row>
    <row r="240">
      <c r="A240" s="32" t="inlineStr">
        <is>
          <t>Majestic Commercenter Bldg 6 - CY2023</t>
        </is>
      </c>
      <c r="B240" s="42" t="inlineStr">
        <is>
          <t>Income</t>
        </is>
      </c>
      <c r="C240" s="32" t="inlineStr">
        <is>
          <t>Tenant TI Reimb Income</t>
        </is>
      </c>
      <c r="D240" s="37" t="n">
        <v>2545.32</v>
      </c>
      <c r="E240" s="32" t="inlineStr"/>
    </row>
    <row r="241">
      <c r="A241" s="32" t="inlineStr">
        <is>
          <t>Majestic Commercenter Bldg 6 - CY2023</t>
        </is>
      </c>
      <c r="B241" s="42" t="inlineStr">
        <is>
          <t>Income</t>
        </is>
      </c>
      <c r="C241" s="32" t="inlineStr">
        <is>
          <t>Rent Amortization</t>
        </is>
      </c>
      <c r="D241" s="37" t="n">
        <v>-9003.48</v>
      </c>
      <c r="E241" s="32" t="inlineStr">
        <is>
          <t>Credit</t>
        </is>
      </c>
    </row>
    <row r="242">
      <c r="A242" s="32" t="inlineStr">
        <is>
          <t>Majestic Commercenter Bldg 6 - CY2023</t>
        </is>
      </c>
      <c r="B242" s="42" t="inlineStr">
        <is>
          <t>Income</t>
        </is>
      </c>
      <c r="C242" s="40" t="inlineStr">
        <is>
          <t>TOTAL REVENUE</t>
        </is>
      </c>
      <c r="D242" s="43">
        <f>SUM(D229:D241)</f>
        <v/>
      </c>
      <c r="E242" s="32" t="inlineStr">
        <is>
          <t>Printed total: $1,809,817.41</t>
        </is>
      </c>
    </row>
    <row r="243">
      <c r="A243" s="32" t="inlineStr">
        <is>
          <t>Majestic Commercenter Bldg 6 - CY2023</t>
        </is>
      </c>
      <c r="B243" s="42" t="inlineStr">
        <is>
          <t>Expense</t>
        </is>
      </c>
      <c r="C243" s="32" t="inlineStr">
        <is>
          <t>Real Estate Taxes</t>
        </is>
      </c>
      <c r="D243" s="37" t="n">
        <v>556976</v>
      </c>
      <c r="E243" s="32" t="inlineStr"/>
    </row>
    <row r="244">
      <c r="A244" s="32" t="inlineStr">
        <is>
          <t>Majestic Commercenter Bldg 6 - CY2023</t>
        </is>
      </c>
      <c r="B244" s="42" t="inlineStr">
        <is>
          <t>Expense</t>
        </is>
      </c>
      <c r="C244" s="32" t="inlineStr">
        <is>
          <t>Utilities - DTR</t>
        </is>
      </c>
      <c r="D244" s="37" t="n">
        <v>197089.44</v>
      </c>
      <c r="E244" s="32" t="inlineStr"/>
    </row>
    <row r="245">
      <c r="A245" s="32" t="inlineStr">
        <is>
          <t>Majestic Commercenter Bldg 6 - CY2023</t>
        </is>
      </c>
      <c r="B245" s="42" t="inlineStr">
        <is>
          <t>Expense</t>
        </is>
      </c>
      <c r="C245" s="32" t="inlineStr">
        <is>
          <t>Management Fees</t>
        </is>
      </c>
      <c r="D245" s="37" t="n">
        <v>51072.56</v>
      </c>
      <c r="E245" s="32" t="inlineStr"/>
    </row>
    <row r="246">
      <c r="A246" s="32" t="inlineStr">
        <is>
          <t>Majestic Commercenter Bldg 6 - CY2023</t>
        </is>
      </c>
      <c r="B246" s="42" t="inlineStr">
        <is>
          <t>Expense</t>
        </is>
      </c>
      <c r="C246" s="32" t="inlineStr">
        <is>
          <t>Other-DTR</t>
        </is>
      </c>
      <c r="D246" s="37" t="n">
        <v>31648.03</v>
      </c>
      <c r="E246" s="32" t="inlineStr"/>
    </row>
    <row r="247">
      <c r="A247" s="32" t="inlineStr">
        <is>
          <t>Majestic Commercenter Bldg 6 - CY2023</t>
        </is>
      </c>
      <c r="B247" s="42" t="inlineStr">
        <is>
          <t>Expense</t>
        </is>
      </c>
      <c r="C247" s="32" t="inlineStr">
        <is>
          <t>Utilities - Water</t>
        </is>
      </c>
      <c r="D247" s="37" t="n">
        <v>18658.55</v>
      </c>
      <c r="E247" s="32" t="inlineStr"/>
    </row>
    <row r="248">
      <c r="A248" s="32" t="inlineStr">
        <is>
          <t>Majestic Commercenter Bldg 6 - CY2023</t>
        </is>
      </c>
      <c r="B248" s="42" t="inlineStr">
        <is>
          <t>Expense</t>
        </is>
      </c>
      <c r="C248" s="32" t="inlineStr">
        <is>
          <t>Utilities - Gas/Heating</t>
        </is>
      </c>
      <c r="D248" s="37" t="n">
        <v>18061.78</v>
      </c>
      <c r="E248" s="32" t="inlineStr"/>
    </row>
    <row r="249">
      <c r="A249" s="32" t="inlineStr">
        <is>
          <t>Majestic Commercenter Bldg 6 - CY2023</t>
        </is>
      </c>
      <c r="B249" s="42" t="inlineStr">
        <is>
          <t>Expense</t>
        </is>
      </c>
      <c r="C249" s="32" t="inlineStr">
        <is>
          <t>Parking Lot</t>
        </is>
      </c>
      <c r="D249" s="37" t="n">
        <v>15959.73</v>
      </c>
      <c r="E249" s="32" t="inlineStr"/>
    </row>
    <row r="250">
      <c r="A250" s="32" t="inlineStr">
        <is>
          <t>Majestic Commercenter Bldg 6 - CY2023</t>
        </is>
      </c>
      <c r="B250" s="42" t="inlineStr">
        <is>
          <t>Expense</t>
        </is>
      </c>
      <c r="C250" s="32" t="inlineStr">
        <is>
          <t>Repairs</t>
        </is>
      </c>
      <c r="D250" s="37" t="n">
        <v>13081.96</v>
      </c>
      <c r="E250" s="32" t="inlineStr"/>
    </row>
    <row r="251">
      <c r="A251" s="32" t="inlineStr">
        <is>
          <t>Majestic Commercenter Bldg 6 - CY2023</t>
        </is>
      </c>
      <c r="B251" s="42" t="inlineStr">
        <is>
          <t>Expense</t>
        </is>
      </c>
      <c r="C251" s="32" t="inlineStr">
        <is>
          <t>Insurance - Fire &amp; Extended</t>
        </is>
      </c>
      <c r="D251" s="37" t="n">
        <v>12342</v>
      </c>
      <c r="E251" s="32" t="inlineStr"/>
    </row>
    <row r="252">
      <c r="A252" s="32" t="inlineStr">
        <is>
          <t>Majestic Commercenter Bldg 6 - CY2023</t>
        </is>
      </c>
      <c r="B252" s="42" t="inlineStr">
        <is>
          <t>Expense</t>
        </is>
      </c>
      <c r="C252" s="32" t="inlineStr">
        <is>
          <t>Snow Removal</t>
        </is>
      </c>
      <c r="D252" s="37" t="n">
        <v>12119.43</v>
      </c>
      <c r="E252" s="32" t="inlineStr"/>
    </row>
    <row r="253">
      <c r="A253" s="32" t="inlineStr">
        <is>
          <t>Majestic Commercenter Bldg 6 - CY2023</t>
        </is>
      </c>
      <c r="B253" s="42" t="inlineStr">
        <is>
          <t>Expense</t>
        </is>
      </c>
      <c r="C253" s="32" t="inlineStr">
        <is>
          <t>Landscaping</t>
        </is>
      </c>
      <c r="D253" s="37" t="n">
        <v>10957.08</v>
      </c>
      <c r="E253" s="32" t="inlineStr"/>
    </row>
    <row r="254">
      <c r="A254" s="32" t="inlineStr">
        <is>
          <t>Majestic Commercenter Bldg 6 - CY2023</t>
        </is>
      </c>
      <c r="B254" s="42" t="inlineStr">
        <is>
          <t>Expense</t>
        </is>
      </c>
      <c r="C254" s="32" t="inlineStr">
        <is>
          <t>Prof Service - Legal (Leasing)</t>
        </is>
      </c>
      <c r="D254" s="37" t="n">
        <v>6953.93</v>
      </c>
      <c r="E254" s="32" t="inlineStr"/>
    </row>
    <row r="255">
      <c r="A255" s="32" t="inlineStr">
        <is>
          <t>Majestic Commercenter Bldg 6 - CY2023</t>
        </is>
      </c>
      <c r="B255" s="42" t="inlineStr">
        <is>
          <t>Expense</t>
        </is>
      </c>
      <c r="C255" s="32" t="inlineStr">
        <is>
          <t>Fire Life Safety</t>
        </is>
      </c>
      <c r="D255" s="37" t="n">
        <v>5466.57</v>
      </c>
      <c r="E255" s="32" t="inlineStr"/>
    </row>
    <row r="256">
      <c r="A256" s="32" t="inlineStr">
        <is>
          <t>Majestic Commercenter Bldg 6 - CY2023</t>
        </is>
      </c>
      <c r="B256" s="42" t="inlineStr">
        <is>
          <t>Expense</t>
        </is>
      </c>
      <c r="C256" s="32" t="inlineStr">
        <is>
          <t>Roof</t>
        </is>
      </c>
      <c r="D256" s="37" t="n">
        <v>5407.5</v>
      </c>
      <c r="E256" s="32" t="inlineStr"/>
    </row>
    <row r="257">
      <c r="A257" s="32" t="inlineStr">
        <is>
          <t>Majestic Commercenter Bldg 6 - CY2023</t>
        </is>
      </c>
      <c r="B257" s="42" t="inlineStr">
        <is>
          <t>Expense</t>
        </is>
      </c>
      <c r="C257" s="32" t="inlineStr">
        <is>
          <t>Utilities - Electricity</t>
        </is>
      </c>
      <c r="D257" s="37" t="n">
        <v>4680.18</v>
      </c>
      <c r="E257" s="32" t="inlineStr"/>
    </row>
    <row r="258">
      <c r="A258" s="32" t="inlineStr">
        <is>
          <t>Majestic Commercenter Bldg 6 - CY2023</t>
        </is>
      </c>
      <c r="B258" s="42" t="inlineStr">
        <is>
          <t>Expense</t>
        </is>
      </c>
      <c r="C258" s="32" t="inlineStr">
        <is>
          <t>Insurance - Liability</t>
        </is>
      </c>
      <c r="D258" s="37" t="n">
        <v>4496</v>
      </c>
      <c r="E258" s="32" t="inlineStr"/>
    </row>
    <row r="259">
      <c r="A259" s="32" t="inlineStr">
        <is>
          <t>Majestic Commercenter Bldg 6 - CY2023</t>
        </is>
      </c>
      <c r="B259" s="42" t="inlineStr">
        <is>
          <t>Expense</t>
        </is>
      </c>
      <c r="C259" s="32" t="inlineStr">
        <is>
          <t>Janitorial Services</t>
        </is>
      </c>
      <c r="D259" s="37" t="n">
        <v>2154.16</v>
      </c>
      <c r="E259" s="32" t="inlineStr"/>
    </row>
    <row r="260">
      <c r="A260" s="32" t="inlineStr">
        <is>
          <t>Majestic Commercenter Bldg 6 - CY2023</t>
        </is>
      </c>
      <c r="B260" s="42" t="inlineStr">
        <is>
          <t>Expense</t>
        </is>
      </c>
      <c r="C260" s="32" t="inlineStr">
        <is>
          <t>Utilities - Telephone</t>
        </is>
      </c>
      <c r="D260" s="37" t="n">
        <v>1618.5</v>
      </c>
      <c r="E260" s="32" t="inlineStr"/>
    </row>
    <row r="261">
      <c r="A261" s="32" t="inlineStr">
        <is>
          <t>Majestic Commercenter Bldg 6 - CY2023</t>
        </is>
      </c>
      <c r="B261" s="42" t="inlineStr">
        <is>
          <t>Expense</t>
        </is>
      </c>
      <c r="C261" s="32" t="inlineStr">
        <is>
          <t>Sweeping</t>
        </is>
      </c>
      <c r="D261" s="37" t="n">
        <v>1473.97</v>
      </c>
      <c r="E261" s="32" t="inlineStr"/>
    </row>
    <row r="262">
      <c r="A262" s="32" t="inlineStr">
        <is>
          <t>Majestic Commercenter Bldg 6 - CY2023</t>
        </is>
      </c>
      <c r="B262" s="42" t="inlineStr">
        <is>
          <t>Expense</t>
        </is>
      </c>
      <c r="C262" s="32" t="inlineStr">
        <is>
          <t>Bank Service Fees</t>
        </is>
      </c>
      <c r="D262" s="37" t="n">
        <v>1242.82</v>
      </c>
      <c r="E262" s="32" t="inlineStr"/>
    </row>
    <row r="263">
      <c r="A263" s="32" t="inlineStr">
        <is>
          <t>Majestic Commercenter Bldg 6 - CY2023</t>
        </is>
      </c>
      <c r="B263" s="42" t="inlineStr">
        <is>
          <t>Expense</t>
        </is>
      </c>
      <c r="C263" s="32" t="inlineStr">
        <is>
          <t>Lighting</t>
        </is>
      </c>
      <c r="D263" s="37" t="n">
        <v>1023.14</v>
      </c>
      <c r="E263" s="32" t="inlineStr"/>
    </row>
    <row r="264">
      <c r="A264" s="32" t="inlineStr">
        <is>
          <t>Majestic Commercenter Bldg 6 - CY2023</t>
        </is>
      </c>
      <c r="B264" s="42" t="inlineStr">
        <is>
          <t>Expense</t>
        </is>
      </c>
      <c r="C264" s="32" t="inlineStr">
        <is>
          <t>Other line items (backflow, glass, painting, signs, window washing, other utilities, other prof svc, environmental)</t>
        </is>
      </c>
      <c r="D264" s="37" t="n">
        <v>2687.12</v>
      </c>
      <c r="E264" s="32" t="inlineStr">
        <is>
          <t>Aggregated minor accounts</t>
        </is>
      </c>
    </row>
    <row r="265">
      <c r="A265" s="32" t="inlineStr">
        <is>
          <t>Majestic Commercenter Bldg 6 - CY2023</t>
        </is>
      </c>
      <c r="B265" s="42" t="inlineStr">
        <is>
          <t>Expense</t>
        </is>
      </c>
      <c r="C265" s="40" t="inlineStr">
        <is>
          <t>TOTAL OPERATING EXPENSES</t>
        </is>
      </c>
      <c r="D265" s="43">
        <f>SUM(D243:D264)</f>
        <v/>
      </c>
      <c r="E265" s="32" t="inlineStr">
        <is>
          <t>Printed total: $975,170.45</t>
        </is>
      </c>
    </row>
    <row r="266">
      <c r="A266" s="32" t="inlineStr">
        <is>
          <t>Majestic Commercenter Bldg 7 - CY2024</t>
        </is>
      </c>
      <c r="B266" s="42" t="inlineStr">
        <is>
          <t>Income</t>
        </is>
      </c>
      <c r="C266" s="32" t="inlineStr">
        <is>
          <t>Industrial Rental Income</t>
        </is>
      </c>
      <c r="D266" s="37" t="n">
        <v>433916.64</v>
      </c>
      <c r="E266" s="32" t="inlineStr"/>
    </row>
    <row r="267">
      <c r="A267" s="32" t="inlineStr">
        <is>
          <t>Majestic Commercenter Bldg 7 - CY2024</t>
        </is>
      </c>
      <c r="B267" s="42" t="inlineStr">
        <is>
          <t>Income</t>
        </is>
      </c>
      <c r="C267" s="32" t="inlineStr">
        <is>
          <t>Other Reimbursements</t>
        </is>
      </c>
      <c r="D267" s="37" t="n">
        <v>158900</v>
      </c>
      <c r="E267" s="32" t="inlineStr"/>
    </row>
    <row r="268">
      <c r="A268" s="32" t="inlineStr">
        <is>
          <t>Majestic Commercenter Bldg 7 - CY2024</t>
        </is>
      </c>
      <c r="B268" s="42" t="inlineStr">
        <is>
          <t>Income</t>
        </is>
      </c>
      <c r="C268" s="32" t="inlineStr">
        <is>
          <t>Common Area Reimbursement</t>
        </is>
      </c>
      <c r="D268" s="37" t="n">
        <v>30792.45</v>
      </c>
      <c r="E268" s="32" t="inlineStr"/>
    </row>
    <row r="269">
      <c r="A269" s="32" t="inlineStr">
        <is>
          <t>Majestic Commercenter Bldg 7 - CY2024</t>
        </is>
      </c>
      <c r="B269" s="42" t="inlineStr">
        <is>
          <t>Income</t>
        </is>
      </c>
      <c r="C269" s="32" t="inlineStr">
        <is>
          <t>Insurance Reimbursement</t>
        </is>
      </c>
      <c r="D269" s="37" t="n">
        <v>21542.79</v>
      </c>
      <c r="E269" s="32" t="inlineStr"/>
    </row>
    <row r="270">
      <c r="A270" s="32" t="inlineStr">
        <is>
          <t>Majestic Commercenter Bldg 7 - CY2024</t>
        </is>
      </c>
      <c r="B270" s="42" t="inlineStr">
        <is>
          <t>Income</t>
        </is>
      </c>
      <c r="C270" s="32" t="inlineStr">
        <is>
          <t>Management Fee Reimbursement</t>
        </is>
      </c>
      <c r="D270" s="37" t="n">
        <v>12984.33</v>
      </c>
      <c r="E270" s="32" t="inlineStr"/>
    </row>
    <row r="271">
      <c r="A271" s="32" t="inlineStr">
        <is>
          <t>Majestic Commercenter Bldg 7 - CY2024</t>
        </is>
      </c>
      <c r="B271" s="42" t="inlineStr">
        <is>
          <t>Income</t>
        </is>
      </c>
      <c r="C271" s="32" t="inlineStr">
        <is>
          <t>Direct Tenant Reimbursement</t>
        </is>
      </c>
      <c r="D271" s="37" t="n">
        <v>12100</v>
      </c>
      <c r="E271" s="32" t="inlineStr"/>
    </row>
    <row r="272">
      <c r="A272" s="32" t="inlineStr">
        <is>
          <t>Majestic Commercenter Bldg 7 - CY2024</t>
        </is>
      </c>
      <c r="B272" s="42" t="inlineStr">
        <is>
          <t>Income</t>
        </is>
      </c>
      <c r="C272" s="32" t="inlineStr">
        <is>
          <t>Reserve Income</t>
        </is>
      </c>
      <c r="D272" s="37" t="n">
        <v>8666.68</v>
      </c>
      <c r="E272" s="32" t="inlineStr"/>
    </row>
    <row r="273">
      <c r="A273" s="32" t="inlineStr">
        <is>
          <t>Majestic Commercenter Bldg 7 - CY2024</t>
        </is>
      </c>
      <c r="B273" s="42" t="inlineStr">
        <is>
          <t>Income</t>
        </is>
      </c>
      <c r="C273" s="32" t="inlineStr">
        <is>
          <t>Utilities Reimbursement</t>
        </is>
      </c>
      <c r="D273" s="37" t="n">
        <v>1113.72</v>
      </c>
      <c r="E273" s="32" t="inlineStr"/>
    </row>
    <row r="274">
      <c r="A274" s="32" t="inlineStr">
        <is>
          <t>Majestic Commercenter Bldg 7 - CY2024</t>
        </is>
      </c>
      <c r="B274" s="42" t="inlineStr">
        <is>
          <t>Income</t>
        </is>
      </c>
      <c r="C274" s="32" t="inlineStr">
        <is>
          <t>Real Estate Tax Reimbursement</t>
        </is>
      </c>
      <c r="D274" s="37" t="n">
        <v>-53610.69</v>
      </c>
      <c r="E274" s="32" t="inlineStr">
        <is>
          <t>Credit - reversal on tenant departure</t>
        </is>
      </c>
    </row>
    <row r="275">
      <c r="A275" s="32" t="inlineStr">
        <is>
          <t>Majestic Commercenter Bldg 7 - CY2024</t>
        </is>
      </c>
      <c r="B275" s="42" t="inlineStr">
        <is>
          <t>Income</t>
        </is>
      </c>
      <c r="C275" s="32" t="inlineStr">
        <is>
          <t>Rent Amortization</t>
        </is>
      </c>
      <c r="D275" s="37" t="n">
        <v>-24788.4</v>
      </c>
      <c r="E275" s="32" t="inlineStr">
        <is>
          <t>Credit</t>
        </is>
      </c>
    </row>
    <row r="276">
      <c r="A276" s="32" t="inlineStr">
        <is>
          <t>Majestic Commercenter Bldg 7 - CY2024</t>
        </is>
      </c>
      <c r="B276" s="42" t="inlineStr">
        <is>
          <t>Income</t>
        </is>
      </c>
      <c r="C276" s="40" t="inlineStr">
        <is>
          <t>TOTAL REVENUE</t>
        </is>
      </c>
      <c r="D276" s="43">
        <f>SUM(D266:D275)</f>
        <v/>
      </c>
      <c r="E276" s="32" t="inlineStr">
        <is>
          <t>Printed total: $601,617.52</t>
        </is>
      </c>
    </row>
    <row r="277">
      <c r="A277" s="32" t="inlineStr">
        <is>
          <t>Majestic Commercenter Bldg 7 - CY2024</t>
        </is>
      </c>
      <c r="B277" s="42" t="inlineStr">
        <is>
          <t>Expense</t>
        </is>
      </c>
      <c r="C277" s="32" t="inlineStr">
        <is>
          <t>Property Taxes (6500)</t>
        </is>
      </c>
      <c r="D277" s="37" t="n">
        <v>416274.89</v>
      </c>
      <c r="E277" s="32" t="inlineStr"/>
    </row>
    <row r="278">
      <c r="A278" s="32" t="inlineStr">
        <is>
          <t>Majestic Commercenter Bldg 7 - CY2024</t>
        </is>
      </c>
      <c r="B278" s="42" t="inlineStr">
        <is>
          <t>Expense</t>
        </is>
      </c>
      <c r="C278" s="32" t="inlineStr">
        <is>
          <t>Repairs</t>
        </is>
      </c>
      <c r="D278" s="37" t="n">
        <v>75423.11</v>
      </c>
      <c r="E278" s="32" t="inlineStr"/>
    </row>
    <row r="279">
      <c r="A279" s="32" t="inlineStr">
        <is>
          <t>Majestic Commercenter Bldg 7 - CY2024</t>
        </is>
      </c>
      <c r="B279" s="42" t="inlineStr">
        <is>
          <t>Expense</t>
        </is>
      </c>
      <c r="C279" s="32" t="inlineStr">
        <is>
          <t>Fire Life Safety (6250)</t>
        </is>
      </c>
      <c r="D279" s="37" t="n">
        <v>59287.01</v>
      </c>
      <c r="E279" s="32" t="inlineStr"/>
    </row>
    <row r="280">
      <c r="A280" s="32" t="inlineStr">
        <is>
          <t>Majestic Commercenter Bldg 7 - CY2024</t>
        </is>
      </c>
      <c r="B280" s="42" t="inlineStr">
        <is>
          <t>Expense</t>
        </is>
      </c>
      <c r="C280" s="32" t="inlineStr">
        <is>
          <t>Concrete Repairs</t>
        </is>
      </c>
      <c r="D280" s="37" t="n">
        <v>32885</v>
      </c>
      <c r="E280" s="32" t="inlineStr"/>
    </row>
    <row r="281">
      <c r="A281" s="32" t="inlineStr">
        <is>
          <t>Majestic Commercenter Bldg 7 - CY2024</t>
        </is>
      </c>
      <c r="B281" s="42" t="inlineStr">
        <is>
          <t>Expense</t>
        </is>
      </c>
      <c r="C281" s="32" t="inlineStr">
        <is>
          <t>Leasing - Ground Lease</t>
        </is>
      </c>
      <c r="D281" s="37" t="n">
        <v>29315</v>
      </c>
      <c r="E281" s="32" t="inlineStr"/>
    </row>
    <row r="282">
      <c r="A282" s="32" t="inlineStr">
        <is>
          <t>Majestic Commercenter Bldg 7 - CY2024</t>
        </is>
      </c>
      <c r="B282" s="42" t="inlineStr">
        <is>
          <t>Expense</t>
        </is>
      </c>
      <c r="C282" s="32" t="inlineStr">
        <is>
          <t>Parking Lot (6320)</t>
        </is>
      </c>
      <c r="D282" s="37" t="n">
        <v>29326.63</v>
      </c>
      <c r="E282" s="32" t="inlineStr"/>
    </row>
    <row r="283">
      <c r="A283" s="32" t="inlineStr">
        <is>
          <t>Majestic Commercenter Bldg 7 - CY2024</t>
        </is>
      </c>
      <c r="B283" s="42" t="inlineStr">
        <is>
          <t>Expense</t>
        </is>
      </c>
      <c r="C283" s="32" t="inlineStr">
        <is>
          <t>Utilities - Water (6635)</t>
        </is>
      </c>
      <c r="D283" s="37" t="n">
        <v>21194.33</v>
      </c>
      <c r="E283" s="32" t="inlineStr"/>
    </row>
    <row r="284">
      <c r="A284" s="32" t="inlineStr">
        <is>
          <t>Majestic Commercenter Bldg 7 - CY2024</t>
        </is>
      </c>
      <c r="B284" s="42" t="inlineStr">
        <is>
          <t>Expense</t>
        </is>
      </c>
      <c r="C284" s="32" t="inlineStr">
        <is>
          <t>Painting</t>
        </is>
      </c>
      <c r="D284" s="37" t="n">
        <v>20720</v>
      </c>
      <c r="E284" s="32" t="inlineStr"/>
    </row>
    <row r="285">
      <c r="A285" s="32" t="inlineStr">
        <is>
          <t>Majestic Commercenter Bldg 7 - CY2024</t>
        </is>
      </c>
      <c r="B285" s="42" t="inlineStr">
        <is>
          <t>Expense</t>
        </is>
      </c>
      <c r="C285" s="32" t="inlineStr">
        <is>
          <t>Management Fees</t>
        </is>
      </c>
      <c r="D285" s="37" t="n">
        <v>20123.21</v>
      </c>
      <c r="E285" s="32" t="inlineStr"/>
    </row>
    <row r="286">
      <c r="A286" s="32" t="inlineStr">
        <is>
          <t>Majestic Commercenter Bldg 7 - CY2024</t>
        </is>
      </c>
      <c r="B286" s="42" t="inlineStr">
        <is>
          <t>Expense</t>
        </is>
      </c>
      <c r="C286" s="32" t="inlineStr">
        <is>
          <t>Other-DTR</t>
        </is>
      </c>
      <c r="D286" s="37" t="n">
        <v>19050.15</v>
      </c>
      <c r="E286" s="32" t="inlineStr"/>
    </row>
    <row r="287">
      <c r="A287" s="32" t="inlineStr">
        <is>
          <t>Majestic Commercenter Bldg 7 - CY2024</t>
        </is>
      </c>
      <c r="B287" s="42" t="inlineStr">
        <is>
          <t>Expense</t>
        </is>
      </c>
      <c r="C287" s="32" t="inlineStr">
        <is>
          <t>Insurance - Fire &amp; Extended</t>
        </is>
      </c>
      <c r="D287" s="37" t="n">
        <v>17999</v>
      </c>
      <c r="E287" s="32" t="inlineStr"/>
    </row>
    <row r="288">
      <c r="A288" s="32" t="inlineStr">
        <is>
          <t>Majestic Commercenter Bldg 7 - CY2024</t>
        </is>
      </c>
      <c r="B288" s="42" t="inlineStr">
        <is>
          <t>Expense</t>
        </is>
      </c>
      <c r="C288" s="32" t="inlineStr">
        <is>
          <t>HVAC (6275)</t>
        </is>
      </c>
      <c r="D288" s="37" t="n">
        <v>17159.38</v>
      </c>
      <c r="E288" s="32" t="inlineStr"/>
    </row>
    <row r="289">
      <c r="A289" s="32" t="inlineStr">
        <is>
          <t>Majestic Commercenter Bldg 7 - CY2024</t>
        </is>
      </c>
      <c r="B289" s="42" t="inlineStr">
        <is>
          <t>Expense</t>
        </is>
      </c>
      <c r="C289" s="32" t="inlineStr">
        <is>
          <t>Utilities - Electricity</t>
        </is>
      </c>
      <c r="D289" s="37" t="n">
        <v>15456.85</v>
      </c>
      <c r="E289" s="32" t="inlineStr"/>
    </row>
    <row r="290">
      <c r="A290" s="32" t="inlineStr">
        <is>
          <t>Majestic Commercenter Bldg 7 - CY2024</t>
        </is>
      </c>
      <c r="B290" s="42" t="inlineStr">
        <is>
          <t>Expense</t>
        </is>
      </c>
      <c r="C290" s="32" t="inlineStr">
        <is>
          <t>Snow Removal (5370)</t>
        </is>
      </c>
      <c r="D290" s="37" t="n">
        <v>13374.26</v>
      </c>
      <c r="E290" s="32" t="inlineStr"/>
    </row>
    <row r="291">
      <c r="A291" s="32" t="inlineStr">
        <is>
          <t>Majestic Commercenter Bldg 7 - CY2024</t>
        </is>
      </c>
      <c r="B291" s="42" t="inlineStr">
        <is>
          <t>Expense</t>
        </is>
      </c>
      <c r="C291" s="32" t="inlineStr">
        <is>
          <t>Fire Life Safety (5250)</t>
        </is>
      </c>
      <c r="D291" s="37" t="n">
        <v>12824.29</v>
      </c>
      <c r="E291" s="32" t="inlineStr"/>
    </row>
    <row r="292">
      <c r="A292" s="32" t="inlineStr">
        <is>
          <t>Majestic Commercenter Bldg 7 - CY2024</t>
        </is>
      </c>
      <c r="B292" s="42" t="inlineStr">
        <is>
          <t>Expense</t>
        </is>
      </c>
      <c r="C292" s="32" t="inlineStr">
        <is>
          <t>Parking Lot (5320)</t>
        </is>
      </c>
      <c r="D292" s="37" t="n">
        <v>12938.36</v>
      </c>
      <c r="E292" s="32" t="inlineStr"/>
    </row>
    <row r="293">
      <c r="A293" s="32" t="inlineStr">
        <is>
          <t>Majestic Commercenter Bldg 7 - CY2024</t>
        </is>
      </c>
      <c r="B293" s="42" t="inlineStr">
        <is>
          <t>Expense</t>
        </is>
      </c>
      <c r="C293" s="32" t="inlineStr">
        <is>
          <t>Janitorial Services</t>
        </is>
      </c>
      <c r="D293" s="37" t="n">
        <v>12258.24</v>
      </c>
      <c r="E293" s="32" t="inlineStr"/>
    </row>
    <row r="294">
      <c r="A294" s="32" t="inlineStr">
        <is>
          <t>Majestic Commercenter Bldg 7 - CY2024</t>
        </is>
      </c>
      <c r="B294" s="42" t="inlineStr">
        <is>
          <t>Expense</t>
        </is>
      </c>
      <c r="C294" s="32" t="inlineStr">
        <is>
          <t>Utilities - Gas/Heating</t>
        </is>
      </c>
      <c r="D294" s="37" t="n">
        <v>10275.31</v>
      </c>
      <c r="E294" s="32" t="inlineStr"/>
    </row>
    <row r="295">
      <c r="A295" s="32" t="inlineStr">
        <is>
          <t>Majestic Commercenter Bldg 7 - CY2024</t>
        </is>
      </c>
      <c r="B295" s="42" t="inlineStr">
        <is>
          <t>Expense</t>
        </is>
      </c>
      <c r="C295" s="32" t="inlineStr">
        <is>
          <t>Roof (5350)</t>
        </is>
      </c>
      <c r="D295" s="37" t="n">
        <v>10428</v>
      </c>
      <c r="E295" s="32" t="inlineStr"/>
    </row>
    <row r="296">
      <c r="A296" s="32" t="inlineStr">
        <is>
          <t>Majestic Commercenter Bldg 7 - CY2024</t>
        </is>
      </c>
      <c r="B296" s="42" t="inlineStr">
        <is>
          <t>Expense</t>
        </is>
      </c>
      <c r="C296" s="32" t="inlineStr">
        <is>
          <t>Landscaping (5290)</t>
        </is>
      </c>
      <c r="D296" s="37" t="n">
        <v>10027.04</v>
      </c>
      <c r="E296" s="32" t="inlineStr"/>
    </row>
    <row r="297">
      <c r="A297" s="32" t="inlineStr">
        <is>
          <t>Majestic Commercenter Bldg 7 - CY2024</t>
        </is>
      </c>
      <c r="B297" s="42" t="inlineStr">
        <is>
          <t>Expense</t>
        </is>
      </c>
      <c r="C297" s="32" t="inlineStr">
        <is>
          <t>Snow Removal (6370)</t>
        </is>
      </c>
      <c r="D297" s="37" t="n">
        <v>8979.6</v>
      </c>
      <c r="E297" s="32" t="inlineStr"/>
    </row>
    <row r="298">
      <c r="A298" s="32" t="inlineStr">
        <is>
          <t>Majestic Commercenter Bldg 7 - CY2024</t>
        </is>
      </c>
      <c r="B298" s="42" t="inlineStr">
        <is>
          <t>Expense</t>
        </is>
      </c>
      <c r="C298" s="32" t="inlineStr">
        <is>
          <t>Insurance - Liability</t>
        </is>
      </c>
      <c r="D298" s="37" t="n">
        <v>6631</v>
      </c>
      <c r="E298" s="32" t="inlineStr"/>
    </row>
    <row r="299">
      <c r="A299" s="32" t="inlineStr">
        <is>
          <t>Majestic Commercenter Bldg 7 - CY2024</t>
        </is>
      </c>
      <c r="B299" s="42" t="inlineStr">
        <is>
          <t>Expense</t>
        </is>
      </c>
      <c r="C299" s="32" t="inlineStr">
        <is>
          <t>Landscaping (6290)</t>
        </is>
      </c>
      <c r="D299" s="37" t="n">
        <v>6686.44</v>
      </c>
      <c r="E299" s="32" t="inlineStr"/>
    </row>
    <row r="300">
      <c r="A300" s="32" t="inlineStr">
        <is>
          <t>Majestic Commercenter Bldg 7 - CY2024</t>
        </is>
      </c>
      <c r="B300" s="42" t="inlineStr">
        <is>
          <t>Expense</t>
        </is>
      </c>
      <c r="C300" s="32" t="inlineStr">
        <is>
          <t>HVAC (5275)</t>
        </is>
      </c>
      <c r="D300" s="37" t="n">
        <v>4732</v>
      </c>
      <c r="E300" s="32" t="inlineStr"/>
    </row>
    <row r="301">
      <c r="A301" s="32" t="inlineStr">
        <is>
          <t>Majestic Commercenter Bldg 7 - CY2024</t>
        </is>
      </c>
      <c r="B301" s="42" t="inlineStr">
        <is>
          <t>Expense</t>
        </is>
      </c>
      <c r="C301" s="32" t="inlineStr">
        <is>
          <t>Prof Service - Tax Prep</t>
        </is>
      </c>
      <c r="D301" s="37" t="n">
        <v>4206</v>
      </c>
      <c r="E301" s="32" t="inlineStr"/>
    </row>
    <row r="302">
      <c r="A302" s="32" t="inlineStr">
        <is>
          <t>Majestic Commercenter Bldg 7 - CY2024</t>
        </is>
      </c>
      <c r="B302" s="42" t="inlineStr">
        <is>
          <t>Expense</t>
        </is>
      </c>
      <c r="C302" s="32" t="inlineStr">
        <is>
          <t>Utilities - Water (5635)</t>
        </is>
      </c>
      <c r="D302" s="37" t="n">
        <v>4131.02</v>
      </c>
      <c r="E302" s="32" t="inlineStr"/>
    </row>
    <row r="303">
      <c r="A303" s="32" t="inlineStr">
        <is>
          <t>Majestic Commercenter Bldg 7 - CY2024</t>
        </is>
      </c>
      <c r="B303" s="42" t="inlineStr">
        <is>
          <t>Expense</t>
        </is>
      </c>
      <c r="C303" s="32" t="inlineStr">
        <is>
          <t>Prof Service - Legal (Leasing)</t>
        </is>
      </c>
      <c r="D303" s="37" t="n">
        <v>2710</v>
      </c>
      <c r="E303" s="32" t="inlineStr"/>
    </row>
    <row r="304">
      <c r="A304" s="32" t="inlineStr">
        <is>
          <t>Majestic Commercenter Bldg 7 - CY2024</t>
        </is>
      </c>
      <c r="B304" s="42" t="inlineStr">
        <is>
          <t>Expense</t>
        </is>
      </c>
      <c r="C304" s="32" t="inlineStr">
        <is>
          <t>Door Repairs</t>
        </is>
      </c>
      <c r="D304" s="37" t="n">
        <v>2575.31</v>
      </c>
      <c r="E304" s="32" t="inlineStr"/>
    </row>
    <row r="305">
      <c r="A305" s="32" t="inlineStr">
        <is>
          <t>Majestic Commercenter Bldg 7 - CY2024</t>
        </is>
      </c>
      <c r="B305" s="42" t="inlineStr">
        <is>
          <t>Expense</t>
        </is>
      </c>
      <c r="C305" s="32" t="inlineStr">
        <is>
          <t>Plumbing</t>
        </is>
      </c>
      <c r="D305" s="37" t="n">
        <v>1944.32</v>
      </c>
      <c r="E305" s="32" t="inlineStr"/>
    </row>
    <row r="306">
      <c r="A306" s="32" t="inlineStr">
        <is>
          <t>Majestic Commercenter Bldg 7 - CY2024</t>
        </is>
      </c>
      <c r="B306" s="42" t="inlineStr">
        <is>
          <t>Expense</t>
        </is>
      </c>
      <c r="C306" s="32" t="inlineStr">
        <is>
          <t>Sweeping</t>
        </is>
      </c>
      <c r="D306" s="37" t="n">
        <v>2711.83</v>
      </c>
      <c r="E306" s="32" t="inlineStr"/>
    </row>
    <row r="307">
      <c r="A307" s="32" t="inlineStr">
        <is>
          <t>Majestic Commercenter Bldg 7 - CY2024</t>
        </is>
      </c>
      <c r="B307" s="42" t="inlineStr">
        <is>
          <t>Expense</t>
        </is>
      </c>
      <c r="C307" s="32" t="inlineStr">
        <is>
          <t>Other minor accounts (lighting 484.80+852.67, signs 493.46+398.77, window washing 130.00+390.00, backflow 435.00, electrical 476.32, keys 779.00, pest 280.00, roof 6350 1,596.75, repairs 5345 797.50, other utilities 500.92, legal 80.68, prof svc other 732.22)</t>
        </is>
      </c>
      <c r="D307" s="37" t="n">
        <v>8428.09</v>
      </c>
      <c r="E307" s="32" t="inlineStr">
        <is>
          <t>Aggregated</t>
        </is>
      </c>
    </row>
    <row r="308">
      <c r="A308" s="32" t="inlineStr">
        <is>
          <t>Majestic Commercenter Bldg 7 - CY2024</t>
        </is>
      </c>
      <c r="B308" s="42" t="inlineStr">
        <is>
          <t>Expense</t>
        </is>
      </c>
      <c r="C308" s="32" t="inlineStr">
        <is>
          <t>Real Estate Taxes (5500)</t>
        </is>
      </c>
      <c r="D308" s="37" t="n">
        <v>-53477.66</v>
      </c>
      <c r="E308" s="32" t="inlineStr">
        <is>
          <t>Credit - reversal</t>
        </is>
      </c>
    </row>
    <row r="309">
      <c r="A309" s="32" t="inlineStr">
        <is>
          <t>Majestic Commercenter Bldg 7 - CY2024</t>
        </is>
      </c>
      <c r="B309" s="42" t="inlineStr">
        <is>
          <t>Expense</t>
        </is>
      </c>
      <c r="C309" s="40" t="inlineStr">
        <is>
          <t>TOTAL OPERATING EXPENSES</t>
        </is>
      </c>
      <c r="D309" s="43">
        <f>SUM(D277:D308)</f>
        <v/>
      </c>
      <c r="E309" s="32" t="inlineStr">
        <is>
          <t>Printed total: $856,598.01</t>
        </is>
      </c>
    </row>
    <row r="310">
      <c r="A310" s="32" t="inlineStr">
        <is>
          <t>Majestic Commercenter Bldg 7 - CY2023</t>
        </is>
      </c>
      <c r="B310" s="42" t="inlineStr">
        <is>
          <t>Income</t>
        </is>
      </c>
      <c r="C310" s="32" t="inlineStr">
        <is>
          <t>Industrial Rental Income</t>
        </is>
      </c>
      <c r="D310" s="37" t="n">
        <v>1291166.6</v>
      </c>
      <c r="E310" s="32" t="inlineStr"/>
    </row>
    <row r="311">
      <c r="A311" s="32" t="inlineStr">
        <is>
          <t>Majestic Commercenter Bldg 7 - CY2023</t>
        </is>
      </c>
      <c r="B311" s="42" t="inlineStr">
        <is>
          <t>Income</t>
        </is>
      </c>
      <c r="C311" s="32" t="inlineStr">
        <is>
          <t>Real Estate Tax Reimbursement</t>
        </is>
      </c>
      <c r="D311" s="37" t="n">
        <v>887022</v>
      </c>
      <c r="E311" s="32" t="inlineStr"/>
    </row>
    <row r="312">
      <c r="A312" s="32" t="inlineStr">
        <is>
          <t>Majestic Commercenter Bldg 7 - CY2023</t>
        </is>
      </c>
      <c r="B312" s="42" t="inlineStr">
        <is>
          <t>Income</t>
        </is>
      </c>
      <c r="C312" s="32" t="inlineStr">
        <is>
          <t>Common Area Reimbursement</t>
        </is>
      </c>
      <c r="D312" s="37" t="n">
        <v>112314.39</v>
      </c>
      <c r="E312" s="32" t="inlineStr"/>
    </row>
    <row r="313">
      <c r="A313" s="32" t="inlineStr">
        <is>
          <t>Majestic Commercenter Bldg 7 - CY2023</t>
        </is>
      </c>
      <c r="B313" s="42" t="inlineStr">
        <is>
          <t>Income</t>
        </is>
      </c>
      <c r="C313" s="32" t="inlineStr">
        <is>
          <t>Management Fee Reimbursement</t>
        </is>
      </c>
      <c r="D313" s="37" t="n">
        <v>27573.73</v>
      </c>
      <c r="E313" s="32" t="inlineStr"/>
    </row>
    <row r="314">
      <c r="A314" s="32" t="inlineStr">
        <is>
          <t>Majestic Commercenter Bldg 7 - CY2023</t>
        </is>
      </c>
      <c r="B314" s="42" t="inlineStr">
        <is>
          <t>Income</t>
        </is>
      </c>
      <c r="C314" s="32" t="inlineStr">
        <is>
          <t>Reserve Income</t>
        </is>
      </c>
      <c r="D314" s="37" t="n">
        <v>26000.04</v>
      </c>
      <c r="E314" s="32" t="inlineStr"/>
    </row>
    <row r="315">
      <c r="A315" s="32" t="inlineStr">
        <is>
          <t>Majestic Commercenter Bldg 7 - CY2023</t>
        </is>
      </c>
      <c r="B315" s="42" t="inlineStr">
        <is>
          <t>Income</t>
        </is>
      </c>
      <c r="C315" s="32" t="inlineStr">
        <is>
          <t>Rent Amortization</t>
        </is>
      </c>
      <c r="D315" s="37" t="n">
        <v>-63781.76</v>
      </c>
      <c r="E315" s="32" t="inlineStr">
        <is>
          <t>Credit</t>
        </is>
      </c>
    </row>
    <row r="316">
      <c r="A316" s="32" t="inlineStr">
        <is>
          <t>Majestic Commercenter Bldg 7 - CY2023</t>
        </is>
      </c>
      <c r="B316" s="42" t="inlineStr">
        <is>
          <t>Income</t>
        </is>
      </c>
      <c r="C316" s="40" t="inlineStr">
        <is>
          <t>TOTAL REVENUE</t>
        </is>
      </c>
      <c r="D316" s="43">
        <f>SUM(D310:D315)</f>
        <v/>
      </c>
      <c r="E316" s="32" t="inlineStr">
        <is>
          <t>Printed total: $2,280,295.00</t>
        </is>
      </c>
    </row>
    <row r="317">
      <c r="A317" s="32" t="inlineStr">
        <is>
          <t>Majestic Commercenter Bldg 7 - CY2023</t>
        </is>
      </c>
      <c r="B317" s="42" t="inlineStr">
        <is>
          <t>Expense</t>
        </is>
      </c>
      <c r="C317" s="32" t="inlineStr">
        <is>
          <t>Real Estate Taxes</t>
        </is>
      </c>
      <c r="D317" s="37" t="n">
        <v>887022</v>
      </c>
      <c r="E317" s="32" t="inlineStr"/>
    </row>
    <row r="318">
      <c r="A318" s="32" t="inlineStr">
        <is>
          <t>Majestic Commercenter Bldg 7 - CY2023</t>
        </is>
      </c>
      <c r="B318" s="42" t="inlineStr">
        <is>
          <t>Expense</t>
        </is>
      </c>
      <c r="C318" s="32" t="inlineStr">
        <is>
          <t>Leasing - Ground Lease</t>
        </is>
      </c>
      <c r="D318" s="37" t="n">
        <v>87230</v>
      </c>
      <c r="E318" s="32" t="inlineStr"/>
    </row>
    <row r="319">
      <c r="A319" s="32" t="inlineStr">
        <is>
          <t>Majestic Commercenter Bldg 7 - CY2023</t>
        </is>
      </c>
      <c r="B319" s="42" t="inlineStr">
        <is>
          <t>Expense</t>
        </is>
      </c>
      <c r="C319" s="32" t="inlineStr">
        <is>
          <t>Parking Lot</t>
        </is>
      </c>
      <c r="D319" s="37" t="n">
        <v>56960.31</v>
      </c>
      <c r="E319" s="32" t="inlineStr"/>
    </row>
    <row r="320">
      <c r="A320" s="32" t="inlineStr">
        <is>
          <t>Majestic Commercenter Bldg 7 - CY2023</t>
        </is>
      </c>
      <c r="B320" s="42" t="inlineStr">
        <is>
          <t>Expense</t>
        </is>
      </c>
      <c r="C320" s="32" t="inlineStr">
        <is>
          <t>Management Fees</t>
        </is>
      </c>
      <c r="D320" s="37" t="n">
        <v>39763.87</v>
      </c>
      <c r="E320" s="32" t="inlineStr"/>
    </row>
    <row r="321">
      <c r="A321" s="32" t="inlineStr">
        <is>
          <t>Majestic Commercenter Bldg 7 - CY2023</t>
        </is>
      </c>
      <c r="B321" s="42" t="inlineStr">
        <is>
          <t>Expense</t>
        </is>
      </c>
      <c r="C321" s="32" t="inlineStr">
        <is>
          <t>Snow Removal</t>
        </is>
      </c>
      <c r="D321" s="37" t="n">
        <v>24526.92</v>
      </c>
      <c r="E321" s="32" t="inlineStr"/>
    </row>
    <row r="322">
      <c r="A322" s="32" t="inlineStr">
        <is>
          <t>Majestic Commercenter Bldg 7 - CY2023</t>
        </is>
      </c>
      <c r="B322" s="42" t="inlineStr">
        <is>
          <t>Expense</t>
        </is>
      </c>
      <c r="C322" s="32" t="inlineStr">
        <is>
          <t>Insurance - Fire &amp; Extended</t>
        </is>
      </c>
      <c r="D322" s="37" t="n">
        <v>15576</v>
      </c>
      <c r="E322" s="32" t="inlineStr"/>
    </row>
    <row r="323">
      <c r="A323" s="32" t="inlineStr">
        <is>
          <t>Majestic Commercenter Bldg 7 - CY2023</t>
        </is>
      </c>
      <c r="B323" s="42" t="inlineStr">
        <is>
          <t>Expense</t>
        </is>
      </c>
      <c r="C323" s="32" t="inlineStr">
        <is>
          <t>Landscaping</t>
        </is>
      </c>
      <c r="D323" s="37" t="n">
        <v>13090.67</v>
      </c>
      <c r="E323" s="32" t="inlineStr"/>
    </row>
    <row r="324">
      <c r="A324" s="32" t="inlineStr">
        <is>
          <t>Majestic Commercenter Bldg 7 - CY2023</t>
        </is>
      </c>
      <c r="B324" s="42" t="inlineStr">
        <is>
          <t>Expense</t>
        </is>
      </c>
      <c r="C324" s="32" t="inlineStr">
        <is>
          <t>HVAC</t>
        </is>
      </c>
      <c r="D324" s="37" t="n">
        <v>9664</v>
      </c>
      <c r="E324" s="32" t="inlineStr"/>
    </row>
    <row r="325">
      <c r="A325" s="32" t="inlineStr">
        <is>
          <t>Majestic Commercenter Bldg 7 - CY2023</t>
        </is>
      </c>
      <c r="B325" s="42" t="inlineStr">
        <is>
          <t>Expense</t>
        </is>
      </c>
      <c r="C325" s="32" t="inlineStr">
        <is>
          <t>Insurance - Liability</t>
        </is>
      </c>
      <c r="D325" s="37" t="n">
        <v>7206</v>
      </c>
      <c r="E325" s="32" t="inlineStr"/>
    </row>
    <row r="326">
      <c r="A326" s="32" t="inlineStr">
        <is>
          <t>Majestic Commercenter Bldg 7 - CY2023</t>
        </is>
      </c>
      <c r="B326" s="42" t="inlineStr">
        <is>
          <t>Expense</t>
        </is>
      </c>
      <c r="C326" s="32" t="inlineStr">
        <is>
          <t>Fire Life Safety</t>
        </is>
      </c>
      <c r="D326" s="37" t="n">
        <v>6193.09</v>
      </c>
      <c r="E326" s="32" t="inlineStr"/>
    </row>
    <row r="327">
      <c r="A327" s="32" t="inlineStr">
        <is>
          <t>Majestic Commercenter Bldg 7 - CY2023</t>
        </is>
      </c>
      <c r="B327" s="42" t="inlineStr">
        <is>
          <t>Expense</t>
        </is>
      </c>
      <c r="C327" s="32" t="inlineStr">
        <is>
          <t>Roof</t>
        </is>
      </c>
      <c r="D327" s="37" t="n">
        <v>4195</v>
      </c>
      <c r="E327" s="32" t="inlineStr"/>
    </row>
    <row r="328">
      <c r="A328" s="32" t="inlineStr">
        <is>
          <t>Majestic Commercenter Bldg 7 - CY2023</t>
        </is>
      </c>
      <c r="B328" s="42" t="inlineStr">
        <is>
          <t>Expense</t>
        </is>
      </c>
      <c r="C328" s="32" t="inlineStr">
        <is>
          <t>Repairs</t>
        </is>
      </c>
      <c r="D328" s="37" t="n">
        <v>3267.42</v>
      </c>
      <c r="E328" s="32" t="inlineStr"/>
    </row>
    <row r="329">
      <c r="A329" s="32" t="inlineStr">
        <is>
          <t>Majestic Commercenter Bldg 7 - CY2023</t>
        </is>
      </c>
      <c r="B329" s="42" t="inlineStr">
        <is>
          <t>Expense</t>
        </is>
      </c>
      <c r="C329" s="32" t="inlineStr">
        <is>
          <t>Sweeping</t>
        </is>
      </c>
      <c r="D329" s="37" t="n">
        <v>2352.16</v>
      </c>
      <c r="E329" s="32" t="inlineStr"/>
    </row>
    <row r="330">
      <c r="A330" s="32" t="inlineStr">
        <is>
          <t>Majestic Commercenter Bldg 7 - CY2023</t>
        </is>
      </c>
      <c r="B330" s="42" t="inlineStr">
        <is>
          <t>Expense</t>
        </is>
      </c>
      <c r="C330" s="32" t="inlineStr">
        <is>
          <t>Lighting</t>
        </is>
      </c>
      <c r="D330" s="37" t="n">
        <v>1385.67</v>
      </c>
      <c r="E330" s="32" t="inlineStr"/>
    </row>
    <row r="331">
      <c r="A331" s="32" t="inlineStr">
        <is>
          <t>Majestic Commercenter Bldg 7 - CY2023</t>
        </is>
      </c>
      <c r="B331" s="42" t="inlineStr">
        <is>
          <t>Expense</t>
        </is>
      </c>
      <c r="C331" s="32" t="inlineStr">
        <is>
          <t>Bank Service Fees</t>
        </is>
      </c>
      <c r="D331" s="37" t="n">
        <v>1274.17</v>
      </c>
      <c r="E331" s="32" t="inlineStr"/>
    </row>
    <row r="332">
      <c r="A332" s="32" t="inlineStr">
        <is>
          <t>Majestic Commercenter Bldg 7 - CY2023</t>
        </is>
      </c>
      <c r="B332" s="42" t="inlineStr">
        <is>
          <t>Expense</t>
        </is>
      </c>
      <c r="C332" s="32" t="inlineStr">
        <is>
          <t>Prof Service - Other</t>
        </is>
      </c>
      <c r="D332" s="37" t="n">
        <v>733.55</v>
      </c>
      <c r="E332" s="32" t="inlineStr"/>
    </row>
    <row r="333">
      <c r="A333" s="32" t="inlineStr">
        <is>
          <t>Majestic Commercenter Bldg 7 - CY2023</t>
        </is>
      </c>
      <c r="B333" s="42" t="inlineStr">
        <is>
          <t>Expense</t>
        </is>
      </c>
      <c r="C333" s="32" t="inlineStr">
        <is>
          <t>Window Washing</t>
        </is>
      </c>
      <c r="D333" s="37" t="n">
        <v>520</v>
      </c>
      <c r="E333" s="32" t="inlineStr"/>
    </row>
    <row r="334">
      <c r="A334" s="32" t="inlineStr">
        <is>
          <t>Majestic Commercenter Bldg 7 - CY2023</t>
        </is>
      </c>
      <c r="B334" s="42" t="inlineStr">
        <is>
          <t>Expense</t>
        </is>
      </c>
      <c r="C334" s="32" t="inlineStr">
        <is>
          <t>Backflow Testing &amp; Repair</t>
        </is>
      </c>
      <c r="D334" s="37" t="n">
        <v>491.29</v>
      </c>
      <c r="E334" s="32" t="inlineStr"/>
    </row>
    <row r="335">
      <c r="A335" s="32" t="inlineStr">
        <is>
          <t>Majestic Commercenter Bldg 7 - CY2023</t>
        </is>
      </c>
      <c r="B335" s="42" t="inlineStr">
        <is>
          <t>Expense</t>
        </is>
      </c>
      <c r="C335" s="32" t="inlineStr">
        <is>
          <t>Prof Service - Other Environ</t>
        </is>
      </c>
      <c r="D335" s="37" t="n">
        <v>400</v>
      </c>
      <c r="E335" s="32" t="inlineStr"/>
    </row>
    <row r="336">
      <c r="A336" s="32" t="inlineStr">
        <is>
          <t>Majestic Commercenter Bldg 7 - CY2023</t>
        </is>
      </c>
      <c r="B336" s="42" t="inlineStr">
        <is>
          <t>Expense</t>
        </is>
      </c>
      <c r="C336" s="32" t="inlineStr">
        <is>
          <t>Keys/Card Access</t>
        </is>
      </c>
      <c r="D336" s="37" t="n">
        <v>252.01</v>
      </c>
      <c r="E336" s="32" t="inlineStr"/>
    </row>
    <row r="337">
      <c r="A337" s="32" t="inlineStr">
        <is>
          <t>Majestic Commercenter Bldg 7 - CY2023</t>
        </is>
      </c>
      <c r="B337" s="42" t="inlineStr">
        <is>
          <t>Expense</t>
        </is>
      </c>
      <c r="C337" s="32" t="inlineStr">
        <is>
          <t>Other-DTR</t>
        </is>
      </c>
      <c r="D337" s="37" t="n">
        <v>162.5</v>
      </c>
      <c r="E337" s="32" t="inlineStr"/>
    </row>
    <row r="338">
      <c r="A338" s="32" t="inlineStr">
        <is>
          <t>Majestic Commercenter Bldg 7 - CY2023</t>
        </is>
      </c>
      <c r="B338" s="42" t="inlineStr">
        <is>
          <t>Expense</t>
        </is>
      </c>
      <c r="C338" s="32" t="inlineStr">
        <is>
          <t>Signs</t>
        </is>
      </c>
      <c r="D338" s="37" t="n">
        <v>81.70999999999999</v>
      </c>
      <c r="E338" s="32" t="inlineStr"/>
    </row>
    <row r="339">
      <c r="A339" s="32" t="inlineStr">
        <is>
          <t>Majestic Commercenter Bldg 7 - CY2023</t>
        </is>
      </c>
      <c r="B339" s="42" t="inlineStr">
        <is>
          <t>Expense</t>
        </is>
      </c>
      <c r="C339" s="32" t="inlineStr">
        <is>
          <t>Painting</t>
        </is>
      </c>
      <c r="D339" s="37" t="n">
        <v>52.63</v>
      </c>
      <c r="E339" s="32" t="inlineStr"/>
    </row>
    <row r="340">
      <c r="A340" s="32" t="inlineStr">
        <is>
          <t>Majestic Commercenter Bldg 7 - CY2023</t>
        </is>
      </c>
      <c r="B340" s="42" t="inlineStr">
        <is>
          <t>Expense</t>
        </is>
      </c>
      <c r="C340" s="32" t="inlineStr">
        <is>
          <t>Utilities - Other / Misc admin</t>
        </is>
      </c>
      <c r="D340" s="37" t="n">
        <v>1.7</v>
      </c>
      <c r="E340" s="32" t="inlineStr"/>
    </row>
    <row r="341">
      <c r="A341" s="32" t="inlineStr">
        <is>
          <t>Majestic Commercenter Bldg 7 - CY2023</t>
        </is>
      </c>
      <c r="B341" s="42" t="inlineStr">
        <is>
          <t>Expense</t>
        </is>
      </c>
      <c r="C341" s="40" t="inlineStr">
        <is>
          <t>TOTAL OPERATING EXPENSES</t>
        </is>
      </c>
      <c r="D341" s="43">
        <f>SUM(D317:D340)</f>
        <v/>
      </c>
      <c r="E341" s="32" t="inlineStr">
        <is>
          <t>Printed total: $1,162,402.67</t>
        </is>
      </c>
    </row>
    <row r="342">
      <c r="A342" s="32" t="inlineStr">
        <is>
          <t>5977-5995 N Broadway - CY2023</t>
        </is>
      </c>
      <c r="B342" s="42" t="inlineStr">
        <is>
          <t>Income</t>
        </is>
      </c>
      <c r="C342" s="32" t="inlineStr">
        <is>
          <t>401000 Base Rent Income</t>
        </is>
      </c>
      <c r="D342" s="37" t="n">
        <v>362048</v>
      </c>
      <c r="E342" s="32" t="inlineStr"/>
    </row>
    <row r="343">
      <c r="A343" s="32" t="inlineStr">
        <is>
          <t>5977-5995 N Broadway - CY2023</t>
        </is>
      </c>
      <c r="B343" s="42" t="inlineStr">
        <is>
          <t>Income</t>
        </is>
      </c>
      <c r="C343" s="32" t="inlineStr">
        <is>
          <t>408010 S/L Rent Revenue Adjustment</t>
        </is>
      </c>
      <c r="D343" s="37" t="n">
        <v>-31913</v>
      </c>
      <c r="E343" s="32" t="inlineStr">
        <is>
          <t>Straight-line adjustment</t>
        </is>
      </c>
    </row>
    <row r="344">
      <c r="A344" s="32" t="inlineStr">
        <is>
          <t>5977-5995 N Broadway - CY2023</t>
        </is>
      </c>
      <c r="B344" s="42" t="inlineStr">
        <is>
          <t>Income</t>
        </is>
      </c>
      <c r="C344" s="32" t="inlineStr">
        <is>
          <t>410100 Monthly Estimated CAM</t>
        </is>
      </c>
      <c r="D344" s="37" t="n">
        <v>194867</v>
      </c>
      <c r="E344" s="32" t="inlineStr"/>
    </row>
    <row r="345">
      <c r="A345" s="32" t="inlineStr">
        <is>
          <t>5977-5995 N Broadway - CY2023</t>
        </is>
      </c>
      <c r="B345" s="42" t="inlineStr">
        <is>
          <t>Income</t>
        </is>
      </c>
      <c r="C345" s="32" t="inlineStr">
        <is>
          <t>412060 Tenant Direct Billed CAM</t>
        </is>
      </c>
      <c r="D345" s="37" t="n">
        <v>2700</v>
      </c>
      <c r="E345" s="32" t="inlineStr"/>
    </row>
    <row r="346">
      <c r="A346" s="32" t="inlineStr">
        <is>
          <t>5977-5995 N Broadway - CY2023</t>
        </is>
      </c>
      <c r="B346" s="42" t="inlineStr">
        <is>
          <t>Income</t>
        </is>
      </c>
      <c r="C346" s="32" t="inlineStr">
        <is>
          <t>413030 Current Year CAM Accrual</t>
        </is>
      </c>
      <c r="D346" s="37" t="n">
        <v>22328</v>
      </c>
      <c r="E346" s="32" t="inlineStr"/>
    </row>
    <row r="347">
      <c r="A347" s="32" t="inlineStr">
        <is>
          <t>5977-5995 N Broadway - CY2023</t>
        </is>
      </c>
      <c r="B347" s="42" t="inlineStr">
        <is>
          <t>Income</t>
        </is>
      </c>
      <c r="C347" s="32" t="inlineStr">
        <is>
          <t>415000 Prior Year CAM Reconciliation</t>
        </is>
      </c>
      <c r="D347" s="37" t="n">
        <v>0</v>
      </c>
      <c r="E347" s="32" t="inlineStr"/>
    </row>
    <row r="348">
      <c r="A348" s="32" t="inlineStr">
        <is>
          <t>5977-5995 N Broadway - CY2023</t>
        </is>
      </c>
      <c r="B348" s="42" t="inlineStr">
        <is>
          <t>Income</t>
        </is>
      </c>
      <c r="C348" s="40" t="inlineStr">
        <is>
          <t>TOTAL REVENUE</t>
        </is>
      </c>
      <c r="D348" s="43">
        <f>SUM(D342:D347)</f>
        <v/>
      </c>
      <c r="E348" s="32" t="inlineStr">
        <is>
          <t>Printed total: $550,031. Sum of the printed line items is $550,030 - the source's own Total Rent Revenue subtotal ($330,136) is $1 above its components ($330,135). Both reproduced as printed.</t>
        </is>
      </c>
    </row>
    <row r="349">
      <c r="A349" s="32" t="inlineStr">
        <is>
          <t>5977-5995 N Broadway - CY2023</t>
        </is>
      </c>
      <c r="B349" s="42" t="inlineStr">
        <is>
          <t>Expense</t>
        </is>
      </c>
      <c r="C349" s="32" t="inlineStr">
        <is>
          <t>500030 C/A Water/Sewer</t>
        </is>
      </c>
      <c r="D349" s="37" t="n">
        <v>10493</v>
      </c>
      <c r="E349" s="32" t="inlineStr"/>
    </row>
    <row r="350">
      <c r="A350" s="32" t="inlineStr">
        <is>
          <t>5977-5995 N Broadway - CY2023</t>
        </is>
      </c>
      <c r="B350" s="42" t="inlineStr">
        <is>
          <t>Expense</t>
        </is>
      </c>
      <c r="C350" s="32" t="inlineStr">
        <is>
          <t>500035 C/A Other Utilities</t>
        </is>
      </c>
      <c r="D350" s="37" t="n">
        <v>846</v>
      </c>
      <c r="E350" s="32" t="inlineStr"/>
    </row>
    <row r="351">
      <c r="A351" s="32" t="inlineStr">
        <is>
          <t>5977-5995 N Broadway - CY2023</t>
        </is>
      </c>
      <c r="B351" s="42" t="inlineStr">
        <is>
          <t>Expense</t>
        </is>
      </c>
      <c r="C351" s="32" t="inlineStr">
        <is>
          <t>500045 C/A Exterior Light</t>
        </is>
      </c>
      <c r="D351" s="37" t="n">
        <v>2860</v>
      </c>
      <c r="E351" s="32" t="inlineStr"/>
    </row>
    <row r="352">
      <c r="A352" s="32" t="inlineStr">
        <is>
          <t>5977-5995 N Broadway - CY2023</t>
        </is>
      </c>
      <c r="B352" s="42" t="inlineStr">
        <is>
          <t>Expense</t>
        </is>
      </c>
      <c r="C352" s="32" t="inlineStr">
        <is>
          <t>500010 C/A Electric</t>
        </is>
      </c>
      <c r="D352" s="37" t="n">
        <v>0</v>
      </c>
      <c r="E352" s="32" t="inlineStr"/>
    </row>
    <row r="353">
      <c r="A353" s="32" t="inlineStr">
        <is>
          <t>5977-5995 N Broadway - CY2023</t>
        </is>
      </c>
      <c r="B353" s="42" t="inlineStr">
        <is>
          <t>Expense</t>
        </is>
      </c>
      <c r="C353" s="32" t="inlineStr">
        <is>
          <t>501035 C/A Fire Prevention</t>
        </is>
      </c>
      <c r="D353" s="37" t="n">
        <v>4891</v>
      </c>
      <c r="E353" s="32" t="inlineStr"/>
    </row>
    <row r="354">
      <c r="A354" s="32" t="inlineStr">
        <is>
          <t>5977-5995 N Broadway - CY2023</t>
        </is>
      </c>
      <c r="B354" s="42" t="inlineStr">
        <is>
          <t>Expense</t>
        </is>
      </c>
      <c r="C354" s="32" t="inlineStr">
        <is>
          <t>501040 C/A MC Landscaping</t>
        </is>
      </c>
      <c r="D354" s="37" t="n">
        <v>1737</v>
      </c>
      <c r="E354" s="32" t="inlineStr"/>
    </row>
    <row r="355">
      <c r="A355" s="32" t="inlineStr">
        <is>
          <t>5977-5995 N Broadway - CY2023</t>
        </is>
      </c>
      <c r="B355" s="42" t="inlineStr">
        <is>
          <t>Expense</t>
        </is>
      </c>
      <c r="C355" s="32" t="inlineStr">
        <is>
          <t>501050 C/A MC HVAC</t>
        </is>
      </c>
      <c r="D355" s="37" t="n">
        <v>1500</v>
      </c>
      <c r="E355" s="32" t="inlineStr"/>
    </row>
    <row r="356">
      <c r="A356" s="32" t="inlineStr">
        <is>
          <t>5977-5995 N Broadway - CY2023</t>
        </is>
      </c>
      <c r="B356" s="42" t="inlineStr">
        <is>
          <t>Expense</t>
        </is>
      </c>
      <c r="C356" s="32" t="inlineStr">
        <is>
          <t>501060 C/A Other Exterior</t>
        </is>
      </c>
      <c r="D356" s="37" t="n">
        <v>5324</v>
      </c>
      <c r="E356" s="32" t="inlineStr"/>
    </row>
    <row r="357">
      <c r="A357" s="32" t="inlineStr">
        <is>
          <t>5977-5995 N Broadway - CY2023</t>
        </is>
      </c>
      <c r="B357" s="42" t="inlineStr">
        <is>
          <t>Expense</t>
        </is>
      </c>
      <c r="C357" s="32" t="inlineStr">
        <is>
          <t>501075 C/A Parking Lot</t>
        </is>
      </c>
      <c r="D357" s="37" t="n">
        <v>0</v>
      </c>
      <c r="E357" s="32" t="inlineStr"/>
    </row>
    <row r="358">
      <c r="A358" s="32" t="inlineStr">
        <is>
          <t>5977-5995 N Broadway - CY2023</t>
        </is>
      </c>
      <c r="B358" s="42" t="inlineStr">
        <is>
          <t>Expense</t>
        </is>
      </c>
      <c r="C358" s="32" t="inlineStr">
        <is>
          <t>501090 C/A Roofing</t>
        </is>
      </c>
      <c r="D358" s="37" t="n">
        <v>1334</v>
      </c>
      <c r="E358" s="32" t="inlineStr"/>
    </row>
    <row r="359">
      <c r="A359" s="32" t="inlineStr">
        <is>
          <t>5977-5995 N Broadway - CY2023</t>
        </is>
      </c>
      <c r="B359" s="42" t="inlineStr">
        <is>
          <t>Expense</t>
        </is>
      </c>
      <c r="C359" s="32" t="inlineStr">
        <is>
          <t>501100 C/A Snow Removal</t>
        </is>
      </c>
      <c r="D359" s="37" t="n">
        <v>13465</v>
      </c>
      <c r="E359" s="32" t="inlineStr"/>
    </row>
    <row r="360">
      <c r="A360" s="32" t="inlineStr">
        <is>
          <t>5977-5995 N Broadway - CY2023</t>
        </is>
      </c>
      <c r="B360" s="42" t="inlineStr">
        <is>
          <t>Expense</t>
        </is>
      </c>
      <c r="C360" s="32" t="inlineStr">
        <is>
          <t>501135 C/A Other Repair/Maintenance</t>
        </is>
      </c>
      <c r="D360" s="37" t="n">
        <v>3268</v>
      </c>
      <c r="E360" s="32" t="inlineStr"/>
    </row>
    <row r="361">
      <c r="A361" s="32" t="inlineStr">
        <is>
          <t>5977-5995 N Broadway - CY2023</t>
        </is>
      </c>
      <c r="B361" s="42" t="inlineStr">
        <is>
          <t>Expense</t>
        </is>
      </c>
      <c r="C361" s="32" t="inlineStr">
        <is>
          <t>501160 C/A Sweeping</t>
        </is>
      </c>
      <c r="D361" s="37" t="n">
        <v>873</v>
      </c>
      <c r="E361" s="32" t="inlineStr"/>
    </row>
    <row r="362">
      <c r="A362" s="32" t="inlineStr">
        <is>
          <t>5977-5995 N Broadway - CY2023</t>
        </is>
      </c>
      <c r="B362" s="42" t="inlineStr">
        <is>
          <t>Expense</t>
        </is>
      </c>
      <c r="C362" s="32" t="inlineStr">
        <is>
          <t>502025 C/A Real Estate Taxes</t>
        </is>
      </c>
      <c r="D362" s="37" t="n">
        <v>139832</v>
      </c>
      <c r="E362" s="32" t="inlineStr"/>
    </row>
    <row r="363">
      <c r="A363" s="32" t="inlineStr">
        <is>
          <t>5977-5995 N Broadway - CY2023</t>
        </is>
      </c>
      <c r="B363" s="42" t="inlineStr">
        <is>
          <t>Expense</t>
        </is>
      </c>
      <c r="C363" s="32" t="inlineStr">
        <is>
          <t>502020 C/A Real Estate Tax Appeals</t>
        </is>
      </c>
      <c r="D363" s="37" t="n">
        <v>615</v>
      </c>
      <c r="E363" s="32" t="inlineStr"/>
    </row>
    <row r="364">
      <c r="A364" s="32" t="inlineStr">
        <is>
          <t>5977-5995 N Broadway - CY2023</t>
        </is>
      </c>
      <c r="B364" s="42" t="inlineStr">
        <is>
          <t>Expense</t>
        </is>
      </c>
      <c r="C364" s="32" t="inlineStr">
        <is>
          <t>580025 Real Estate Tax Appeal Contra</t>
        </is>
      </c>
      <c r="D364" s="37" t="n">
        <v>-615</v>
      </c>
      <c r="E364" s="32" t="inlineStr">
        <is>
          <t>Offsets the appeal fee</t>
        </is>
      </c>
    </row>
    <row r="365">
      <c r="A365" s="32" t="inlineStr">
        <is>
          <t>5977-5995 N Broadway - CY2023</t>
        </is>
      </c>
      <c r="B365" s="42" t="inlineStr">
        <is>
          <t>Expense</t>
        </is>
      </c>
      <c r="C365" s="32" t="inlineStr">
        <is>
          <t>503010 C/A Insurance</t>
        </is>
      </c>
      <c r="D365" s="37" t="n">
        <v>7696</v>
      </c>
      <c r="E365" s="32" t="inlineStr"/>
    </row>
    <row r="366">
      <c r="A366" s="32" t="inlineStr">
        <is>
          <t>5977-5995 N Broadway - CY2023</t>
        </is>
      </c>
      <c r="B366" s="42" t="inlineStr">
        <is>
          <t>Expense</t>
        </is>
      </c>
      <c r="C366" s="32" t="inlineStr">
        <is>
          <t>504015 C/A Management Fees-Internal</t>
        </is>
      </c>
      <c r="D366" s="37" t="n">
        <v>22462</v>
      </c>
      <c r="E366" s="32" t="inlineStr"/>
    </row>
    <row r="367">
      <c r="A367" s="32" t="inlineStr">
        <is>
          <t>5977-5995 N Broadway - CY2023</t>
        </is>
      </c>
      <c r="B367" s="42" t="inlineStr">
        <is>
          <t>Expense</t>
        </is>
      </c>
      <c r="C367" s="32" t="inlineStr">
        <is>
          <t>521060 D/B Other Exterior</t>
        </is>
      </c>
      <c r="D367" s="37" t="n">
        <v>2700</v>
      </c>
      <c r="E367" s="32" t="inlineStr">
        <is>
          <t>Direct-billed</t>
        </is>
      </c>
    </row>
    <row r="368">
      <c r="A368" s="32" t="inlineStr">
        <is>
          <t>5977-5995 N Broadway - CY2023</t>
        </is>
      </c>
      <c r="B368" s="42" t="inlineStr">
        <is>
          <t>Expense</t>
        </is>
      </c>
      <c r="C368" s="32" t="inlineStr">
        <is>
          <t>530010 L/L Utilities</t>
        </is>
      </c>
      <c r="D368" s="37" t="n">
        <v>100</v>
      </c>
      <c r="E368" s="32" t="inlineStr"/>
    </row>
    <row r="369">
      <c r="A369" s="32" t="inlineStr">
        <is>
          <t>5977-5995 N Broadway - CY2023</t>
        </is>
      </c>
      <c r="B369" s="42" t="inlineStr">
        <is>
          <t>Expense</t>
        </is>
      </c>
      <c r="C369" s="32" t="inlineStr">
        <is>
          <t>530020 L/L Maintenance &amp; Repairs</t>
        </is>
      </c>
      <c r="D369" s="37" t="n">
        <v>197</v>
      </c>
      <c r="E369" s="32" t="inlineStr"/>
    </row>
    <row r="370">
      <c r="A370" s="32" t="inlineStr">
        <is>
          <t>5977-5995 N Broadway - CY2023</t>
        </is>
      </c>
      <c r="B370" s="42" t="inlineStr">
        <is>
          <t>Expense</t>
        </is>
      </c>
      <c r="C370" s="32" t="inlineStr">
        <is>
          <t>530285 L/L Real Estate Tax True Up</t>
        </is>
      </c>
      <c r="D370" s="37" t="n">
        <v>9385</v>
      </c>
      <c r="E370" s="32" t="inlineStr"/>
    </row>
    <row r="371">
      <c r="A371" s="32" t="inlineStr">
        <is>
          <t>5977-5995 N Broadway - CY2023</t>
        </is>
      </c>
      <c r="B371" s="42" t="inlineStr">
        <is>
          <t>Expense</t>
        </is>
      </c>
      <c r="C371" s="32" t="inlineStr">
        <is>
          <t>530290 L/L RE Tax Accrual</t>
        </is>
      </c>
      <c r="D371" s="37" t="n">
        <v>21566</v>
      </c>
      <c r="E371" s="32" t="inlineStr"/>
    </row>
    <row r="372">
      <c r="A372" s="32" t="inlineStr">
        <is>
          <t>5977-5995 N Broadway - CY2023</t>
        </is>
      </c>
      <c r="B372" s="42" t="inlineStr">
        <is>
          <t>Expense</t>
        </is>
      </c>
      <c r="C372" s="40" t="inlineStr">
        <is>
          <t>TOTAL OPERATING EXPENSES</t>
        </is>
      </c>
      <c r="D372" s="43">
        <f>SUM(D349:D371)</f>
        <v/>
      </c>
      <c r="E372" s="32" t="inlineStr">
        <is>
          <t>Printed total: $250,528. Sum of the printed line items is $250,529 - the source's own Total Common Area Repair/Maint. subtotal ($32,391) is $1 below its components ($32,392). Both reproduced as printed.</t>
        </is>
      </c>
    </row>
    <row r="373">
      <c r="A373" s="32" t="inlineStr">
        <is>
          <t>5945 &amp; 5957 Broadway - CY2024</t>
        </is>
      </c>
      <c r="B373" s="42" t="inlineStr">
        <is>
          <t>Income</t>
        </is>
      </c>
      <c r="C373" s="32" t="inlineStr">
        <is>
          <t>4000 Rent Income</t>
        </is>
      </c>
      <c r="D373" s="37" t="n">
        <v>521595.07</v>
      </c>
      <c r="E373" s="32" t="inlineStr"/>
    </row>
    <row r="374">
      <c r="A374" s="32" t="inlineStr">
        <is>
          <t>5945 &amp; 5957 Broadway - CY2024</t>
        </is>
      </c>
      <c r="B374" s="42" t="inlineStr">
        <is>
          <t>Income</t>
        </is>
      </c>
      <c r="C374" s="32" t="inlineStr">
        <is>
          <t>4045 Cam Charge Income</t>
        </is>
      </c>
      <c r="D374" s="37" t="n">
        <v>183215.52</v>
      </c>
      <c r="E374" s="32" t="inlineStr"/>
    </row>
    <row r="375">
      <c r="A375" s="32" t="inlineStr">
        <is>
          <t>5945 &amp; 5957 Broadway - CY2024</t>
        </is>
      </c>
      <c r="B375" s="42" t="inlineStr">
        <is>
          <t>Income</t>
        </is>
      </c>
      <c r="C375" s="40" t="inlineStr">
        <is>
          <t>TOTAL INCOME</t>
        </is>
      </c>
      <c r="D375" s="43">
        <f>SUM(D373:D374)</f>
        <v/>
      </c>
      <c r="E375" s="32" t="inlineStr">
        <is>
          <t>Printed total: $704,810.59</t>
        </is>
      </c>
    </row>
    <row r="376">
      <c r="A376" s="32" t="inlineStr">
        <is>
          <t>5945 &amp; 5957 Broadway - CY2024</t>
        </is>
      </c>
      <c r="B376" s="42" t="inlineStr">
        <is>
          <t>Expense</t>
        </is>
      </c>
      <c r="C376" s="32" t="inlineStr">
        <is>
          <t>6500/6520 Property Tax</t>
        </is>
      </c>
      <c r="D376" s="37" t="n">
        <v>169029.8</v>
      </c>
      <c r="E376" s="32" t="inlineStr"/>
    </row>
    <row r="377">
      <c r="A377" s="32" t="inlineStr">
        <is>
          <t>5945 &amp; 5957 Broadway - CY2024</t>
        </is>
      </c>
      <c r="B377" s="42" t="inlineStr">
        <is>
          <t>Expense</t>
        </is>
      </c>
      <c r="C377" s="32" t="inlineStr">
        <is>
          <t>6220 Loan Interest</t>
        </is>
      </c>
      <c r="D377" s="37" t="n">
        <v>140115.06</v>
      </c>
      <c r="E377" s="32" t="inlineStr">
        <is>
          <t>Debt service - excluded from a true NOI</t>
        </is>
      </c>
    </row>
    <row r="378">
      <c r="A378" s="32" t="inlineStr">
        <is>
          <t>5945 &amp; 5957 Broadway - CY2024</t>
        </is>
      </c>
      <c r="B378" s="42" t="inlineStr">
        <is>
          <t>Expense</t>
        </is>
      </c>
      <c r="C378" s="32" t="inlineStr">
        <is>
          <t>6510 Income Tax</t>
        </is>
      </c>
      <c r="D378" s="37" t="n">
        <v>71185</v>
      </c>
      <c r="E378" s="32" t="inlineStr">
        <is>
          <t>Entity tax - excluded from a true NOI</t>
        </is>
      </c>
    </row>
    <row r="379">
      <c r="A379" s="32" t="inlineStr">
        <is>
          <t>5945 &amp; 5957 Broadway - CY2024</t>
        </is>
      </c>
      <c r="B379" s="42" t="inlineStr">
        <is>
          <t>Expense</t>
        </is>
      </c>
      <c r="C379" s="32" t="inlineStr">
        <is>
          <t>6300 Repairs - Building Repairs</t>
        </is>
      </c>
      <c r="D379" s="37" t="n">
        <v>32738</v>
      </c>
      <c r="E379" s="32" t="inlineStr"/>
    </row>
    <row r="380">
      <c r="A380" s="32" t="inlineStr">
        <is>
          <t>5945 &amp; 5957 Broadway - CY2024</t>
        </is>
      </c>
      <c r="B380" s="42" t="inlineStr">
        <is>
          <t>Expense</t>
        </is>
      </c>
      <c r="C380" s="32" t="inlineStr">
        <is>
          <t>6182 Insurance - Bus Owners Pkg</t>
        </is>
      </c>
      <c r="D380" s="37" t="n">
        <v>40823.02</v>
      </c>
      <c r="E380" s="32" t="inlineStr"/>
    </row>
    <row r="381">
      <c r="A381" s="32" t="inlineStr">
        <is>
          <t>5945 &amp; 5957 Broadway - CY2024</t>
        </is>
      </c>
      <c r="B381" s="42" t="inlineStr">
        <is>
          <t>Expense</t>
        </is>
      </c>
      <c r="C381" s="32" t="inlineStr">
        <is>
          <t>6235 Management Fees</t>
        </is>
      </c>
      <c r="D381" s="37" t="n">
        <v>30000</v>
      </c>
      <c r="E381" s="32" t="inlineStr"/>
    </row>
    <row r="382">
      <c r="A382" s="32" t="inlineStr">
        <is>
          <t>5945 &amp; 5957 Broadway - CY2024</t>
        </is>
      </c>
      <c r="B382" s="42" t="inlineStr">
        <is>
          <t>Expense</t>
        </is>
      </c>
      <c r="C382" s="32" t="inlineStr">
        <is>
          <t>6333 Repairs - Painting &amp; Drywall</t>
        </is>
      </c>
      <c r="D382" s="37" t="n">
        <v>19750</v>
      </c>
      <c r="E382" s="32" t="inlineStr"/>
    </row>
    <row r="383">
      <c r="A383" s="32" t="inlineStr">
        <is>
          <t>5945 &amp; 5957 Broadway - CY2024</t>
        </is>
      </c>
      <c r="B383" s="42" t="inlineStr">
        <is>
          <t>Expense</t>
        </is>
      </c>
      <c r="C383" s="32" t="inlineStr">
        <is>
          <t>6335 Repairs - Plbg, Htg &amp; A/C</t>
        </is>
      </c>
      <c r="D383" s="37" t="n">
        <v>10771.62</v>
      </c>
      <c r="E383" s="32" t="inlineStr"/>
    </row>
    <row r="384">
      <c r="A384" s="32" t="inlineStr">
        <is>
          <t>5945 &amp; 5957 Broadway - CY2024</t>
        </is>
      </c>
      <c r="B384" s="42" t="inlineStr">
        <is>
          <t>Expense</t>
        </is>
      </c>
      <c r="C384" s="32" t="inlineStr">
        <is>
          <t>6410 Water</t>
        </is>
      </c>
      <c r="D384" s="37" t="n">
        <v>3926.42</v>
      </c>
      <c r="E384" s="32" t="inlineStr"/>
    </row>
    <row r="385">
      <c r="A385" s="32" t="inlineStr">
        <is>
          <t>5945 &amp; 5957 Broadway - CY2024</t>
        </is>
      </c>
      <c r="B385" s="42" t="inlineStr">
        <is>
          <t>Expense</t>
        </is>
      </c>
      <c r="C385" s="32" t="inlineStr">
        <is>
          <t>6270 Professional Fees - Other</t>
        </is>
      </c>
      <c r="D385" s="37" t="n">
        <v>3608.29</v>
      </c>
      <c r="E385" s="32" t="inlineStr"/>
    </row>
    <row r="386">
      <c r="A386" s="32" t="inlineStr">
        <is>
          <t>5945 &amp; 5957 Broadway - CY2024</t>
        </is>
      </c>
      <c r="B386" s="42" t="inlineStr">
        <is>
          <t>Expense</t>
        </is>
      </c>
      <c r="C386" s="32" t="inlineStr">
        <is>
          <t>6280 Legal Fees</t>
        </is>
      </c>
      <c r="D386" s="37" t="n">
        <v>1500</v>
      </c>
      <c r="E386" s="32" t="inlineStr"/>
    </row>
    <row r="387">
      <c r="A387" s="32" t="inlineStr">
        <is>
          <t>5945 &amp; 5957 Broadway - CY2024</t>
        </is>
      </c>
      <c r="B387" s="42" t="inlineStr">
        <is>
          <t>Expense</t>
        </is>
      </c>
      <c r="C387" s="32" t="inlineStr">
        <is>
          <t>6275 Accounting</t>
        </is>
      </c>
      <c r="D387" s="37" t="n">
        <v>800</v>
      </c>
      <c r="E387" s="32" t="inlineStr"/>
    </row>
    <row r="388">
      <c r="A388" s="32" t="inlineStr">
        <is>
          <t>5945 &amp; 5957 Broadway - CY2024</t>
        </is>
      </c>
      <c r="B388" s="42" t="inlineStr">
        <is>
          <t>Expense</t>
        </is>
      </c>
      <c r="C388" s="32" t="inlineStr">
        <is>
          <t>6232 Lawn &amp; Garden</t>
        </is>
      </c>
      <c r="D388" s="37" t="n">
        <v>200</v>
      </c>
      <c r="E388" s="32" t="inlineStr"/>
    </row>
    <row r="389">
      <c r="A389" s="32" t="inlineStr">
        <is>
          <t>5945 &amp; 5957 Broadway - CY2024</t>
        </is>
      </c>
      <c r="B389" s="42" t="inlineStr">
        <is>
          <t>Expense</t>
        </is>
      </c>
      <c r="C389" s="32" t="inlineStr">
        <is>
          <t>6120 Bank Service Charges</t>
        </is>
      </c>
      <c r="D389" s="37" t="n">
        <v>33</v>
      </c>
      <c r="E389" s="32" t="inlineStr"/>
    </row>
    <row r="390">
      <c r="A390" s="32" t="inlineStr">
        <is>
          <t>5945 &amp; 5957 Broadway - CY2024</t>
        </is>
      </c>
      <c r="B390" s="42" t="inlineStr">
        <is>
          <t>Expense</t>
        </is>
      </c>
      <c r="C390" s="32" t="inlineStr">
        <is>
          <t>6160 Dues and Subscriptions</t>
        </is>
      </c>
      <c r="D390" s="37" t="n">
        <v>25</v>
      </c>
      <c r="E390" s="32" t="inlineStr"/>
    </row>
    <row r="391">
      <c r="A391" s="32" t="inlineStr">
        <is>
          <t>5945 &amp; 5957 Broadway - CY2024</t>
        </is>
      </c>
      <c r="B391" s="42" t="inlineStr">
        <is>
          <t>Expense</t>
        </is>
      </c>
      <c r="C391" s="40" t="inlineStr">
        <is>
          <t>TOTAL EXPENSE</t>
        </is>
      </c>
      <c r="D391" s="43">
        <f>SUM(D376:D390)</f>
        <v/>
      </c>
      <c r="E391" s="32" t="inlineStr">
        <is>
          <t>Printed total: $524,505.21</t>
        </is>
      </c>
    </row>
    <row r="392">
      <c r="A392" s="32" t="inlineStr">
        <is>
          <t>5945 &amp; 5957 Broadway - CY2023</t>
        </is>
      </c>
      <c r="B392" s="42" t="inlineStr">
        <is>
          <t>Income</t>
        </is>
      </c>
      <c r="C392" s="32" t="inlineStr">
        <is>
          <t>4000 Rent Income</t>
        </is>
      </c>
      <c r="D392" s="37" t="n">
        <v>495442.14</v>
      </c>
      <c r="E392" s="32" t="inlineStr"/>
    </row>
    <row r="393">
      <c r="A393" s="32" t="inlineStr">
        <is>
          <t>5945 &amp; 5957 Broadway - CY2023</t>
        </is>
      </c>
      <c r="B393" s="42" t="inlineStr">
        <is>
          <t>Income</t>
        </is>
      </c>
      <c r="C393" s="32" t="inlineStr">
        <is>
          <t>4045 Cam Charge Income</t>
        </is>
      </c>
      <c r="D393" s="37" t="n">
        <v>159665.7</v>
      </c>
      <c r="E393" s="32" t="inlineStr"/>
    </row>
    <row r="394">
      <c r="A394" s="32" t="inlineStr">
        <is>
          <t>5945 &amp; 5957 Broadway - CY2023</t>
        </is>
      </c>
      <c r="B394" s="42" t="inlineStr">
        <is>
          <t>Income</t>
        </is>
      </c>
      <c r="C394" s="40" t="inlineStr">
        <is>
          <t>TOTAL INCOME</t>
        </is>
      </c>
      <c r="D394" s="43">
        <f>SUM(D392:D393)</f>
        <v/>
      </c>
      <c r="E394" s="32" t="inlineStr">
        <is>
          <t>Printed total: $655,107.84</t>
        </is>
      </c>
    </row>
    <row r="395">
      <c r="A395" s="32" t="inlineStr">
        <is>
          <t>5945 &amp; 5957 Broadway - CY2023</t>
        </is>
      </c>
      <c r="B395" s="42" t="inlineStr">
        <is>
          <t>Expense</t>
        </is>
      </c>
      <c r="C395" s="32" t="inlineStr">
        <is>
          <t>6520 Property Tax</t>
        </is>
      </c>
      <c r="D395" s="37" t="n">
        <v>148047.68</v>
      </c>
      <c r="E395" s="32" t="inlineStr"/>
    </row>
    <row r="396">
      <c r="A396" s="32" t="inlineStr">
        <is>
          <t>5945 &amp; 5957 Broadway - CY2023</t>
        </is>
      </c>
      <c r="B396" s="42" t="inlineStr">
        <is>
          <t>Expense</t>
        </is>
      </c>
      <c r="C396" s="32" t="inlineStr">
        <is>
          <t>6220 Loan Interest</t>
        </is>
      </c>
      <c r="D396" s="37" t="n">
        <v>142547.72</v>
      </c>
      <c r="E396" s="32" t="inlineStr">
        <is>
          <t>Debt service - excluded from a true NOI</t>
        </is>
      </c>
    </row>
    <row r="397">
      <c r="A397" s="32" t="inlineStr">
        <is>
          <t>5945 &amp; 5957 Broadway - CY2023</t>
        </is>
      </c>
      <c r="B397" s="42" t="inlineStr">
        <is>
          <t>Expense</t>
        </is>
      </c>
      <c r="C397" s="32" t="inlineStr">
        <is>
          <t>6182 Insurance - Bus Owners Pkg</t>
        </is>
      </c>
      <c r="D397" s="37" t="n">
        <v>62455.69</v>
      </c>
      <c r="E397" s="32" t="inlineStr"/>
    </row>
    <row r="398">
      <c r="A398" s="32" t="inlineStr">
        <is>
          <t>5945 &amp; 5957 Broadway - CY2023</t>
        </is>
      </c>
      <c r="B398" s="42" t="inlineStr">
        <is>
          <t>Expense</t>
        </is>
      </c>
      <c r="C398" s="32" t="inlineStr">
        <is>
          <t>6510 Income Tax</t>
        </is>
      </c>
      <c r="D398" s="37" t="n">
        <v>50000</v>
      </c>
      <c r="E398" s="32" t="inlineStr">
        <is>
          <t>Entity tax - excluded from a true NOI</t>
        </is>
      </c>
    </row>
    <row r="399">
      <c r="A399" s="32" t="inlineStr">
        <is>
          <t>5945 &amp; 5957 Broadway - CY2023</t>
        </is>
      </c>
      <c r="B399" s="42" t="inlineStr">
        <is>
          <t>Expense</t>
        </is>
      </c>
      <c r="C399" s="32" t="inlineStr">
        <is>
          <t>6235 Management Fees</t>
        </is>
      </c>
      <c r="D399" s="37" t="n">
        <v>33487.46</v>
      </c>
      <c r="E399" s="32" t="inlineStr"/>
    </row>
    <row r="400">
      <c r="A400" s="32" t="inlineStr">
        <is>
          <t>5945 &amp; 5957 Broadway - CY2023</t>
        </is>
      </c>
      <c r="B400" s="42" t="inlineStr">
        <is>
          <t>Expense</t>
        </is>
      </c>
      <c r="C400" s="32" t="inlineStr">
        <is>
          <t>6410 Water</t>
        </is>
      </c>
      <c r="D400" s="37" t="n">
        <v>8870.16</v>
      </c>
      <c r="E400" s="32" t="inlineStr"/>
    </row>
    <row r="401">
      <c r="A401" s="32" t="inlineStr">
        <is>
          <t>5945 &amp; 5957 Broadway - CY2023</t>
        </is>
      </c>
      <c r="B401" s="42" t="inlineStr">
        <is>
          <t>Expense</t>
        </is>
      </c>
      <c r="C401" s="32" t="inlineStr">
        <is>
          <t>6335 Repairs - Plbg, Htg &amp; A/C</t>
        </is>
      </c>
      <c r="D401" s="37" t="n">
        <v>5086.62</v>
      </c>
      <c r="E401" s="32" t="inlineStr"/>
    </row>
    <row r="402">
      <c r="A402" s="32" t="inlineStr">
        <is>
          <t>5945 &amp; 5957 Broadway - CY2023</t>
        </is>
      </c>
      <c r="B402" s="42" t="inlineStr">
        <is>
          <t>Expense</t>
        </is>
      </c>
      <c r="C402" s="32" t="inlineStr">
        <is>
          <t>6236 Maintenance - Parking Lot</t>
        </is>
      </c>
      <c r="D402" s="37" t="n">
        <v>1550</v>
      </c>
      <c r="E402" s="32" t="inlineStr"/>
    </row>
    <row r="403">
      <c r="A403" s="32" t="inlineStr">
        <is>
          <t>5945 &amp; 5957 Broadway - CY2023</t>
        </is>
      </c>
      <c r="B403" s="42" t="inlineStr">
        <is>
          <t>Expense</t>
        </is>
      </c>
      <c r="C403" s="32" t="inlineStr">
        <is>
          <t>6275 Accounting</t>
        </is>
      </c>
      <c r="D403" s="37" t="n">
        <v>1100</v>
      </c>
      <c r="E403" s="32" t="inlineStr"/>
    </row>
    <row r="404">
      <c r="A404" s="32" t="inlineStr">
        <is>
          <t>5945 &amp; 5957 Broadway - CY2023</t>
        </is>
      </c>
      <c r="B404" s="42" t="inlineStr">
        <is>
          <t>Expense</t>
        </is>
      </c>
      <c r="C404" s="32" t="inlineStr">
        <is>
          <t>6310 Building Repairs</t>
        </is>
      </c>
      <c r="D404" s="37" t="n">
        <v>89.87</v>
      </c>
      <c r="E404" s="32" t="inlineStr"/>
    </row>
    <row r="405">
      <c r="A405" s="32" t="inlineStr">
        <is>
          <t>5945 &amp; 5957 Broadway - CY2023</t>
        </is>
      </c>
      <c r="B405" s="42" t="inlineStr">
        <is>
          <t>Expense</t>
        </is>
      </c>
      <c r="C405" s="32" t="inlineStr">
        <is>
          <t>6120 Bank Service Charges</t>
        </is>
      </c>
      <c r="D405" s="37" t="n">
        <v>0.3</v>
      </c>
      <c r="E405" s="32" t="inlineStr"/>
    </row>
    <row r="406">
      <c r="A406" s="32" t="inlineStr">
        <is>
          <t>5945 &amp; 5957 Broadway - CY2023</t>
        </is>
      </c>
      <c r="B406" s="42" t="inlineStr">
        <is>
          <t>Expense</t>
        </is>
      </c>
      <c r="C406" s="40" t="inlineStr">
        <is>
          <t>TOTAL EXPENSE</t>
        </is>
      </c>
      <c r="D406" s="43">
        <f>SUM(D395:D405)</f>
        <v/>
      </c>
      <c r="E406" s="32" t="inlineStr">
        <is>
          <t>Printed total: $453,235.50</t>
        </is>
      </c>
    </row>
    <row r="407">
      <c r="A407" s="32" t="inlineStr">
        <is>
          <t>5720 Washington St - 2023/2024 survey</t>
        </is>
      </c>
      <c r="B407" s="42" t="inlineStr">
        <is>
          <t>Expense</t>
        </is>
      </c>
      <c r="C407" s="32" t="inlineStr">
        <is>
          <t>Building Insurance</t>
        </is>
      </c>
      <c r="D407" s="37" t="n">
        <v>45000</v>
      </c>
      <c r="E407" s="32" t="inlineStr"/>
    </row>
    <row r="408">
      <c r="A408" s="32" t="inlineStr">
        <is>
          <t>5720 Washington St - 2023/2024 survey</t>
        </is>
      </c>
      <c r="B408" s="42" t="inlineStr">
        <is>
          <t>Expense</t>
        </is>
      </c>
      <c r="C408" s="32" t="inlineStr">
        <is>
          <t>Utilities</t>
        </is>
      </c>
      <c r="D408" s="37" t="n">
        <v>16380</v>
      </c>
      <c r="E408" s="32" t="inlineStr"/>
    </row>
    <row r="409">
      <c r="A409" s="32" t="inlineStr">
        <is>
          <t>5720 Washington St - 2023/2024 survey</t>
        </is>
      </c>
      <c r="B409" s="42" t="inlineStr">
        <is>
          <t>Expense</t>
        </is>
      </c>
      <c r="C409" s="32" t="inlineStr">
        <is>
          <t>Janitorial Services</t>
        </is>
      </c>
      <c r="D409" s="37" t="n">
        <v>6600</v>
      </c>
      <c r="E409" s="32" t="inlineStr"/>
    </row>
    <row r="410">
      <c r="A410" s="32" t="inlineStr">
        <is>
          <t>5720 Washington St - 2023/2024 survey</t>
        </is>
      </c>
      <c r="B410" s="42" t="inlineStr">
        <is>
          <t>Expense</t>
        </is>
      </c>
      <c r="C410" s="32" t="inlineStr">
        <is>
          <t>Snow/Trash Removal</t>
        </is>
      </c>
      <c r="D410" s="37" t="n">
        <v>4000</v>
      </c>
      <c r="E410" s="32" t="inlineStr"/>
    </row>
    <row r="411">
      <c r="A411" s="32" t="inlineStr">
        <is>
          <t>5720 Washington St - 2023/2024 survey</t>
        </is>
      </c>
      <c r="B411" s="42" t="inlineStr">
        <is>
          <t>Expense</t>
        </is>
      </c>
      <c r="C411" s="40" t="inlineStr">
        <is>
          <t>TOTAL REPORTED OPERATING EXPENSES</t>
        </is>
      </c>
      <c r="D411" s="43">
        <f>SUM(D407:D410)</f>
        <v/>
      </c>
      <c r="E411" s="32" t="inlineStr">
        <is>
          <t>No printed total on the survey form - this is the sum of the four handwritten entries. All four were written in the Tenant-Expenses column even though the owner reported 100% owner-occupancy.</t>
        </is>
      </c>
    </row>
    <row r="412">
      <c r="A412" s="32" t="inlineStr">
        <is>
          <t>1890 E 58th Ave - 12 mo from 1/1/2023</t>
        </is>
      </c>
      <c r="B412" s="42" t="inlineStr">
        <is>
          <t>Income</t>
        </is>
      </c>
      <c r="C412" s="32" t="inlineStr">
        <is>
          <t>Actual rent received (12 months from 1/1/2023)</t>
        </is>
      </c>
      <c r="D412" s="37" t="n">
        <v>670872</v>
      </c>
      <c r="E412" s="32">
        <f> $55,906.00 monthly x 12; scheduled rent $14.00/SF</f>
        <v/>
      </c>
    </row>
    <row r="413">
      <c r="A413" s="32" t="inlineStr">
        <is>
          <t>1890 E 58th Ave - 12 mo from 1/1/2023</t>
        </is>
      </c>
      <c r="B413" s="42" t="inlineStr">
        <is>
          <t>Income</t>
        </is>
      </c>
      <c r="C413" s="40" t="inlineStr">
        <is>
          <t>TOTAL INCOME</t>
        </is>
      </c>
      <c r="D413" s="43">
        <f>SUM(D412:D412)</f>
        <v/>
      </c>
      <c r="E413" s="32" t="inlineStr">
        <is>
          <t>Printed total: $670,872.00</t>
        </is>
      </c>
    </row>
    <row r="414">
      <c r="A414" s="32" t="inlineStr">
        <is>
          <t>1890 E 58th Ave - 12 mo from 1/1/2023</t>
        </is>
      </c>
      <c r="B414" s="42" t="inlineStr">
        <is>
          <t>Expense</t>
        </is>
      </c>
      <c r="C414" s="32" t="inlineStr">
        <is>
          <t>Utilities</t>
        </is>
      </c>
      <c r="D414" s="37" t="n">
        <v>122995.66</v>
      </c>
      <c r="E414" s="32" t="inlineStr"/>
    </row>
    <row r="415">
      <c r="A415" s="32" t="inlineStr">
        <is>
          <t>1890 E 58th Ave - 12 mo from 1/1/2023</t>
        </is>
      </c>
      <c r="B415" s="42" t="inlineStr">
        <is>
          <t>Expense</t>
        </is>
      </c>
      <c r="C415" s="32" t="inlineStr">
        <is>
          <t>Building Repair &amp; Maintenance</t>
        </is>
      </c>
      <c r="D415" s="37" t="n">
        <v>100803</v>
      </c>
      <c r="E415" s="32" t="inlineStr"/>
    </row>
    <row r="416">
      <c r="A416" s="32" t="inlineStr">
        <is>
          <t>1890 E 58th Ave - 12 mo from 1/1/2023</t>
        </is>
      </c>
      <c r="B416" s="42" t="inlineStr">
        <is>
          <t>Expense</t>
        </is>
      </c>
      <c r="C416" s="32" t="inlineStr">
        <is>
          <t>Building Insurance</t>
        </is>
      </c>
      <c r="D416" s="37" t="n">
        <v>18057</v>
      </c>
      <c r="E416" s="32" t="inlineStr"/>
    </row>
    <row r="417">
      <c r="A417" s="32" t="inlineStr">
        <is>
          <t>1890 E 58th Ave - 12 mo from 1/1/2023</t>
        </is>
      </c>
      <c r="B417" s="42" t="inlineStr">
        <is>
          <t>Expense</t>
        </is>
      </c>
      <c r="C417" s="32" t="inlineStr">
        <is>
          <t>Ground Maintenance</t>
        </is>
      </c>
      <c r="D417" s="37" t="n">
        <v>2440</v>
      </c>
      <c r="E417" s="32" t="inlineStr"/>
    </row>
    <row r="418">
      <c r="A418" s="32" t="inlineStr">
        <is>
          <t>1890 E 58th Ave - 12 mo from 1/1/2023</t>
        </is>
      </c>
      <c r="B418" s="42" t="inlineStr">
        <is>
          <t>Expense</t>
        </is>
      </c>
      <c r="C418" s="32" t="inlineStr">
        <is>
          <t>Janitorial Services</t>
        </is>
      </c>
      <c r="D418" s="37" t="n">
        <v>0</v>
      </c>
      <c r="E418" s="32" t="inlineStr">
        <is>
          <t>Marked 'T' on the form, not a dollar amount</t>
        </is>
      </c>
    </row>
    <row r="419">
      <c r="A419" s="32" t="inlineStr">
        <is>
          <t>1890 E 58th Ave - 12 mo from 1/1/2023</t>
        </is>
      </c>
      <c r="B419" s="42" t="inlineStr">
        <is>
          <t>Expense</t>
        </is>
      </c>
      <c r="C419" s="32" t="inlineStr">
        <is>
          <t>Snow/Trash Removal</t>
        </is>
      </c>
      <c r="D419" s="37" t="n">
        <v>0</v>
      </c>
      <c r="E419" s="32" t="inlineStr">
        <is>
          <t>Marked 'T' on the form, not a dollar amount</t>
        </is>
      </c>
    </row>
    <row r="420">
      <c r="A420" s="32" t="inlineStr">
        <is>
          <t>1890 E 58th Ave - 12 mo from 1/1/2023</t>
        </is>
      </c>
      <c r="B420" s="42" t="inlineStr">
        <is>
          <t>Expense</t>
        </is>
      </c>
      <c r="C420" s="40" t="inlineStr">
        <is>
          <t>TOTAL REPORTED OWNER EXPENSES</t>
        </is>
      </c>
      <c r="D420" s="43">
        <f>SUM(D414:D419)</f>
        <v/>
      </c>
      <c r="E420" s="32" t="inlineStr">
        <is>
          <t>No printed total on the survey form - sum of the owner/landlord column. Gross lease, so the owner pays expenses; no property-tax or management line was reported.</t>
        </is>
      </c>
    </row>
    <row r="421">
      <c r="A421" s="32" t="inlineStr">
        <is>
          <t>5710 E. 56th Avenue - CY2023</t>
        </is>
      </c>
      <c r="B421" s="42" t="inlineStr">
        <is>
          <t>Expense</t>
        </is>
      </c>
      <c r="C421" s="32" t="inlineStr">
        <is>
          <t>Real Estate Taxes</t>
        </is>
      </c>
      <c r="D421" s="37" t="n">
        <v>137214</v>
      </c>
      <c r="E421" s="32" t="inlineStr">
        <is>
          <t>$2.74 PSF</t>
        </is>
      </c>
    </row>
    <row r="422">
      <c r="A422" s="32" t="inlineStr">
        <is>
          <t>5710 E. 56th Avenue - CY2023</t>
        </is>
      </c>
      <c r="B422" s="42" t="inlineStr">
        <is>
          <t>Expense</t>
        </is>
      </c>
      <c r="C422" s="32" t="inlineStr">
        <is>
          <t>CAM - Reimbursable</t>
        </is>
      </c>
      <c r="D422" s="37" t="n">
        <v>76169</v>
      </c>
      <c r="E422" s="32" t="inlineStr">
        <is>
          <t>$1.52 PSF</t>
        </is>
      </c>
    </row>
    <row r="423">
      <c r="A423" s="32" t="inlineStr">
        <is>
          <t>5710 E. 56th Avenue - CY2023</t>
        </is>
      </c>
      <c r="B423" s="42" t="inlineStr">
        <is>
          <t>Expense</t>
        </is>
      </c>
      <c r="C423" s="32" t="inlineStr">
        <is>
          <t>CAM - Non-Reimbursable</t>
        </is>
      </c>
      <c r="D423" s="37" t="n">
        <v>1012</v>
      </c>
      <c r="E423" s="32" t="inlineStr">
        <is>
          <t>$0.02 PSF</t>
        </is>
      </c>
    </row>
    <row r="424">
      <c r="A424" s="32" t="inlineStr">
        <is>
          <t>5710 E. 56th Avenue - CY2023</t>
        </is>
      </c>
      <c r="B424" s="42" t="inlineStr">
        <is>
          <t>Expense</t>
        </is>
      </c>
      <c r="C424" s="32" t="inlineStr">
        <is>
          <t>Reserves for Replacement</t>
        </is>
      </c>
      <c r="D424" s="37" t="n">
        <v>0</v>
      </c>
      <c r="E424" s="32" t="inlineStr">
        <is>
          <t>Reported as $0</t>
        </is>
      </c>
    </row>
    <row r="425">
      <c r="A425" s="32" t="inlineStr">
        <is>
          <t>5710 E. 56th Avenue - CY2023</t>
        </is>
      </c>
      <c r="B425" s="42" t="inlineStr">
        <is>
          <t>Expense</t>
        </is>
      </c>
      <c r="C425" s="40" t="inlineStr">
        <is>
          <t>TOTAL EXPENSES</t>
        </is>
      </c>
      <c r="D425" s="43">
        <f>SUM(D421:D424)</f>
        <v/>
      </c>
      <c r="E425" s="32" t="inlineStr">
        <is>
          <t>Printed total: $214,395.00</t>
        </is>
      </c>
    </row>
    <row r="426">
      <c r="A426" s="32" t="inlineStr">
        <is>
          <t>5710 E. 56th Avenue - CY2024</t>
        </is>
      </c>
      <c r="B426" s="42" t="inlineStr">
        <is>
          <t>Expense</t>
        </is>
      </c>
      <c r="C426" s="32" t="inlineStr">
        <is>
          <t>Real Estate Taxes</t>
        </is>
      </c>
      <c r="D426" s="37" t="n">
        <v>141168</v>
      </c>
      <c r="E426" s="32" t="inlineStr">
        <is>
          <t>$2.82 PSF</t>
        </is>
      </c>
    </row>
    <row r="427">
      <c r="A427" s="32" t="inlineStr">
        <is>
          <t>5710 E. 56th Avenue - CY2024</t>
        </is>
      </c>
      <c r="B427" s="42" t="inlineStr">
        <is>
          <t>Expense</t>
        </is>
      </c>
      <c r="C427" s="32" t="inlineStr">
        <is>
          <t>CAM - Reimbursable</t>
        </is>
      </c>
      <c r="D427" s="37" t="n">
        <v>86637</v>
      </c>
      <c r="E427" s="32" t="inlineStr">
        <is>
          <t>$1.73 PSF</t>
        </is>
      </c>
    </row>
    <row r="428">
      <c r="A428" s="32" t="inlineStr">
        <is>
          <t>5710 E. 56th Avenue - CY2024</t>
        </is>
      </c>
      <c r="B428" s="42" t="inlineStr">
        <is>
          <t>Expense</t>
        </is>
      </c>
      <c r="C428" s="32" t="inlineStr">
        <is>
          <t>CAM - Non-Reimbursable</t>
        </is>
      </c>
      <c r="D428" s="37" t="n">
        <v>525</v>
      </c>
      <c r="E428" s="32" t="inlineStr">
        <is>
          <t>$0.01 PSF</t>
        </is>
      </c>
    </row>
    <row r="429">
      <c r="A429" s="32" t="inlineStr">
        <is>
          <t>5710 E. 56th Avenue - CY2024</t>
        </is>
      </c>
      <c r="B429" s="42" t="inlineStr">
        <is>
          <t>Expense</t>
        </is>
      </c>
      <c r="C429" s="32" t="inlineStr">
        <is>
          <t>Reserves for Replacement</t>
        </is>
      </c>
      <c r="D429" s="37" t="n">
        <v>0</v>
      </c>
      <c r="E429" s="32" t="inlineStr">
        <is>
          <t>Reported as $0</t>
        </is>
      </c>
    </row>
    <row r="430">
      <c r="A430" s="32" t="inlineStr">
        <is>
          <t>5710 E. 56th Avenue - CY2024</t>
        </is>
      </c>
      <c r="B430" s="42" t="inlineStr">
        <is>
          <t>Expense</t>
        </is>
      </c>
      <c r="C430" s="40" t="inlineStr">
        <is>
          <t>TOTAL EXPENSES</t>
        </is>
      </c>
      <c r="D430" s="43">
        <f>SUM(D426:D429)</f>
        <v/>
      </c>
      <c r="E430" s="32" t="inlineStr">
        <is>
          <t>Printed total: $228,330.00</t>
        </is>
      </c>
    </row>
    <row r="431">
      <c r="A431" s="32" t="inlineStr">
        <is>
          <t>Confluent Center 70 - CY2024</t>
        </is>
      </c>
      <c r="B431" s="42" t="inlineStr">
        <is>
          <t>Income</t>
        </is>
      </c>
      <c r="C431" s="32" t="inlineStr">
        <is>
          <t>Rent</t>
        </is>
      </c>
      <c r="D431" s="37" t="n">
        <v>925921</v>
      </c>
      <c r="E431" s="32" t="inlineStr">
        <is>
          <t>60.3% of EGI, $8.80 PSF</t>
        </is>
      </c>
    </row>
    <row r="432">
      <c r="A432" s="32" t="inlineStr">
        <is>
          <t>Confluent Center 70 - CY2024</t>
        </is>
      </c>
      <c r="B432" s="42" t="inlineStr">
        <is>
          <t>Income</t>
        </is>
      </c>
      <c r="C432" s="32" t="inlineStr">
        <is>
          <t>Reimbursements</t>
        </is>
      </c>
      <c r="D432" s="37" t="n">
        <v>609219</v>
      </c>
      <c r="E432" s="32" t="inlineStr">
        <is>
          <t>39.7% of EGI, $5.79 PSF</t>
        </is>
      </c>
    </row>
    <row r="433">
      <c r="A433" s="32" t="inlineStr">
        <is>
          <t>Confluent Center 70 - CY2024</t>
        </is>
      </c>
      <c r="B433" s="42" t="inlineStr">
        <is>
          <t>Income</t>
        </is>
      </c>
      <c r="C433" s="32" t="inlineStr">
        <is>
          <t>Other Income</t>
        </is>
      </c>
      <c r="D433" s="37" t="n">
        <v>908</v>
      </c>
      <c r="E433" s="32" t="inlineStr">
        <is>
          <t>0.1% of EGI</t>
        </is>
      </c>
    </row>
    <row r="434">
      <c r="A434" s="32" t="inlineStr">
        <is>
          <t>Confluent Center 70 - CY2024</t>
        </is>
      </c>
      <c r="B434" s="42" t="inlineStr">
        <is>
          <t>Income</t>
        </is>
      </c>
      <c r="C434" s="32" t="inlineStr">
        <is>
          <t>Above/Below Market Rent Income</t>
        </is>
      </c>
      <c r="D434" s="37" t="n">
        <v>0</v>
      </c>
      <c r="E434" s="32" t="inlineStr"/>
    </row>
    <row r="435">
      <c r="A435" s="32" t="inlineStr">
        <is>
          <t>Confluent Center 70 - CY2024</t>
        </is>
      </c>
      <c r="B435" s="42" t="inlineStr">
        <is>
          <t>Income</t>
        </is>
      </c>
      <c r="C435" s="32" t="inlineStr">
        <is>
          <t>Concessions</t>
        </is>
      </c>
      <c r="D435" s="37" t="n">
        <v>0</v>
      </c>
      <c r="E435" s="32" t="inlineStr"/>
    </row>
    <row r="436">
      <c r="A436" s="32" t="inlineStr">
        <is>
          <t>Confluent Center 70 - CY2024</t>
        </is>
      </c>
      <c r="B436" s="42" t="inlineStr">
        <is>
          <t>Income</t>
        </is>
      </c>
      <c r="C436" s="40" t="inlineStr">
        <is>
          <t>EFFECTIVE GROSS INCOME</t>
        </is>
      </c>
      <c r="D436" s="43">
        <f>SUM(D431:D435)</f>
        <v/>
      </c>
      <c r="E436" s="32" t="inlineStr">
        <is>
          <t>Printed total: $1,536,047. Sum of the printed components is $1,536,048 - a $1 rounding difference in the source. Both reproduced as printed.</t>
        </is>
      </c>
    </row>
    <row r="437">
      <c r="A437" s="32" t="inlineStr">
        <is>
          <t>Confluent Center 70 - CY2024</t>
        </is>
      </c>
      <c r="B437" s="42" t="inlineStr">
        <is>
          <t>Expense</t>
        </is>
      </c>
      <c r="C437" s="32" t="inlineStr">
        <is>
          <t>Property Taxes</t>
        </is>
      </c>
      <c r="D437" s="37" t="n">
        <v>391900</v>
      </c>
      <c r="E437" s="32" t="inlineStr">
        <is>
          <t>25.5% of EGI, $3.73 PSF</t>
        </is>
      </c>
    </row>
    <row r="438">
      <c r="A438" s="32" t="inlineStr">
        <is>
          <t>Confluent Center 70 - CY2024</t>
        </is>
      </c>
      <c r="B438" s="42" t="inlineStr">
        <is>
          <t>Expense</t>
        </is>
      </c>
      <c r="C438" s="32" t="inlineStr">
        <is>
          <t>Reimbursable Operating Expenses</t>
        </is>
      </c>
      <c r="D438" s="37" t="n">
        <v>264713</v>
      </c>
      <c r="E438" s="32" t="inlineStr">
        <is>
          <t>17.2% of EGI, $2.52 PSF</t>
        </is>
      </c>
    </row>
    <row r="439">
      <c r="A439" s="32" t="inlineStr">
        <is>
          <t>Confluent Center 70 - CY2024</t>
        </is>
      </c>
      <c r="B439" s="42" t="inlineStr">
        <is>
          <t>Expense</t>
        </is>
      </c>
      <c r="C439" s="32" t="inlineStr">
        <is>
          <t>Non-Recoverable Operating Expenses</t>
        </is>
      </c>
      <c r="D439" s="37" t="n">
        <v>125552</v>
      </c>
      <c r="E439" s="32" t="inlineStr">
        <is>
          <t>8.2% of EGI, $1.19 PSF</t>
        </is>
      </c>
    </row>
    <row r="440">
      <c r="A440" s="32" t="inlineStr">
        <is>
          <t>Confluent Center 70 - CY2024</t>
        </is>
      </c>
      <c r="B440" s="42" t="inlineStr">
        <is>
          <t>Expense</t>
        </is>
      </c>
      <c r="C440" s="40" t="inlineStr">
        <is>
          <t>TOTAL OPERATING EXPENSES</t>
        </is>
      </c>
      <c r="D440" s="43">
        <f>SUM(D437:D439)</f>
        <v/>
      </c>
      <c r="E440" s="32" t="inlineStr">
        <is>
          <t>Printed total: $782,165.00</t>
        </is>
      </c>
    </row>
    <row r="441">
      <c r="A441" s="32" t="inlineStr">
        <is>
          <t>Majestic Commercenter Bldg 5 - CY2024</t>
        </is>
      </c>
      <c r="B441" s="42" t="inlineStr">
        <is>
          <t>Income</t>
        </is>
      </c>
      <c r="C441" s="32" t="inlineStr">
        <is>
          <t>4015 Industrial Rental Income</t>
        </is>
      </c>
      <c r="D441" s="37" t="n">
        <v>1140134.64</v>
      </c>
      <c r="E441" s="32" t="inlineStr"/>
    </row>
    <row r="442">
      <c r="A442" s="32" t="inlineStr">
        <is>
          <t>Majestic Commercenter Bldg 5 - CY2024</t>
        </is>
      </c>
      <c r="B442" s="42" t="inlineStr">
        <is>
          <t>Income</t>
        </is>
      </c>
      <c r="C442" s="32" t="inlineStr">
        <is>
          <t>4145 Real Estate Tax Reimbursement</t>
        </is>
      </c>
      <c r="D442" s="37" t="n">
        <v>349367.26</v>
      </c>
      <c r="E442" s="32" t="inlineStr"/>
    </row>
    <row r="443">
      <c r="A443" s="32" t="inlineStr">
        <is>
          <t>Majestic Commercenter Bldg 5 - CY2024</t>
        </is>
      </c>
      <c r="B443" s="42" t="inlineStr">
        <is>
          <t>Income</t>
        </is>
      </c>
      <c r="C443" s="32" t="inlineStr">
        <is>
          <t>4150 Utilities Reimbursement</t>
        </is>
      </c>
      <c r="D443" s="37" t="n">
        <v>95769.03</v>
      </c>
      <c r="E443" s="32" t="inlineStr"/>
    </row>
    <row r="444">
      <c r="A444" s="32" t="inlineStr">
        <is>
          <t>Majestic Commercenter Bldg 5 - CY2024</t>
        </is>
      </c>
      <c r="B444" s="42" t="inlineStr">
        <is>
          <t>Income</t>
        </is>
      </c>
      <c r="C444" s="32" t="inlineStr">
        <is>
          <t>4135 Common Area Reimbursement</t>
        </is>
      </c>
      <c r="D444" s="37" t="n">
        <v>80939.49000000001</v>
      </c>
      <c r="E444" s="32" t="inlineStr"/>
    </row>
    <row r="445">
      <c r="A445" s="32" t="inlineStr">
        <is>
          <t>Majestic Commercenter Bldg 5 - CY2024</t>
        </is>
      </c>
      <c r="B445" s="42" t="inlineStr">
        <is>
          <t>Income</t>
        </is>
      </c>
      <c r="C445" s="32" t="inlineStr">
        <is>
          <t>4175 Reserve Income</t>
        </is>
      </c>
      <c r="D445" s="37" t="n">
        <v>71340.84</v>
      </c>
      <c r="E445" s="32" t="inlineStr"/>
    </row>
    <row r="446">
      <c r="A446" s="32" t="inlineStr">
        <is>
          <t>Majestic Commercenter Bldg 5 - CY2024</t>
        </is>
      </c>
      <c r="B446" s="42" t="inlineStr">
        <is>
          <t>Income</t>
        </is>
      </c>
      <c r="C446" s="32" t="inlineStr">
        <is>
          <t>4160 Management Fee Reimbursement</t>
        </is>
      </c>
      <c r="D446" s="37" t="n">
        <v>53004.09</v>
      </c>
      <c r="E446" s="32" t="inlineStr"/>
    </row>
    <row r="447">
      <c r="A447" s="32" t="inlineStr">
        <is>
          <t>Majestic Commercenter Bldg 5 - CY2024</t>
        </is>
      </c>
      <c r="B447" s="42" t="inlineStr">
        <is>
          <t>Income</t>
        </is>
      </c>
      <c r="C447" s="32" t="inlineStr">
        <is>
          <t>4035 Rent Concessions</t>
        </is>
      </c>
      <c r="D447" s="37" t="n">
        <v>39276.22</v>
      </c>
      <c r="E447" s="32" t="inlineStr">
        <is>
          <t>Positive as printed</t>
        </is>
      </c>
    </row>
    <row r="448">
      <c r="A448" s="32" t="inlineStr">
        <is>
          <t>Majestic Commercenter Bldg 5 - CY2024</t>
        </is>
      </c>
      <c r="B448" s="42" t="inlineStr">
        <is>
          <t>Income</t>
        </is>
      </c>
      <c r="C448" s="32" t="inlineStr">
        <is>
          <t>4140 Insurance Reimbursement</t>
        </is>
      </c>
      <c r="D448" s="37" t="n">
        <v>26275.98</v>
      </c>
      <c r="E448" s="32" t="inlineStr"/>
    </row>
    <row r="449">
      <c r="A449" s="32" t="inlineStr">
        <is>
          <t>Majestic Commercenter Bldg 5 - CY2024</t>
        </is>
      </c>
      <c r="B449" s="42" t="inlineStr">
        <is>
          <t>Income</t>
        </is>
      </c>
      <c r="C449" s="32" t="inlineStr">
        <is>
          <t>4158 Direct Tenant Reimbursement</t>
        </is>
      </c>
      <c r="D449" s="37" t="n">
        <v>1651.74</v>
      </c>
      <c r="E449" s="32" t="inlineStr"/>
    </row>
    <row r="450">
      <c r="A450" s="32" t="inlineStr">
        <is>
          <t>Majestic Commercenter Bldg 5 - CY2024</t>
        </is>
      </c>
      <c r="B450" s="42" t="inlineStr">
        <is>
          <t>Income</t>
        </is>
      </c>
      <c r="C450" s="32" t="inlineStr">
        <is>
          <t>4156 Tenant TI Reimb Income</t>
        </is>
      </c>
      <c r="D450" s="37" t="n">
        <v>-21.94</v>
      </c>
      <c r="E450" s="32" t="inlineStr">
        <is>
          <t>Credit</t>
        </is>
      </c>
    </row>
    <row r="451">
      <c r="A451" s="32" t="inlineStr">
        <is>
          <t>Majestic Commercenter Bldg 5 - CY2024</t>
        </is>
      </c>
      <c r="B451" s="42" t="inlineStr">
        <is>
          <t>Income</t>
        </is>
      </c>
      <c r="C451" s="32" t="inlineStr">
        <is>
          <t>4040 Rent Amortization</t>
        </is>
      </c>
      <c r="D451" s="37" t="n">
        <v>-57376.98</v>
      </c>
      <c r="E451" s="32" t="inlineStr">
        <is>
          <t>Credit</t>
        </is>
      </c>
    </row>
    <row r="452">
      <c r="A452" s="32" t="inlineStr">
        <is>
          <t>Majestic Commercenter Bldg 5 - CY2024</t>
        </is>
      </c>
      <c r="B452" s="42" t="inlineStr">
        <is>
          <t>Income</t>
        </is>
      </c>
      <c r="C452" s="40" t="inlineStr">
        <is>
          <t>TOTAL REVENUE</t>
        </is>
      </c>
      <c r="D452" s="43">
        <f>SUM(D441:D451)</f>
        <v/>
      </c>
      <c r="E452" s="32" t="inlineStr">
        <is>
          <t>Printed total: $1,800,360.37</t>
        </is>
      </c>
    </row>
    <row r="453">
      <c r="A453" s="32" t="inlineStr">
        <is>
          <t>Majestic Commercenter Bldg 5 - CY2024</t>
        </is>
      </c>
      <c r="B453" s="42" t="inlineStr">
        <is>
          <t>Expense</t>
        </is>
      </c>
      <c r="C453" s="32" t="inlineStr">
        <is>
          <t>5500 Real Estate Taxes</t>
        </is>
      </c>
      <c r="D453" s="37" t="n">
        <v>349322.3</v>
      </c>
      <c r="E453" s="32" t="inlineStr"/>
    </row>
    <row r="454">
      <c r="A454" s="32" t="inlineStr">
        <is>
          <t>Majestic Commercenter Bldg 5 - CY2024</t>
        </is>
      </c>
      <c r="B454" s="42" t="inlineStr">
        <is>
          <t>Expense</t>
        </is>
      </c>
      <c r="C454" s="32" t="inlineStr">
        <is>
          <t>5400 Management Fees</t>
        </is>
      </c>
      <c r="D454" s="37" t="n">
        <v>52858.61</v>
      </c>
      <c r="E454" s="32" t="inlineStr"/>
    </row>
    <row r="455">
      <c r="A455" s="32" t="inlineStr">
        <is>
          <t>Majestic Commercenter Bldg 5 - CY2024</t>
        </is>
      </c>
      <c r="B455" s="42" t="inlineStr">
        <is>
          <t>Expense</t>
        </is>
      </c>
      <c r="C455" s="32" t="inlineStr">
        <is>
          <t>5637 Utilities-DTR</t>
        </is>
      </c>
      <c r="D455" s="37" t="n">
        <v>43479.56</v>
      </c>
      <c r="E455" s="32" t="inlineStr"/>
    </row>
    <row r="456">
      <c r="A456" s="32" t="inlineStr">
        <is>
          <t>Majestic Commercenter Bldg 5 - CY2024</t>
        </is>
      </c>
      <c r="B456" s="42" t="inlineStr">
        <is>
          <t>Expense</t>
        </is>
      </c>
      <c r="C456" s="32" t="inlineStr">
        <is>
          <t>5320 Parking Lot</t>
        </is>
      </c>
      <c r="D456" s="37" t="n">
        <v>30790.02</v>
      </c>
      <c r="E456" s="32" t="inlineStr"/>
    </row>
    <row r="457">
      <c r="A457" s="32" t="inlineStr">
        <is>
          <t>Majestic Commercenter Bldg 5 - CY2024</t>
        </is>
      </c>
      <c r="B457" s="42" t="inlineStr">
        <is>
          <t>Expense</t>
        </is>
      </c>
      <c r="C457" s="32" t="inlineStr">
        <is>
          <t>5635 Utilities-Water</t>
        </is>
      </c>
      <c r="D457" s="37" t="n">
        <v>22373.45</v>
      </c>
      <c r="E457" s="32" t="inlineStr"/>
    </row>
    <row r="458">
      <c r="A458" s="32" t="inlineStr">
        <is>
          <t>Majestic Commercenter Bldg 5 - CY2024</t>
        </is>
      </c>
      <c r="B458" s="42" t="inlineStr">
        <is>
          <t>Expense</t>
        </is>
      </c>
      <c r="C458" s="32" t="inlineStr">
        <is>
          <t>5115 Insurance-Fire &amp; Extended</t>
        </is>
      </c>
      <c r="D458" s="37" t="n">
        <v>20905</v>
      </c>
      <c r="E458" s="32" t="inlineStr"/>
    </row>
    <row r="459">
      <c r="A459" s="32" t="inlineStr">
        <is>
          <t>Majestic Commercenter Bldg 5 - CY2024</t>
        </is>
      </c>
      <c r="B459" s="42" t="inlineStr">
        <is>
          <t>Expense</t>
        </is>
      </c>
      <c r="C459" s="32" t="inlineStr">
        <is>
          <t>5370 Snow Removal</t>
        </is>
      </c>
      <c r="D459" s="37" t="n">
        <v>19643.13</v>
      </c>
      <c r="E459" s="32" t="inlineStr"/>
    </row>
    <row r="460">
      <c r="A460" s="32" t="inlineStr">
        <is>
          <t>Majestic Commercenter Bldg 5 - CY2024</t>
        </is>
      </c>
      <c r="B460" s="42" t="inlineStr">
        <is>
          <t>Expense</t>
        </is>
      </c>
      <c r="C460" s="32" t="inlineStr">
        <is>
          <t>5290 Landscaping</t>
        </is>
      </c>
      <c r="D460" s="37" t="n">
        <v>17060.13</v>
      </c>
      <c r="E460" s="32" t="inlineStr"/>
    </row>
    <row r="461">
      <c r="A461" s="32" t="inlineStr">
        <is>
          <t>Majestic Commercenter Bldg 5 - CY2024</t>
        </is>
      </c>
      <c r="B461" s="42" t="inlineStr">
        <is>
          <t>Expense</t>
        </is>
      </c>
      <c r="C461" s="32" t="inlineStr">
        <is>
          <t>5620 Utilities-Gas/Heating</t>
        </is>
      </c>
      <c r="D461" s="37" t="n">
        <v>16533.91</v>
      </c>
      <c r="E461" s="32" t="inlineStr"/>
    </row>
    <row r="462">
      <c r="A462" s="32" t="inlineStr">
        <is>
          <t>Majestic Commercenter Bldg 5 - CY2024</t>
        </is>
      </c>
      <c r="B462" s="42" t="inlineStr">
        <is>
          <t>Expense</t>
        </is>
      </c>
      <c r="C462" s="32" t="inlineStr">
        <is>
          <t>5610 Utilities-Electricity</t>
        </is>
      </c>
      <c r="D462" s="37" t="n">
        <v>9700.66</v>
      </c>
      <c r="E462" s="32" t="inlineStr"/>
    </row>
    <row r="463">
      <c r="A463" s="32" t="inlineStr">
        <is>
          <t>Majestic Commercenter Bldg 5 - CY2024</t>
        </is>
      </c>
      <c r="B463" s="42" t="inlineStr">
        <is>
          <t>Expense</t>
        </is>
      </c>
      <c r="C463" s="32" t="inlineStr">
        <is>
          <t>5350 Roof</t>
        </is>
      </c>
      <c r="D463" s="37" t="n">
        <v>8159.28</v>
      </c>
      <c r="E463" s="32" t="inlineStr"/>
    </row>
    <row r="464">
      <c r="A464" s="32" t="inlineStr">
        <is>
          <t>Majestic Commercenter Bldg 5 - CY2024</t>
        </is>
      </c>
      <c r="B464" s="42" t="inlineStr">
        <is>
          <t>Expense</t>
        </is>
      </c>
      <c r="C464" s="32" t="inlineStr">
        <is>
          <t>5250 Fire Life Safety</t>
        </is>
      </c>
      <c r="D464" s="37" t="n">
        <v>7632.19</v>
      </c>
      <c r="E464" s="32" t="inlineStr"/>
    </row>
    <row r="465">
      <c r="A465" s="32" t="inlineStr">
        <is>
          <t>Majestic Commercenter Bldg 5 - CY2024</t>
        </is>
      </c>
      <c r="B465" s="42" t="inlineStr">
        <is>
          <t>Expense</t>
        </is>
      </c>
      <c r="C465" s="32" t="inlineStr">
        <is>
          <t>8445 Prof Service-Legal (Leasing)</t>
        </is>
      </c>
      <c r="D465" s="37" t="n">
        <v>6720</v>
      </c>
      <c r="E465" s="32" t="inlineStr"/>
    </row>
    <row r="466">
      <c r="A466" s="32" t="inlineStr">
        <is>
          <t>Majestic Commercenter Bldg 5 - CY2024</t>
        </is>
      </c>
      <c r="B466" s="42" t="inlineStr">
        <is>
          <t>Expense</t>
        </is>
      </c>
      <c r="C466" s="32" t="inlineStr">
        <is>
          <t>5275 HVAC</t>
        </is>
      </c>
      <c r="D466" s="37" t="n">
        <v>5395.32</v>
      </c>
      <c r="E466" s="32" t="inlineStr"/>
    </row>
    <row r="467">
      <c r="A467" s="32" t="inlineStr">
        <is>
          <t>Majestic Commercenter Bldg 5 - CY2024</t>
        </is>
      </c>
      <c r="B467" s="42" t="inlineStr">
        <is>
          <t>Expense</t>
        </is>
      </c>
      <c r="C467" s="32" t="inlineStr">
        <is>
          <t>5120 Insurance-Liability</t>
        </is>
      </c>
      <c r="D467" s="37" t="n">
        <v>5268</v>
      </c>
      <c r="E467" s="32" t="inlineStr"/>
    </row>
    <row r="468">
      <c r="A468" s="32" t="inlineStr">
        <is>
          <t>Majestic Commercenter Bldg 5 - CY2024</t>
        </is>
      </c>
      <c r="B468" s="42" t="inlineStr">
        <is>
          <t>Expense</t>
        </is>
      </c>
      <c r="C468" s="32" t="inlineStr">
        <is>
          <t>5615 Utilities-Fire Service</t>
        </is>
      </c>
      <c r="D468" s="37" t="n">
        <v>2246.08</v>
      </c>
      <c r="E468" s="32" t="inlineStr"/>
    </row>
    <row r="469">
      <c r="A469" s="32" t="inlineStr">
        <is>
          <t>Majestic Commercenter Bldg 5 - CY2024</t>
        </is>
      </c>
      <c r="B469" s="42" t="inlineStr">
        <is>
          <t>Expense</t>
        </is>
      </c>
      <c r="C469" s="32" t="inlineStr">
        <is>
          <t>5312 Other-DTR</t>
        </is>
      </c>
      <c r="D469" s="37" t="n">
        <v>2679.52</v>
      </c>
      <c r="E469" s="32" t="inlineStr"/>
    </row>
    <row r="470">
      <c r="A470" s="32" t="inlineStr">
        <is>
          <t>Majestic Commercenter Bldg 5 - CY2024</t>
        </is>
      </c>
      <c r="B470" s="42" t="inlineStr">
        <is>
          <t>Expense</t>
        </is>
      </c>
      <c r="C470" s="32" t="inlineStr">
        <is>
          <t>5380 Sweeping</t>
        </is>
      </c>
      <c r="D470" s="37" t="n">
        <v>2155.91</v>
      </c>
      <c r="E470" s="32" t="inlineStr"/>
    </row>
    <row r="471">
      <c r="A471" s="32" t="inlineStr">
        <is>
          <t>Majestic Commercenter Bldg 5 - CY2024</t>
        </is>
      </c>
      <c r="B471" s="42" t="inlineStr">
        <is>
          <t>Expense</t>
        </is>
      </c>
      <c r="C471" s="32" t="inlineStr">
        <is>
          <t>5630 Utilities-Telephone</t>
        </is>
      </c>
      <c r="D471" s="37" t="n">
        <v>1752.9</v>
      </c>
      <c r="E471" s="32" t="inlineStr"/>
    </row>
    <row r="472">
      <c r="A472" s="32" t="inlineStr">
        <is>
          <t>Majestic Commercenter Bldg 5 - CY2024</t>
        </is>
      </c>
      <c r="B472" s="42" t="inlineStr">
        <is>
          <t>Expense</t>
        </is>
      </c>
      <c r="C472" s="32" t="inlineStr">
        <is>
          <t>5385 Window Washing</t>
        </is>
      </c>
      <c r="D472" s="37" t="n">
        <v>1366</v>
      </c>
      <c r="E472" s="32" t="inlineStr"/>
    </row>
    <row r="473">
      <c r="A473" s="32" t="inlineStr">
        <is>
          <t>Majestic Commercenter Bldg 5 - CY2024</t>
        </is>
      </c>
      <c r="B473" s="42" t="inlineStr">
        <is>
          <t>Expense</t>
        </is>
      </c>
      <c r="C473" s="32" t="inlineStr">
        <is>
          <t>5305 Lighting</t>
        </is>
      </c>
      <c r="D473" s="37" t="n">
        <v>921.76</v>
      </c>
      <c r="E473" s="32" t="inlineStr"/>
    </row>
    <row r="474">
      <c r="A474" s="32" t="inlineStr">
        <is>
          <t>Majestic Commercenter Bldg 5 - CY2024</t>
        </is>
      </c>
      <c r="B474" s="42" t="inlineStr">
        <is>
          <t>Expense</t>
        </is>
      </c>
      <c r="C474" s="32" t="inlineStr">
        <is>
          <t>8450 Prof Service-Other Environ</t>
        </is>
      </c>
      <c r="D474" s="37" t="n">
        <v>447.63</v>
      </c>
      <c r="E474" s="32" t="inlineStr"/>
    </row>
    <row r="475">
      <c r="A475" s="32" t="inlineStr">
        <is>
          <t>Majestic Commercenter Bldg 5 - CY2024</t>
        </is>
      </c>
      <c r="B475" s="42" t="inlineStr">
        <is>
          <t>Expense</t>
        </is>
      </c>
      <c r="C475" s="32" t="inlineStr">
        <is>
          <t>5335 Plumbing</t>
        </is>
      </c>
      <c r="D475" s="37" t="n">
        <v>288.85</v>
      </c>
      <c r="E475" s="32" t="inlineStr"/>
    </row>
    <row r="476">
      <c r="A476" s="32" t="inlineStr">
        <is>
          <t>Majestic Commercenter Bldg 5 - CY2024</t>
        </is>
      </c>
      <c r="B476" s="42" t="inlineStr">
        <is>
          <t>Expense</t>
        </is>
      </c>
      <c r="C476" s="32" t="inlineStr">
        <is>
          <t>8435 Prof Service-Other</t>
        </is>
      </c>
      <c r="D476" s="37" t="n">
        <v>225</v>
      </c>
      <c r="E476" s="32" t="inlineStr"/>
    </row>
    <row r="477">
      <c r="A477" s="32" t="inlineStr">
        <is>
          <t>Majestic Commercenter Bldg 5 - CY2024</t>
        </is>
      </c>
      <c r="B477" s="42" t="inlineStr">
        <is>
          <t>Expense</t>
        </is>
      </c>
      <c r="C477" s="32" t="inlineStr">
        <is>
          <t>5205 Backflow Testing &amp; Repair</t>
        </is>
      </c>
      <c r="D477" s="37" t="n">
        <v>180</v>
      </c>
      <c r="E477" s="32" t="inlineStr"/>
    </row>
    <row r="478">
      <c r="A478" s="32" t="inlineStr">
        <is>
          <t>Majestic Commercenter Bldg 5 - CY2024</t>
        </is>
      </c>
      <c r="B478" s="42" t="inlineStr">
        <is>
          <t>Expense</t>
        </is>
      </c>
      <c r="C478" s="32" t="inlineStr">
        <is>
          <t>5285 Keys/Card Access</t>
        </is>
      </c>
      <c r="D478" s="37" t="n">
        <v>179.58</v>
      </c>
      <c r="E478" s="32" t="inlineStr"/>
    </row>
    <row r="479">
      <c r="A479" s="32" t="inlineStr">
        <is>
          <t>Majestic Commercenter Bldg 5 - CY2024</t>
        </is>
      </c>
      <c r="B479" s="42" t="inlineStr">
        <is>
          <t>Expense</t>
        </is>
      </c>
      <c r="C479" s="32" t="inlineStr">
        <is>
          <t>5280 Janitorial Services</t>
        </is>
      </c>
      <c r="D479" s="37" t="n">
        <v>163.04</v>
      </c>
      <c r="E479" s="32" t="inlineStr"/>
    </row>
    <row r="480">
      <c r="A480" s="32" t="inlineStr">
        <is>
          <t>Majestic Commercenter Bldg 5 - CY2024</t>
        </is>
      </c>
      <c r="B480" s="42" t="inlineStr">
        <is>
          <t>Expense</t>
        </is>
      </c>
      <c r="C480" s="32" t="inlineStr">
        <is>
          <t>5365 Signs</t>
        </is>
      </c>
      <c r="D480" s="37" t="n">
        <v>160.95</v>
      </c>
      <c r="E480" s="32" t="inlineStr"/>
    </row>
    <row r="481">
      <c r="A481" s="32" t="inlineStr">
        <is>
          <t>Majestic Commercenter Bldg 5 - CY2024</t>
        </is>
      </c>
      <c r="B481" s="42" t="inlineStr">
        <is>
          <t>Expense</t>
        </is>
      </c>
      <c r="C481" s="32" t="inlineStr">
        <is>
          <t>5235 Door Repairs</t>
        </is>
      </c>
      <c r="D481" s="37" t="n">
        <v>130</v>
      </c>
      <c r="E481" s="32" t="inlineStr"/>
    </row>
    <row r="482">
      <c r="A482" s="32" t="inlineStr">
        <is>
          <t>Majestic Commercenter Bldg 5 - CY2024</t>
        </is>
      </c>
      <c r="B482" s="42" t="inlineStr">
        <is>
          <t>Expense</t>
        </is>
      </c>
      <c r="C482" s="32" t="inlineStr">
        <is>
          <t>8420 Prof Service-Legal</t>
        </is>
      </c>
      <c r="D482" s="37" t="n">
        <v>80.68000000000001</v>
      </c>
      <c r="E482" s="32" t="inlineStr"/>
    </row>
    <row r="483">
      <c r="A483" s="32" t="inlineStr">
        <is>
          <t>Majestic Commercenter Bldg 5 - CY2024</t>
        </is>
      </c>
      <c r="B483" s="42" t="inlineStr">
        <is>
          <t>Expense</t>
        </is>
      </c>
      <c r="C483" s="40" t="inlineStr">
        <is>
          <t>TOTAL OPERATING EXPENSES</t>
        </is>
      </c>
      <c r="D483" s="43">
        <f>SUM(D453:D482)</f>
        <v/>
      </c>
      <c r="E483" s="32" t="inlineStr">
        <is>
          <t>Printed total: $628,819.46</t>
        </is>
      </c>
    </row>
    <row r="484">
      <c r="A484" s="32" t="inlineStr">
        <is>
          <t>3420 Lisbon Street - CY2024</t>
        </is>
      </c>
      <c r="B484" s="42" t="inlineStr">
        <is>
          <t>Income</t>
        </is>
      </c>
      <c r="C484" s="32" t="inlineStr">
        <is>
          <t>4015 Industrial Rental Income</t>
        </is>
      </c>
      <c r="D484" s="37" t="n">
        <v>280446.36</v>
      </c>
      <c r="E484" s="32" t="inlineStr">
        <is>
          <t>Ties exactly to the 06/01/24 rent roll annual rent</t>
        </is>
      </c>
    </row>
    <row r="485">
      <c r="A485" s="32" t="inlineStr">
        <is>
          <t>3420 Lisbon Street - CY2024</t>
        </is>
      </c>
      <c r="B485" s="42" t="inlineStr">
        <is>
          <t>Income</t>
        </is>
      </c>
      <c r="C485" s="32" t="inlineStr">
        <is>
          <t>4145 Real Estate Tax Reimbursement</t>
        </is>
      </c>
      <c r="D485" s="37" t="n">
        <v>149606.51</v>
      </c>
      <c r="E485" s="32" t="inlineStr"/>
    </row>
    <row r="486">
      <c r="A486" s="32" t="inlineStr">
        <is>
          <t>3420 Lisbon Street - CY2024</t>
        </is>
      </c>
      <c r="B486" s="42" t="inlineStr">
        <is>
          <t>Income</t>
        </is>
      </c>
      <c r="C486" s="32" t="inlineStr">
        <is>
          <t>4135 Common Area Reimbursement</t>
        </is>
      </c>
      <c r="D486" s="37" t="n">
        <v>29118.48</v>
      </c>
      <c r="E486" s="32" t="inlineStr"/>
    </row>
    <row r="487">
      <c r="A487" s="32" t="inlineStr">
        <is>
          <t>3420 Lisbon Street - CY2024</t>
        </is>
      </c>
      <c r="B487" s="42" t="inlineStr">
        <is>
          <t>Income</t>
        </is>
      </c>
      <c r="C487" s="32" t="inlineStr">
        <is>
          <t>4160 Management Fee Reimbursement</t>
        </is>
      </c>
      <c r="D487" s="37" t="n">
        <v>14616.96</v>
      </c>
      <c r="E487" s="32" t="inlineStr"/>
    </row>
    <row r="488">
      <c r="A488" s="32" t="inlineStr">
        <is>
          <t>3420 Lisbon Street - CY2024</t>
        </is>
      </c>
      <c r="B488" s="42" t="inlineStr">
        <is>
          <t>Income</t>
        </is>
      </c>
      <c r="C488" s="32" t="inlineStr">
        <is>
          <t>4175 Reserve Income</t>
        </is>
      </c>
      <c r="D488" s="37" t="n">
        <v>13579.56</v>
      </c>
      <c r="E488" s="32" t="inlineStr"/>
    </row>
    <row r="489">
      <c r="A489" s="32" t="inlineStr">
        <is>
          <t>3420 Lisbon Street - CY2024</t>
        </is>
      </c>
      <c r="B489" s="42" t="inlineStr">
        <is>
          <t>Income</t>
        </is>
      </c>
      <c r="C489" s="32" t="inlineStr">
        <is>
          <t>4140 Insurance Reimbursement</t>
        </is>
      </c>
      <c r="D489" s="37" t="n">
        <v>9974</v>
      </c>
      <c r="E489" s="32" t="inlineStr"/>
    </row>
    <row r="490">
      <c r="A490" s="32" t="inlineStr">
        <is>
          <t>3420 Lisbon Street - CY2024</t>
        </is>
      </c>
      <c r="B490" s="42" t="inlineStr">
        <is>
          <t>Income</t>
        </is>
      </c>
      <c r="C490" s="32" t="inlineStr">
        <is>
          <t>4158 Direct Tenant Reimbursement</t>
        </is>
      </c>
      <c r="D490" s="37" t="n">
        <v>261.67</v>
      </c>
      <c r="E490" s="32" t="inlineStr"/>
    </row>
    <row r="491">
      <c r="A491" s="32" t="inlineStr">
        <is>
          <t>3420 Lisbon Street - CY2024</t>
        </is>
      </c>
      <c r="B491" s="42" t="inlineStr">
        <is>
          <t>Income</t>
        </is>
      </c>
      <c r="C491" s="32" t="inlineStr">
        <is>
          <t>4040 Rent Amortization</t>
        </is>
      </c>
      <c r="D491" s="37" t="n">
        <v>-13121.16</v>
      </c>
      <c r="E491" s="32" t="inlineStr">
        <is>
          <t>Credit</t>
        </is>
      </c>
    </row>
    <row r="492">
      <c r="A492" s="32" t="inlineStr">
        <is>
          <t>3420 Lisbon Street - CY2024</t>
        </is>
      </c>
      <c r="B492" s="42" t="inlineStr">
        <is>
          <t>Income</t>
        </is>
      </c>
      <c r="C492" s="40" t="inlineStr">
        <is>
          <t>TOTAL REVENUE</t>
        </is>
      </c>
      <c r="D492" s="43">
        <f>SUM(D484:D491)</f>
        <v/>
      </c>
      <c r="E492" s="32" t="inlineStr">
        <is>
          <t>Printed total: $484,482.38</t>
        </is>
      </c>
    </row>
    <row r="493">
      <c r="A493" s="32" t="inlineStr">
        <is>
          <t>3420 Lisbon Street - CY2024</t>
        </is>
      </c>
      <c r="B493" s="42" t="inlineStr">
        <is>
          <t>Expense</t>
        </is>
      </c>
      <c r="C493" s="32" t="inlineStr">
        <is>
          <t>5500 Real Estate Taxes</t>
        </is>
      </c>
      <c r="D493" s="37" t="n">
        <v>150063.24</v>
      </c>
      <c r="E493" s="32" t="inlineStr"/>
    </row>
    <row r="494">
      <c r="A494" s="32" t="inlineStr">
        <is>
          <t>3420 Lisbon Street - CY2024</t>
        </is>
      </c>
      <c r="B494" s="42" t="inlineStr">
        <is>
          <t>Expense</t>
        </is>
      </c>
      <c r="C494" s="32" t="inlineStr">
        <is>
          <t>5400 Management Fees</t>
        </is>
      </c>
      <c r="D494" s="37" t="n">
        <v>14140.06</v>
      </c>
      <c r="E494" s="32" t="inlineStr"/>
    </row>
    <row r="495">
      <c r="A495" s="32" t="inlineStr">
        <is>
          <t>3420 Lisbon Street - CY2024</t>
        </is>
      </c>
      <c r="B495" s="42" t="inlineStr">
        <is>
          <t>Expense</t>
        </is>
      </c>
      <c r="C495" s="32" t="inlineStr">
        <is>
          <t>5290 Landscaping</t>
        </is>
      </c>
      <c r="D495" s="37" t="n">
        <v>13736.12</v>
      </c>
      <c r="E495" s="32" t="inlineStr"/>
    </row>
    <row r="496">
      <c r="A496" s="32" t="inlineStr">
        <is>
          <t>3420 Lisbon Street - CY2024</t>
        </is>
      </c>
      <c r="B496" s="42" t="inlineStr">
        <is>
          <t>Expense</t>
        </is>
      </c>
      <c r="C496" s="32" t="inlineStr">
        <is>
          <t>5115 Insurance-Fire &amp; Extended</t>
        </is>
      </c>
      <c r="D496" s="37" t="n">
        <v>8951</v>
      </c>
      <c r="E496" s="32" t="inlineStr"/>
    </row>
    <row r="497">
      <c r="A497" s="32" t="inlineStr">
        <is>
          <t>3420 Lisbon Street - CY2024</t>
        </is>
      </c>
      <c r="B497" s="42" t="inlineStr">
        <is>
          <t>Expense</t>
        </is>
      </c>
      <c r="C497" s="32" t="inlineStr">
        <is>
          <t>5320 Parking Lot</t>
        </is>
      </c>
      <c r="D497" s="37" t="n">
        <v>5065.03</v>
      </c>
      <c r="E497" s="32" t="inlineStr"/>
    </row>
    <row r="498">
      <c r="A498" s="32" t="inlineStr">
        <is>
          <t>3420 Lisbon Street - CY2024</t>
        </is>
      </c>
      <c r="B498" s="42" t="inlineStr">
        <is>
          <t>Expense</t>
        </is>
      </c>
      <c r="C498" s="32" t="inlineStr">
        <is>
          <t>5250 Fire Life Safety</t>
        </is>
      </c>
      <c r="D498" s="37" t="n">
        <v>3491.1</v>
      </c>
      <c r="E498" s="32" t="inlineStr"/>
    </row>
    <row r="499">
      <c r="A499" s="32" t="inlineStr">
        <is>
          <t>3420 Lisbon Street - CY2024</t>
        </is>
      </c>
      <c r="B499" s="42" t="inlineStr">
        <is>
          <t>Expense</t>
        </is>
      </c>
      <c r="C499" s="32" t="inlineStr">
        <is>
          <t>5370 Snow Removal</t>
        </is>
      </c>
      <c r="D499" s="37" t="n">
        <v>2923.75</v>
      </c>
      <c r="E499" s="32" t="inlineStr"/>
    </row>
    <row r="500">
      <c r="A500" s="32" t="inlineStr">
        <is>
          <t>3420 Lisbon Street - CY2024</t>
        </is>
      </c>
      <c r="B500" s="42" t="inlineStr">
        <is>
          <t>Expense</t>
        </is>
      </c>
      <c r="C500" s="32" t="inlineStr">
        <is>
          <t>5350 Roof</t>
        </is>
      </c>
      <c r="D500" s="37" t="n">
        <v>1794.77</v>
      </c>
      <c r="E500" s="32" t="inlineStr"/>
    </row>
    <row r="501">
      <c r="A501" s="32" t="inlineStr">
        <is>
          <t>3420 Lisbon Street - CY2024</t>
        </is>
      </c>
      <c r="B501" s="42" t="inlineStr">
        <is>
          <t>Expense</t>
        </is>
      </c>
      <c r="C501" s="32" t="inlineStr">
        <is>
          <t>5120 Insurance-Liability</t>
        </is>
      </c>
      <c r="D501" s="37" t="n">
        <v>1189</v>
      </c>
      <c r="E501" s="32" t="inlineStr"/>
    </row>
    <row r="502">
      <c r="A502" s="32" t="inlineStr">
        <is>
          <t>3420 Lisbon Street - CY2024</t>
        </is>
      </c>
      <c r="B502" s="42" t="inlineStr">
        <is>
          <t>Expense</t>
        </is>
      </c>
      <c r="C502" s="32" t="inlineStr">
        <is>
          <t>5620 Utilities-Gas/Heating</t>
        </is>
      </c>
      <c r="D502" s="37" t="n">
        <v>1081.59</v>
      </c>
      <c r="E502" s="32" t="inlineStr"/>
    </row>
    <row r="503">
      <c r="A503" s="32" t="inlineStr">
        <is>
          <t>3420 Lisbon Street - CY2024</t>
        </is>
      </c>
      <c r="B503" s="42" t="inlineStr">
        <is>
          <t>Expense</t>
        </is>
      </c>
      <c r="C503" s="32" t="inlineStr">
        <is>
          <t>5280 Janitorial Services</t>
        </is>
      </c>
      <c r="D503" s="37" t="n">
        <v>750</v>
      </c>
      <c r="E503" s="32" t="inlineStr"/>
    </row>
    <row r="504">
      <c r="A504" s="32" t="inlineStr">
        <is>
          <t>3420 Lisbon Street - CY2024</t>
        </is>
      </c>
      <c r="B504" s="42" t="inlineStr">
        <is>
          <t>Expense</t>
        </is>
      </c>
      <c r="C504" s="32" t="inlineStr">
        <is>
          <t>5380 Sweeping</t>
        </is>
      </c>
      <c r="D504" s="37" t="n">
        <v>491.25</v>
      </c>
      <c r="E504" s="32" t="inlineStr"/>
    </row>
    <row r="505">
      <c r="A505" s="32" t="inlineStr">
        <is>
          <t>3420 Lisbon Street - CY2024</t>
        </is>
      </c>
      <c r="B505" s="42" t="inlineStr">
        <is>
          <t>Expense</t>
        </is>
      </c>
      <c r="C505" s="32" t="inlineStr">
        <is>
          <t>8450 Prof Service-Other Environ</t>
        </is>
      </c>
      <c r="D505" s="37" t="n">
        <v>447.63</v>
      </c>
      <c r="E505" s="32" t="inlineStr"/>
    </row>
    <row r="506">
      <c r="A506" s="32" t="inlineStr">
        <is>
          <t>3420 Lisbon Street - CY2024</t>
        </is>
      </c>
      <c r="B506" s="42" t="inlineStr">
        <is>
          <t>Expense</t>
        </is>
      </c>
      <c r="C506" s="32" t="inlineStr">
        <is>
          <t>5385 Window Washing</t>
        </is>
      </c>
      <c r="D506" s="37" t="n">
        <v>296</v>
      </c>
      <c r="E506" s="32" t="inlineStr"/>
    </row>
    <row r="507">
      <c r="A507" s="32" t="inlineStr">
        <is>
          <t>3420 Lisbon Street - CY2024</t>
        </is>
      </c>
      <c r="B507" s="42" t="inlineStr">
        <is>
          <t>Expense</t>
        </is>
      </c>
      <c r="C507" s="32" t="inlineStr">
        <is>
          <t>5365 Signs</t>
        </is>
      </c>
      <c r="D507" s="37" t="n">
        <v>272.45</v>
      </c>
      <c r="E507" s="32" t="inlineStr"/>
    </row>
    <row r="508">
      <c r="A508" s="32" t="inlineStr">
        <is>
          <t>3420 Lisbon Street - CY2024</t>
        </is>
      </c>
      <c r="B508" s="42" t="inlineStr">
        <is>
          <t>Expense</t>
        </is>
      </c>
      <c r="C508" s="32" t="inlineStr">
        <is>
          <t>5205 Backflow Testing &amp; Repair</t>
        </is>
      </c>
      <c r="D508" s="37" t="n">
        <v>270</v>
      </c>
      <c r="E508" s="32" t="inlineStr"/>
    </row>
    <row r="509">
      <c r="A509" s="32" t="inlineStr">
        <is>
          <t>3420 Lisbon Street - CY2024</t>
        </is>
      </c>
      <c r="B509" s="42" t="inlineStr">
        <is>
          <t>Expense</t>
        </is>
      </c>
      <c r="C509" s="32" t="inlineStr">
        <is>
          <t>6290 Landscaping</t>
        </is>
      </c>
      <c r="D509" s="37" t="n">
        <v>316.5</v>
      </c>
      <c r="E509" s="32" t="inlineStr"/>
    </row>
    <row r="510">
      <c r="A510" s="32" t="inlineStr">
        <is>
          <t>3420 Lisbon Street - CY2024</t>
        </is>
      </c>
      <c r="B510" s="42" t="inlineStr">
        <is>
          <t>Expense</t>
        </is>
      </c>
      <c r="C510" s="32" t="inlineStr">
        <is>
          <t>5312 Other-DTR</t>
        </is>
      </c>
      <c r="D510" s="37" t="n">
        <v>261.67</v>
      </c>
      <c r="E510" s="32" t="inlineStr"/>
    </row>
    <row r="511">
      <c r="A511" s="32" t="inlineStr">
        <is>
          <t>3420 Lisbon Street - CY2024</t>
        </is>
      </c>
      <c r="B511" s="42" t="inlineStr">
        <is>
          <t>Expense</t>
        </is>
      </c>
      <c r="C511" s="32" t="inlineStr">
        <is>
          <t>8225 Tenant Relations</t>
        </is>
      </c>
      <c r="D511" s="37" t="n">
        <v>126.9</v>
      </c>
      <c r="E511" s="32" t="inlineStr"/>
    </row>
    <row r="512">
      <c r="A512" s="32" t="inlineStr">
        <is>
          <t>3420 Lisbon Street - CY2024</t>
        </is>
      </c>
      <c r="B512" s="42" t="inlineStr">
        <is>
          <t>Expense</t>
        </is>
      </c>
      <c r="C512" s="32" t="inlineStr">
        <is>
          <t>8420 Prof Service-Legal</t>
        </is>
      </c>
      <c r="D512" s="37" t="n">
        <v>80.68000000000001</v>
      </c>
      <c r="E512" s="32" t="inlineStr"/>
    </row>
    <row r="513">
      <c r="A513" s="32" t="inlineStr">
        <is>
          <t>3420 Lisbon Street - CY2024</t>
        </is>
      </c>
      <c r="B513" s="42" t="inlineStr">
        <is>
          <t>Expense</t>
        </is>
      </c>
      <c r="C513" s="32" t="inlineStr">
        <is>
          <t>5305 Lighting</t>
        </is>
      </c>
      <c r="D513" s="37" t="n">
        <v>16.15</v>
      </c>
      <c r="E513" s="32" t="inlineStr"/>
    </row>
    <row r="514">
      <c r="A514" s="32" t="inlineStr">
        <is>
          <t>3420 Lisbon Street - CY2024</t>
        </is>
      </c>
      <c r="B514" s="42" t="inlineStr">
        <is>
          <t>Expense</t>
        </is>
      </c>
      <c r="C514" s="32" t="inlineStr">
        <is>
          <t>5285 Keys/Card Access</t>
        </is>
      </c>
      <c r="D514" s="37" t="n">
        <v>11.86</v>
      </c>
      <c r="E514" s="32" t="inlineStr"/>
    </row>
    <row r="515">
      <c r="A515" s="32" t="inlineStr">
        <is>
          <t>3420 Lisbon Street - CY2024</t>
        </is>
      </c>
      <c r="B515" s="42" t="inlineStr">
        <is>
          <t>Expense</t>
        </is>
      </c>
      <c r="C515" s="32" t="inlineStr">
        <is>
          <t>5275 HVAC</t>
        </is>
      </c>
      <c r="D515" s="37" t="n">
        <v>0</v>
      </c>
      <c r="E515" s="32" t="inlineStr">
        <is>
          <t>No amount printed</t>
        </is>
      </c>
    </row>
    <row r="516">
      <c r="A516" s="32" t="inlineStr">
        <is>
          <t>3420 Lisbon Street - CY2024</t>
        </is>
      </c>
      <c r="B516" s="42" t="inlineStr">
        <is>
          <t>Expense</t>
        </is>
      </c>
      <c r="C516" s="40" t="inlineStr">
        <is>
          <t>TOTAL OPERATING EXPENSES</t>
        </is>
      </c>
      <c r="D516" s="43">
        <f>SUM(D493:D515)</f>
        <v/>
      </c>
      <c r="E516" s="32" t="inlineStr">
        <is>
          <t>Printed total: $205,776.75</t>
        </is>
      </c>
    </row>
    <row r="517">
      <c r="A517" s="32" t="inlineStr">
        <is>
          <t>5690 E. 56th Avenue - CY2023</t>
        </is>
      </c>
      <c r="B517" s="42" t="inlineStr">
        <is>
          <t>Expense</t>
        </is>
      </c>
      <c r="C517" s="32" t="inlineStr">
        <is>
          <t>Real Estate Taxes</t>
        </is>
      </c>
      <c r="D517" s="37" t="n">
        <v>116160</v>
      </c>
      <c r="E517" s="32" t="inlineStr">
        <is>
          <t>$3.32 PSF</t>
        </is>
      </c>
    </row>
    <row r="518">
      <c r="A518" s="32" t="inlineStr">
        <is>
          <t>5690 E. 56th Avenue - CY2023</t>
        </is>
      </c>
      <c r="B518" s="42" t="inlineStr">
        <is>
          <t>Expense</t>
        </is>
      </c>
      <c r="C518" s="32" t="inlineStr">
        <is>
          <t>CAM - Reimbursable</t>
        </is>
      </c>
      <c r="D518" s="37" t="n">
        <v>51894</v>
      </c>
      <c r="E518" s="32" t="inlineStr">
        <is>
          <t>$1.48 PSF</t>
        </is>
      </c>
    </row>
    <row r="519">
      <c r="A519" s="32" t="inlineStr">
        <is>
          <t>5690 E. 56th Avenue - CY2023</t>
        </is>
      </c>
      <c r="B519" s="42" t="inlineStr">
        <is>
          <t>Expense</t>
        </is>
      </c>
      <c r="C519" s="32" t="inlineStr">
        <is>
          <t>CAM - Non-Reimbursable</t>
        </is>
      </c>
      <c r="D519" s="37" t="n">
        <v>1085</v>
      </c>
      <c r="E519" s="32" t="inlineStr">
        <is>
          <t>$0.03 PSF</t>
        </is>
      </c>
    </row>
    <row r="520">
      <c r="A520" s="32" t="inlineStr">
        <is>
          <t>5690 E. 56th Avenue - CY2023</t>
        </is>
      </c>
      <c r="B520" s="42" t="inlineStr">
        <is>
          <t>Expense</t>
        </is>
      </c>
      <c r="C520" s="32" t="inlineStr">
        <is>
          <t>Reserves for Replacement</t>
        </is>
      </c>
      <c r="D520" s="37" t="n">
        <v>0</v>
      </c>
      <c r="E520" s="32" t="inlineStr">
        <is>
          <t>Reported as $0</t>
        </is>
      </c>
    </row>
    <row r="521">
      <c r="A521" s="32" t="inlineStr">
        <is>
          <t>5690 E. 56th Avenue - CY2023</t>
        </is>
      </c>
      <c r="B521" s="42" t="inlineStr">
        <is>
          <t>Expense</t>
        </is>
      </c>
      <c r="C521" s="40" t="inlineStr">
        <is>
          <t>TOTAL EXPENSES</t>
        </is>
      </c>
      <c r="D521" s="43">
        <f>SUM(D517:D520)</f>
        <v/>
      </c>
      <c r="E521" s="32" t="inlineStr">
        <is>
          <t>Printed total: $169,139.00</t>
        </is>
      </c>
    </row>
    <row r="522">
      <c r="A522" s="32" t="inlineStr">
        <is>
          <t>5690 E. 56th Avenue - CY2024</t>
        </is>
      </c>
      <c r="B522" s="42" t="inlineStr">
        <is>
          <t>Expense</t>
        </is>
      </c>
      <c r="C522" s="32" t="inlineStr">
        <is>
          <t>Real Estate Taxes</t>
        </is>
      </c>
      <c r="D522" s="37" t="n">
        <v>123195</v>
      </c>
      <c r="E522" s="32" t="inlineStr">
        <is>
          <t>$3.52 PSF</t>
        </is>
      </c>
    </row>
    <row r="523">
      <c r="A523" s="32" t="inlineStr">
        <is>
          <t>5690 E. 56th Avenue - CY2024</t>
        </is>
      </c>
      <c r="B523" s="42" t="inlineStr">
        <is>
          <t>Expense</t>
        </is>
      </c>
      <c r="C523" s="32" t="inlineStr">
        <is>
          <t>CAM - Reimbursable</t>
        </is>
      </c>
      <c r="D523" s="37" t="n">
        <v>65115</v>
      </c>
      <c r="E523" s="32" t="inlineStr">
        <is>
          <t>$1.86 PSF</t>
        </is>
      </c>
    </row>
    <row r="524">
      <c r="A524" s="32" t="inlineStr">
        <is>
          <t>5690 E. 56th Avenue - CY2024</t>
        </is>
      </c>
      <c r="B524" s="42" t="inlineStr">
        <is>
          <t>Expense</t>
        </is>
      </c>
      <c r="C524" s="32" t="inlineStr">
        <is>
          <t>CAM - Non-Reimbursable</t>
        </is>
      </c>
      <c r="D524" s="37" t="n">
        <v>6377</v>
      </c>
      <c r="E524" s="32" t="inlineStr">
        <is>
          <t>$0.18 PSF</t>
        </is>
      </c>
    </row>
    <row r="525">
      <c r="A525" s="32" t="inlineStr">
        <is>
          <t>5690 E. 56th Avenue - CY2024</t>
        </is>
      </c>
      <c r="B525" s="42" t="inlineStr">
        <is>
          <t>Expense</t>
        </is>
      </c>
      <c r="C525" s="32" t="inlineStr">
        <is>
          <t>Reserves for Replacement</t>
        </is>
      </c>
      <c r="D525" s="37" t="n">
        <v>0</v>
      </c>
      <c r="E525" s="32" t="inlineStr">
        <is>
          <t>Reported as $0</t>
        </is>
      </c>
    </row>
    <row r="526">
      <c r="A526" s="32" t="inlineStr">
        <is>
          <t>5690 E. 56th Avenue - CY2024</t>
        </is>
      </c>
      <c r="B526" s="42" t="inlineStr">
        <is>
          <t>Expense</t>
        </is>
      </c>
      <c r="C526" s="40" t="inlineStr">
        <is>
          <t>TOTAL EXPENSES</t>
        </is>
      </c>
      <c r="D526" s="43">
        <f>SUM(D522:D525)</f>
        <v/>
      </c>
      <c r="E526" s="32" t="inlineStr">
        <is>
          <t>Printed total: $194,687.00</t>
        </is>
      </c>
    </row>
    <row r="527">
      <c r="A527" s="32" t="inlineStr">
        <is>
          <t>Alpine Park II - CY2024</t>
        </is>
      </c>
      <c r="B527" s="42" t="inlineStr">
        <is>
          <t>Income</t>
        </is>
      </c>
      <c r="C527" s="32" t="inlineStr">
        <is>
          <t>Market Rent</t>
        </is>
      </c>
      <c r="D527" s="37" t="n">
        <v>229531</v>
      </c>
      <c r="E527" s="32" t="inlineStr">
        <is>
          <t>No CAM reimbursements or misc income reported</t>
        </is>
      </c>
    </row>
    <row r="528">
      <c r="A528" s="32" t="inlineStr">
        <is>
          <t>Alpine Park II - CY2024</t>
        </is>
      </c>
      <c r="B528" s="42" t="inlineStr">
        <is>
          <t>Income</t>
        </is>
      </c>
      <c r="C528" s="40" t="inlineStr">
        <is>
          <t>TOTAL INCOME</t>
        </is>
      </c>
      <c r="D528" s="43">
        <f>SUM(D527:D527)</f>
        <v/>
      </c>
      <c r="E528" s="32" t="inlineStr">
        <is>
          <t>Printed total: $229,531.00</t>
        </is>
      </c>
    </row>
    <row r="529">
      <c r="A529" s="32" t="inlineStr">
        <is>
          <t>Alpine Park II - CY2024</t>
        </is>
      </c>
      <c r="B529" s="42" t="inlineStr">
        <is>
          <t>Expense</t>
        </is>
      </c>
      <c r="C529" s="32" t="inlineStr">
        <is>
          <t>Real Property Taxes</t>
        </is>
      </c>
      <c r="D529" s="37" t="n">
        <v>69401.60000000001</v>
      </c>
      <c r="E529" s="32" t="inlineStr"/>
    </row>
    <row r="530">
      <c r="A530" s="32" t="inlineStr">
        <is>
          <t>Alpine Park II - CY2024</t>
        </is>
      </c>
      <c r="B530" s="42" t="inlineStr">
        <is>
          <t>Expense</t>
        </is>
      </c>
      <c r="C530" s="32" t="inlineStr">
        <is>
          <t>Trash Services</t>
        </is>
      </c>
      <c r="D530" s="37" t="n">
        <v>8500.75</v>
      </c>
      <c r="E530" s="32" t="inlineStr"/>
    </row>
    <row r="531">
      <c r="A531" s="32" t="inlineStr">
        <is>
          <t>Alpine Park II - CY2024</t>
        </is>
      </c>
      <c r="B531" s="42" t="inlineStr">
        <is>
          <t>Expense</t>
        </is>
      </c>
      <c r="C531" s="32" t="inlineStr">
        <is>
          <t>Fire / Life &amp; Safety R&amp;M</t>
        </is>
      </c>
      <c r="D531" s="37" t="n">
        <v>8299.799999999999</v>
      </c>
      <c r="E531" s="32" t="inlineStr"/>
    </row>
    <row r="532">
      <c r="A532" s="32" t="inlineStr">
        <is>
          <t>Alpine Park II - CY2024</t>
        </is>
      </c>
      <c r="B532" s="42" t="inlineStr">
        <is>
          <t>Expense</t>
        </is>
      </c>
      <c r="C532" s="32" t="inlineStr">
        <is>
          <t>Exterior R&amp;M</t>
        </is>
      </c>
      <c r="D532" s="37" t="n">
        <v>8000</v>
      </c>
      <c r="E532" s="32" t="inlineStr"/>
    </row>
    <row r="533">
      <c r="A533" s="32" t="inlineStr">
        <is>
          <t>Alpine Park II - CY2024</t>
        </is>
      </c>
      <c r="B533" s="42" t="inlineStr">
        <is>
          <t>Expense</t>
        </is>
      </c>
      <c r="C533" s="32" t="inlineStr">
        <is>
          <t>Water &amp; Sewer</t>
        </is>
      </c>
      <c r="D533" s="37" t="n">
        <v>3438.85</v>
      </c>
      <c r="E533" s="32" t="inlineStr"/>
    </row>
    <row r="534">
      <c r="A534" s="32" t="inlineStr">
        <is>
          <t>Alpine Park II - CY2024</t>
        </is>
      </c>
      <c r="B534" s="42" t="inlineStr">
        <is>
          <t>Expense</t>
        </is>
      </c>
      <c r="C534" s="32" t="inlineStr">
        <is>
          <t>Landscape Services</t>
        </is>
      </c>
      <c r="D534" s="37" t="n">
        <v>3350</v>
      </c>
      <c r="E534" s="32" t="inlineStr"/>
    </row>
    <row r="535">
      <c r="A535" s="32" t="inlineStr">
        <is>
          <t>Alpine Park II - CY2024</t>
        </is>
      </c>
      <c r="B535" s="42" t="inlineStr">
        <is>
          <t>Expense</t>
        </is>
      </c>
      <c r="C535" s="32" t="inlineStr">
        <is>
          <t>Property Insurance</t>
        </is>
      </c>
      <c r="D535" s="37" t="n">
        <v>1634.57</v>
      </c>
      <c r="E535" s="32" t="inlineStr"/>
    </row>
    <row r="536">
      <c r="A536" s="32" t="inlineStr">
        <is>
          <t>Alpine Park II - CY2024</t>
        </is>
      </c>
      <c r="B536" s="42" t="inlineStr">
        <is>
          <t>Expense</t>
        </is>
      </c>
      <c r="C536" s="32" t="inlineStr">
        <is>
          <t>Partnership Accounting</t>
        </is>
      </c>
      <c r="D536" s="37" t="n">
        <v>1550</v>
      </c>
      <c r="E536" s="32" t="inlineStr"/>
    </row>
    <row r="537">
      <c r="A537" s="32" t="inlineStr">
        <is>
          <t>Alpine Park II - CY2024</t>
        </is>
      </c>
      <c r="B537" s="42" t="inlineStr">
        <is>
          <t>Expense</t>
        </is>
      </c>
      <c r="C537" s="32" t="inlineStr">
        <is>
          <t>Snow Removal Services</t>
        </is>
      </c>
      <c r="D537" s="37" t="n">
        <v>1050</v>
      </c>
      <c r="E537" s="32" t="inlineStr"/>
    </row>
    <row r="538">
      <c r="A538" s="32" t="inlineStr">
        <is>
          <t>Alpine Park II - CY2024</t>
        </is>
      </c>
      <c r="B538" s="42" t="inlineStr">
        <is>
          <t>Expense</t>
        </is>
      </c>
      <c r="C538" s="32" t="inlineStr">
        <is>
          <t>Maintenance &amp; Repairs</t>
        </is>
      </c>
      <c r="D538" s="37" t="n">
        <v>819.88</v>
      </c>
      <c r="E538" s="32" t="inlineStr"/>
    </row>
    <row r="539">
      <c r="A539" s="32" t="inlineStr">
        <is>
          <t>Alpine Park II - CY2024</t>
        </is>
      </c>
      <c r="B539" s="42" t="inlineStr">
        <is>
          <t>Expense</t>
        </is>
      </c>
      <c r="C539" s="32" t="inlineStr">
        <is>
          <t>Electric</t>
        </is>
      </c>
      <c r="D539" s="37" t="n">
        <v>712.77</v>
      </c>
      <c r="E539" s="32" t="inlineStr"/>
    </row>
    <row r="540">
      <c r="A540" s="32" t="inlineStr">
        <is>
          <t>Alpine Park II - CY2024</t>
        </is>
      </c>
      <c r="B540" s="42" t="inlineStr">
        <is>
          <t>Expense</t>
        </is>
      </c>
      <c r="C540" s="32" t="inlineStr">
        <is>
          <t>Software</t>
        </is>
      </c>
      <c r="D540" s="37" t="n">
        <v>353.4</v>
      </c>
      <c r="E540" s="32" t="inlineStr"/>
    </row>
    <row r="541">
      <c r="A541" s="32" t="inlineStr">
        <is>
          <t>Alpine Park II - CY2024</t>
        </is>
      </c>
      <c r="B541" s="42" t="inlineStr">
        <is>
          <t>Expense</t>
        </is>
      </c>
      <c r="C541" s="32" t="inlineStr">
        <is>
          <t>Merchant Account</t>
        </is>
      </c>
      <c r="D541" s="37" t="n">
        <v>221.71</v>
      </c>
      <c r="E541" s="32" t="inlineStr"/>
    </row>
    <row r="542">
      <c r="A542" s="32" t="inlineStr">
        <is>
          <t>Alpine Park II - CY2024</t>
        </is>
      </c>
      <c r="B542" s="42" t="inlineStr">
        <is>
          <t>Expense</t>
        </is>
      </c>
      <c r="C542" s="32" t="inlineStr">
        <is>
          <t>Interior Unit R&amp;M</t>
        </is>
      </c>
      <c r="D542" s="37" t="n">
        <v>175</v>
      </c>
      <c r="E542" s="32" t="inlineStr"/>
    </row>
    <row r="543">
      <c r="A543" s="32" t="inlineStr">
        <is>
          <t>Alpine Park II - CY2024</t>
        </is>
      </c>
      <c r="B543" s="42" t="inlineStr">
        <is>
          <t>Expense</t>
        </is>
      </c>
      <c r="C543" s="32" t="inlineStr">
        <is>
          <t>Marketing Supplies</t>
        </is>
      </c>
      <c r="D543" s="37" t="n">
        <v>25</v>
      </c>
      <c r="E543" s="32" t="inlineStr"/>
    </row>
    <row r="544">
      <c r="A544" s="32" t="inlineStr">
        <is>
          <t>Alpine Park II - CY2024</t>
        </is>
      </c>
      <c r="B544" s="42" t="inlineStr">
        <is>
          <t>Expense</t>
        </is>
      </c>
      <c r="C544" s="32" t="inlineStr">
        <is>
          <t>Partnership Admin</t>
        </is>
      </c>
      <c r="D544" s="37" t="n">
        <v>20</v>
      </c>
      <c r="E544" s="32" t="inlineStr"/>
    </row>
    <row r="545">
      <c r="A545" s="32" t="inlineStr">
        <is>
          <t>Alpine Park II - CY2024</t>
        </is>
      </c>
      <c r="B545" s="42" t="inlineStr">
        <is>
          <t>Expense</t>
        </is>
      </c>
      <c r="C545" s="32" t="inlineStr">
        <is>
          <t>Electrical R&amp;M</t>
        </is>
      </c>
      <c r="D545" s="37" t="n">
        <v>0</v>
      </c>
      <c r="E545" s="32" t="inlineStr"/>
    </row>
    <row r="546">
      <c r="A546" s="32" t="inlineStr">
        <is>
          <t>Alpine Park II - CY2024</t>
        </is>
      </c>
      <c r="B546" s="42" t="inlineStr">
        <is>
          <t>Expense</t>
        </is>
      </c>
      <c r="C546" s="32" t="inlineStr">
        <is>
          <t>HVAC R&amp;M</t>
        </is>
      </c>
      <c r="D546" s="37" t="n">
        <v>0</v>
      </c>
      <c r="E546" s="32" t="inlineStr"/>
    </row>
    <row r="547">
      <c r="A547" s="32" t="inlineStr">
        <is>
          <t>Alpine Park II - CY2024</t>
        </is>
      </c>
      <c r="B547" s="42" t="inlineStr">
        <is>
          <t>Expense</t>
        </is>
      </c>
      <c r="C547" s="32" t="inlineStr">
        <is>
          <t>Plumbing R&amp;M</t>
        </is>
      </c>
      <c r="D547" s="37" t="n">
        <v>0</v>
      </c>
      <c r="E547" s="32" t="inlineStr"/>
    </row>
    <row r="548">
      <c r="A548" s="32" t="inlineStr">
        <is>
          <t>Alpine Park II - CY2024</t>
        </is>
      </c>
      <c r="B548" s="42" t="inlineStr">
        <is>
          <t>Expense</t>
        </is>
      </c>
      <c r="C548" s="32" t="inlineStr">
        <is>
          <t>Bank Fees</t>
        </is>
      </c>
      <c r="D548" s="37" t="n">
        <v>-0.03</v>
      </c>
      <c r="E548" s="32" t="inlineStr">
        <is>
          <t>Credit</t>
        </is>
      </c>
    </row>
    <row r="549">
      <c r="A549" s="32" t="inlineStr">
        <is>
          <t>Alpine Park II - CY2024</t>
        </is>
      </c>
      <c r="B549" s="42" t="inlineStr">
        <is>
          <t>Expense</t>
        </is>
      </c>
      <c r="C549" s="40" t="inlineStr">
        <is>
          <t>TOTAL OPERATING EXPENSES</t>
        </is>
      </c>
      <c r="D549" s="43">
        <f>SUM(D529:D548)</f>
        <v/>
      </c>
      <c r="E549" s="32" t="inlineStr">
        <is>
          <t>Printed total: $107,553.30</t>
        </is>
      </c>
    </row>
    <row r="550">
      <c r="A550" s="32" t="inlineStr">
        <is>
          <t>Alpine Park II - CY2023</t>
        </is>
      </c>
      <c r="B550" s="42" t="inlineStr">
        <is>
          <t>Income</t>
        </is>
      </c>
      <c r="C550" s="32" t="inlineStr">
        <is>
          <t>Market Rent</t>
        </is>
      </c>
      <c r="D550" s="37" t="n">
        <v>256200</v>
      </c>
      <c r="E550" s="32" t="inlineStr"/>
    </row>
    <row r="551">
      <c r="A551" s="32" t="inlineStr">
        <is>
          <t>Alpine Park II - CY2023</t>
        </is>
      </c>
      <c r="B551" s="42" t="inlineStr">
        <is>
          <t>Income</t>
        </is>
      </c>
      <c r="C551" s="40" t="inlineStr">
        <is>
          <t>TOTAL INCOME</t>
        </is>
      </c>
      <c r="D551" s="43">
        <f>SUM(D550:D550)</f>
        <v/>
      </c>
      <c r="E551" s="32" t="inlineStr">
        <is>
          <t>Printed total: $256,200.00</t>
        </is>
      </c>
    </row>
    <row r="552">
      <c r="A552" s="32" t="inlineStr">
        <is>
          <t>Alpine Park II - CY2023</t>
        </is>
      </c>
      <c r="B552" s="42" t="inlineStr">
        <is>
          <t>Expense</t>
        </is>
      </c>
      <c r="C552" s="32" t="inlineStr">
        <is>
          <t>Real Property Taxes</t>
        </is>
      </c>
      <c r="D552" s="37" t="n">
        <v>59985.48</v>
      </c>
      <c r="E552" s="32" t="inlineStr"/>
    </row>
    <row r="553">
      <c r="A553" s="32" t="inlineStr">
        <is>
          <t>Alpine Park II - CY2023</t>
        </is>
      </c>
      <c r="B553" s="42" t="inlineStr">
        <is>
          <t>Expense</t>
        </is>
      </c>
      <c r="C553" s="32" t="inlineStr">
        <is>
          <t>Trash Services</t>
        </is>
      </c>
      <c r="D553" s="37" t="n">
        <v>9561.9</v>
      </c>
      <c r="E553" s="32" t="inlineStr"/>
    </row>
    <row r="554">
      <c r="A554" s="32" t="inlineStr">
        <is>
          <t>Alpine Park II - CY2023</t>
        </is>
      </c>
      <c r="B554" s="42" t="inlineStr">
        <is>
          <t>Expense</t>
        </is>
      </c>
      <c r="C554" s="32" t="inlineStr">
        <is>
          <t>Property Insurance</t>
        </is>
      </c>
      <c r="D554" s="37" t="n">
        <v>5867.85</v>
      </c>
      <c r="E554" s="32" t="inlineStr"/>
    </row>
    <row r="555">
      <c r="A555" s="32" t="inlineStr">
        <is>
          <t>Alpine Park II - CY2023</t>
        </is>
      </c>
      <c r="B555" s="42" t="inlineStr">
        <is>
          <t>Expense</t>
        </is>
      </c>
      <c r="C555" s="32" t="inlineStr">
        <is>
          <t>Fire / Life &amp; Safety R&amp;M</t>
        </is>
      </c>
      <c r="D555" s="37" t="n">
        <v>3870.75</v>
      </c>
      <c r="E555" s="32" t="inlineStr"/>
    </row>
    <row r="556">
      <c r="A556" s="32" t="inlineStr">
        <is>
          <t>Alpine Park II - CY2023</t>
        </is>
      </c>
      <c r="B556" s="42" t="inlineStr">
        <is>
          <t>Expense</t>
        </is>
      </c>
      <c r="C556" s="32" t="inlineStr">
        <is>
          <t>Snow Removal Services</t>
        </is>
      </c>
      <c r="D556" s="37" t="n">
        <v>2800</v>
      </c>
      <c r="E556" s="32" t="inlineStr"/>
    </row>
    <row r="557">
      <c r="A557" s="32" t="inlineStr">
        <is>
          <t>Alpine Park II - CY2023</t>
        </is>
      </c>
      <c r="B557" s="42" t="inlineStr">
        <is>
          <t>Expense</t>
        </is>
      </c>
      <c r="C557" s="32" t="inlineStr">
        <is>
          <t>Water &amp; Sewer</t>
        </is>
      </c>
      <c r="D557" s="37" t="n">
        <v>2311.97</v>
      </c>
      <c r="E557" s="32" t="inlineStr"/>
    </row>
    <row r="558">
      <c r="A558" s="32" t="inlineStr">
        <is>
          <t>Alpine Park II - CY2023</t>
        </is>
      </c>
      <c r="B558" s="42" t="inlineStr">
        <is>
          <t>Expense</t>
        </is>
      </c>
      <c r="C558" s="32" t="inlineStr">
        <is>
          <t>Landscape Services</t>
        </is>
      </c>
      <c r="D558" s="37" t="n">
        <v>2200</v>
      </c>
      <c r="E558" s="32" t="inlineStr"/>
    </row>
    <row r="559">
      <c r="A559" s="32" t="inlineStr">
        <is>
          <t>Alpine Park II - CY2023</t>
        </is>
      </c>
      <c r="B559" s="42" t="inlineStr">
        <is>
          <t>Expense</t>
        </is>
      </c>
      <c r="C559" s="32" t="inlineStr">
        <is>
          <t>Plumbing R&amp;M</t>
        </is>
      </c>
      <c r="D559" s="37" t="n">
        <v>1094.49</v>
      </c>
      <c r="E559" s="32" t="inlineStr"/>
    </row>
    <row r="560">
      <c r="A560" s="32" t="inlineStr">
        <is>
          <t>Alpine Park II - CY2023</t>
        </is>
      </c>
      <c r="B560" s="42" t="inlineStr">
        <is>
          <t>Expense</t>
        </is>
      </c>
      <c r="C560" s="32" t="inlineStr">
        <is>
          <t>Electrical R&amp;M</t>
        </is>
      </c>
      <c r="D560" s="37" t="n">
        <v>990</v>
      </c>
      <c r="E560" s="32" t="inlineStr"/>
    </row>
    <row r="561">
      <c r="A561" s="32" t="inlineStr">
        <is>
          <t>Alpine Park II - CY2023</t>
        </is>
      </c>
      <c r="B561" s="42" t="inlineStr">
        <is>
          <t>Expense</t>
        </is>
      </c>
      <c r="C561" s="32" t="inlineStr">
        <is>
          <t>Partnership Accounting</t>
        </is>
      </c>
      <c r="D561" s="37" t="n">
        <v>800</v>
      </c>
      <c r="E561" s="32" t="inlineStr"/>
    </row>
    <row r="562">
      <c r="A562" s="32" t="inlineStr">
        <is>
          <t>Alpine Park II - CY2023</t>
        </is>
      </c>
      <c r="B562" s="42" t="inlineStr">
        <is>
          <t>Expense</t>
        </is>
      </c>
      <c r="C562" s="32" t="inlineStr">
        <is>
          <t>Electric</t>
        </is>
      </c>
      <c r="D562" s="37" t="n">
        <v>760.15</v>
      </c>
      <c r="E562" s="32" t="inlineStr"/>
    </row>
    <row r="563">
      <c r="A563" s="32" t="inlineStr">
        <is>
          <t>Alpine Park II - CY2023</t>
        </is>
      </c>
      <c r="B563" s="42" t="inlineStr">
        <is>
          <t>Expense</t>
        </is>
      </c>
      <c r="C563" s="32" t="inlineStr">
        <is>
          <t>Interior Unit R&amp;M</t>
        </is>
      </c>
      <c r="D563" s="37" t="n">
        <v>618</v>
      </c>
      <c r="E563" s="32" t="inlineStr"/>
    </row>
    <row r="564">
      <c r="A564" s="32" t="inlineStr">
        <is>
          <t>Alpine Park II - CY2023</t>
        </is>
      </c>
      <c r="B564" s="42" t="inlineStr">
        <is>
          <t>Expense</t>
        </is>
      </c>
      <c r="C564" s="32" t="inlineStr">
        <is>
          <t>HVAC R&amp;M</t>
        </is>
      </c>
      <c r="D564" s="37" t="n">
        <v>480</v>
      </c>
      <c r="E564" s="32" t="inlineStr"/>
    </row>
    <row r="565">
      <c r="A565" s="32" t="inlineStr">
        <is>
          <t>Alpine Park II - CY2023</t>
        </is>
      </c>
      <c r="B565" s="42" t="inlineStr">
        <is>
          <t>Expense</t>
        </is>
      </c>
      <c r="C565" s="32" t="inlineStr">
        <is>
          <t>Software</t>
        </is>
      </c>
      <c r="D565" s="37" t="n">
        <v>316.05</v>
      </c>
      <c r="E565" s="32" t="inlineStr"/>
    </row>
    <row r="566">
      <c r="A566" s="32" t="inlineStr">
        <is>
          <t>Alpine Park II - CY2023</t>
        </is>
      </c>
      <c r="B566" s="42" t="inlineStr">
        <is>
          <t>Expense</t>
        </is>
      </c>
      <c r="C566" s="32" t="inlineStr">
        <is>
          <t>Merchant Account</t>
        </is>
      </c>
      <c r="D566" s="37" t="n">
        <v>281.54</v>
      </c>
      <c r="E566" s="32" t="inlineStr"/>
    </row>
    <row r="567">
      <c r="A567" s="32" t="inlineStr">
        <is>
          <t>Alpine Park II - CY2023</t>
        </is>
      </c>
      <c r="B567" s="42" t="inlineStr">
        <is>
          <t>Expense</t>
        </is>
      </c>
      <c r="C567" s="40" t="inlineStr">
        <is>
          <t>TOTAL OPERATING EXPENSES</t>
        </is>
      </c>
      <c r="D567" s="43">
        <f>SUM(D552:D566)</f>
        <v/>
      </c>
      <c r="E567" s="32" t="inlineStr">
        <is>
          <t>Printed total: $91,938.18</t>
        </is>
      </c>
    </row>
    <row r="568">
      <c r="A568" s="32" t="inlineStr">
        <is>
          <t>Alpine Park II - CY2022</t>
        </is>
      </c>
      <c r="B568" s="42" t="inlineStr">
        <is>
          <t>Income</t>
        </is>
      </c>
      <c r="C568" s="32" t="inlineStr">
        <is>
          <t>Market Rent</t>
        </is>
      </c>
      <c r="D568" s="37" t="n">
        <v>255992.67</v>
      </c>
      <c r="E568" s="32" t="inlineStr"/>
    </row>
    <row r="569">
      <c r="A569" s="32" t="inlineStr">
        <is>
          <t>Alpine Park II - CY2022</t>
        </is>
      </c>
      <c r="B569" s="42" t="inlineStr">
        <is>
          <t>Income</t>
        </is>
      </c>
      <c r="C569" s="32" t="inlineStr">
        <is>
          <t>Other Income</t>
        </is>
      </c>
      <c r="D569" s="37" t="n">
        <v>2500</v>
      </c>
      <c r="E569" s="32" t="inlineStr"/>
    </row>
    <row r="570">
      <c r="A570" s="32" t="inlineStr">
        <is>
          <t>Alpine Park II - CY2022</t>
        </is>
      </c>
      <c r="B570" s="42" t="inlineStr">
        <is>
          <t>Income</t>
        </is>
      </c>
      <c r="C570" s="32" t="inlineStr">
        <is>
          <t>Damages</t>
        </is>
      </c>
      <c r="D570" s="37" t="n">
        <v>500</v>
      </c>
      <c r="E570" s="32" t="inlineStr"/>
    </row>
    <row r="571">
      <c r="A571" s="32" t="inlineStr">
        <is>
          <t>Alpine Park II - CY2022</t>
        </is>
      </c>
      <c r="B571" s="42" t="inlineStr">
        <is>
          <t>Income</t>
        </is>
      </c>
      <c r="C571" s="32" t="inlineStr">
        <is>
          <t>Interest Income</t>
        </is>
      </c>
      <c r="D571" s="37" t="n">
        <v>0</v>
      </c>
      <c r="E571" s="32" t="inlineStr"/>
    </row>
    <row r="572">
      <c r="A572" s="32" t="inlineStr">
        <is>
          <t>Alpine Park II - CY2022</t>
        </is>
      </c>
      <c r="B572" s="42" t="inlineStr">
        <is>
          <t>Income</t>
        </is>
      </c>
      <c r="C572" s="40" t="inlineStr">
        <is>
          <t>TOTAL INCOME</t>
        </is>
      </c>
      <c r="D572" s="43">
        <f>SUM(D568:D571)</f>
        <v/>
      </c>
      <c r="E572" s="32" t="inlineStr">
        <is>
          <t>Printed total: $258,992.67</t>
        </is>
      </c>
    </row>
    <row r="573">
      <c r="A573" s="32" t="inlineStr">
        <is>
          <t>Alpine Park II - CY2022</t>
        </is>
      </c>
      <c r="B573" s="42" t="inlineStr">
        <is>
          <t>Expense</t>
        </is>
      </c>
      <c r="C573" s="32" t="inlineStr">
        <is>
          <t>Real Property Taxes</t>
        </is>
      </c>
      <c r="D573" s="37" t="n">
        <v>66104.78</v>
      </c>
      <c r="E573" s="32" t="inlineStr"/>
    </row>
    <row r="574">
      <c r="A574" s="32" t="inlineStr">
        <is>
          <t>Alpine Park II - CY2022</t>
        </is>
      </c>
      <c r="B574" s="42" t="inlineStr">
        <is>
          <t>Expense</t>
        </is>
      </c>
      <c r="C574" s="32" t="inlineStr">
        <is>
          <t>Trash Services</t>
        </is>
      </c>
      <c r="D574" s="37" t="n">
        <v>8303.969999999999</v>
      </c>
      <c r="E574" s="32" t="inlineStr"/>
    </row>
    <row r="575">
      <c r="A575" s="32" t="inlineStr">
        <is>
          <t>Alpine Park II - CY2022</t>
        </is>
      </c>
      <c r="B575" s="42" t="inlineStr">
        <is>
          <t>Expense</t>
        </is>
      </c>
      <c r="C575" s="32" t="inlineStr">
        <is>
          <t>Property Insurance</t>
        </is>
      </c>
      <c r="D575" s="37" t="n">
        <v>5276</v>
      </c>
      <c r="E575" s="32" t="inlineStr"/>
    </row>
    <row r="576">
      <c r="A576" s="32" t="inlineStr">
        <is>
          <t>Alpine Park II - CY2022</t>
        </is>
      </c>
      <c r="B576" s="42" t="inlineStr">
        <is>
          <t>Expense</t>
        </is>
      </c>
      <c r="C576" s="32" t="inlineStr">
        <is>
          <t>Landscape Services</t>
        </is>
      </c>
      <c r="D576" s="37" t="n">
        <v>4280</v>
      </c>
      <c r="E576" s="32" t="inlineStr"/>
    </row>
    <row r="577">
      <c r="A577" s="32" t="inlineStr">
        <is>
          <t>Alpine Park II - CY2022</t>
        </is>
      </c>
      <c r="B577" s="42" t="inlineStr">
        <is>
          <t>Expense</t>
        </is>
      </c>
      <c r="C577" s="32" t="inlineStr">
        <is>
          <t>Plumbing R&amp;M</t>
        </is>
      </c>
      <c r="D577" s="37" t="n">
        <v>4115</v>
      </c>
      <c r="E577" s="32" t="inlineStr"/>
    </row>
    <row r="578">
      <c r="A578" s="32" t="inlineStr">
        <is>
          <t>Alpine Park II - CY2022</t>
        </is>
      </c>
      <c r="B578" s="42" t="inlineStr">
        <is>
          <t>Expense</t>
        </is>
      </c>
      <c r="C578" s="32" t="inlineStr">
        <is>
          <t>Water &amp; Sewer</t>
        </is>
      </c>
      <c r="D578" s="37" t="n">
        <v>3043.11</v>
      </c>
      <c r="E578" s="32" t="inlineStr"/>
    </row>
    <row r="579">
      <c r="A579" s="32" t="inlineStr">
        <is>
          <t>Alpine Park II - CY2022</t>
        </is>
      </c>
      <c r="B579" s="42" t="inlineStr">
        <is>
          <t>Expense</t>
        </is>
      </c>
      <c r="C579" s="32" t="inlineStr">
        <is>
          <t>Exterior R&amp;M</t>
        </is>
      </c>
      <c r="D579" s="37" t="n">
        <v>2333.33</v>
      </c>
      <c r="E579" s="32" t="inlineStr"/>
    </row>
    <row r="580">
      <c r="A580" s="32" t="inlineStr">
        <is>
          <t>Alpine Park II - CY2022</t>
        </is>
      </c>
      <c r="B580" s="42" t="inlineStr">
        <is>
          <t>Expense</t>
        </is>
      </c>
      <c r="C580" s="32" t="inlineStr">
        <is>
          <t>Electric</t>
        </is>
      </c>
      <c r="D580" s="37" t="n">
        <v>887.54</v>
      </c>
      <c r="E580" s="32" t="inlineStr"/>
    </row>
    <row r="581">
      <c r="A581" s="32" t="inlineStr">
        <is>
          <t>Alpine Park II - CY2022</t>
        </is>
      </c>
      <c r="B581" s="42" t="inlineStr">
        <is>
          <t>Expense</t>
        </is>
      </c>
      <c r="C581" s="32" t="inlineStr">
        <is>
          <t>Interior Common Area R&amp;M</t>
        </is>
      </c>
      <c r="D581" s="37" t="n">
        <v>780</v>
      </c>
      <c r="E581" s="32" t="inlineStr"/>
    </row>
    <row r="582">
      <c r="A582" s="32" t="inlineStr">
        <is>
          <t>Alpine Park II - CY2022</t>
        </is>
      </c>
      <c r="B582" s="42" t="inlineStr">
        <is>
          <t>Expense</t>
        </is>
      </c>
      <c r="C582" s="32" t="inlineStr">
        <is>
          <t>Software</t>
        </is>
      </c>
      <c r="D582" s="37" t="n">
        <v>633.98</v>
      </c>
      <c r="E582" s="32" t="inlineStr"/>
    </row>
    <row r="583">
      <c r="A583" s="32" t="inlineStr">
        <is>
          <t>Alpine Park II - CY2022</t>
        </is>
      </c>
      <c r="B583" s="42" t="inlineStr">
        <is>
          <t>Expense</t>
        </is>
      </c>
      <c r="C583" s="32" t="inlineStr">
        <is>
          <t>Electrical R&amp;M</t>
        </is>
      </c>
      <c r="D583" s="37" t="n">
        <v>611</v>
      </c>
      <c r="E583" s="32" t="inlineStr"/>
    </row>
    <row r="584">
      <c r="A584" s="32" t="inlineStr">
        <is>
          <t>Alpine Park II - CY2022</t>
        </is>
      </c>
      <c r="B584" s="42" t="inlineStr">
        <is>
          <t>Expense</t>
        </is>
      </c>
      <c r="C584" s="32" t="inlineStr">
        <is>
          <t>Bank Fees</t>
        </is>
      </c>
      <c r="D584" s="37" t="n">
        <v>25</v>
      </c>
      <c r="E584" s="32" t="inlineStr"/>
    </row>
    <row r="585">
      <c r="A585" s="32" t="inlineStr">
        <is>
          <t>Alpine Park II - CY2022</t>
        </is>
      </c>
      <c r="B585" s="42" t="inlineStr">
        <is>
          <t>Expense</t>
        </is>
      </c>
      <c r="C585" s="32" t="inlineStr">
        <is>
          <t>Interior Unit R&amp;M</t>
        </is>
      </c>
      <c r="D585" s="37" t="n">
        <v>0</v>
      </c>
      <c r="E585" s="32" t="inlineStr"/>
    </row>
    <row r="586">
      <c r="A586" s="32" t="inlineStr">
        <is>
          <t>Alpine Park II - CY2022</t>
        </is>
      </c>
      <c r="B586" s="42" t="inlineStr">
        <is>
          <t>Expense</t>
        </is>
      </c>
      <c r="C586" s="32" t="inlineStr">
        <is>
          <t>HVAC R&amp;M</t>
        </is>
      </c>
      <c r="D586" s="37" t="n">
        <v>0</v>
      </c>
      <c r="E586" s="32" t="inlineStr"/>
    </row>
    <row r="587">
      <c r="A587" s="32" t="inlineStr">
        <is>
          <t>Alpine Park II - CY2022</t>
        </is>
      </c>
      <c r="B587" s="42" t="inlineStr">
        <is>
          <t>Expense</t>
        </is>
      </c>
      <c r="C587" s="32" t="inlineStr">
        <is>
          <t>Snow Removal Services</t>
        </is>
      </c>
      <c r="D587" s="37" t="n">
        <v>0</v>
      </c>
      <c r="E587" s="32" t="inlineStr"/>
    </row>
    <row r="588">
      <c r="A588" s="32" t="inlineStr">
        <is>
          <t>Alpine Park II - CY2022</t>
        </is>
      </c>
      <c r="B588" s="42" t="inlineStr">
        <is>
          <t>Expense</t>
        </is>
      </c>
      <c r="C588" s="32" t="inlineStr">
        <is>
          <t>Merchant Account</t>
        </is>
      </c>
      <c r="D588" s="37" t="n">
        <v>0</v>
      </c>
      <c r="E588" s="32" t="inlineStr"/>
    </row>
    <row r="589">
      <c r="A589" s="32" t="inlineStr">
        <is>
          <t>Alpine Park II - CY2022</t>
        </is>
      </c>
      <c r="B589" s="42" t="inlineStr">
        <is>
          <t>Expense</t>
        </is>
      </c>
      <c r="C589" s="40" t="inlineStr">
        <is>
          <t>TOTAL OPERATING EXPENSES</t>
        </is>
      </c>
      <c r="D589" s="43">
        <f>SUM(D573:D588)</f>
        <v/>
      </c>
      <c r="E589" s="32" t="inlineStr">
        <is>
          <t>Printed total: $96,393.71. NOTE: the agent's own Income Analysis reports 2022 total income of $258,492 (omitting the $500 damages) and real estate taxes of $59,147 against the $66,104.78 on this statement.</t>
        </is>
      </c>
    </row>
    <row r="590">
      <c r="A590" s="32" t="inlineStr">
        <is>
          <t>Alpine Park II - CY2021</t>
        </is>
      </c>
      <c r="B590" s="42" t="inlineStr">
        <is>
          <t>Income</t>
        </is>
      </c>
      <c r="C590" s="32" t="inlineStr">
        <is>
          <t>Market Rent</t>
        </is>
      </c>
      <c r="D590" s="37" t="n">
        <v>282764.52</v>
      </c>
      <c r="E590" s="32" t="inlineStr"/>
    </row>
    <row r="591">
      <c r="A591" s="32" t="inlineStr">
        <is>
          <t>Alpine Park II - CY2021</t>
        </is>
      </c>
      <c r="B591" s="42" t="inlineStr">
        <is>
          <t>Income</t>
        </is>
      </c>
      <c r="C591" s="32" t="inlineStr">
        <is>
          <t>Other Income</t>
        </is>
      </c>
      <c r="D591" s="37" t="n">
        <v>3863.06</v>
      </c>
      <c r="E591" s="32" t="inlineStr"/>
    </row>
    <row r="592">
      <c r="A592" s="32" t="inlineStr">
        <is>
          <t>Alpine Park II - CY2021</t>
        </is>
      </c>
      <c r="B592" s="42" t="inlineStr">
        <is>
          <t>Income</t>
        </is>
      </c>
      <c r="C592" s="32" t="inlineStr">
        <is>
          <t>Damages</t>
        </is>
      </c>
      <c r="D592" s="37" t="n">
        <v>2392.04</v>
      </c>
      <c r="E592" s="32" t="inlineStr"/>
    </row>
    <row r="593">
      <c r="A593" s="32" t="inlineStr">
        <is>
          <t>Alpine Park II - CY2021</t>
        </is>
      </c>
      <c r="B593" s="42" t="inlineStr">
        <is>
          <t>Income</t>
        </is>
      </c>
      <c r="C593" s="32" t="inlineStr">
        <is>
          <t>Interest Income</t>
        </is>
      </c>
      <c r="D593" s="37" t="n">
        <v>116.9</v>
      </c>
      <c r="E593" s="32" t="inlineStr"/>
    </row>
    <row r="594">
      <c r="A594" s="32" t="inlineStr">
        <is>
          <t>Alpine Park II - CY2021</t>
        </is>
      </c>
      <c r="B594" s="42" t="inlineStr">
        <is>
          <t>Income</t>
        </is>
      </c>
      <c r="C594" s="40" t="inlineStr">
        <is>
          <t>TOTAL INCOME</t>
        </is>
      </c>
      <c r="D594" s="43">
        <f>SUM(D590:D593)</f>
        <v/>
      </c>
      <c r="E594" s="32" t="inlineStr">
        <is>
          <t>Printed total: $289,136.52</t>
        </is>
      </c>
    </row>
    <row r="595">
      <c r="A595" s="32" t="inlineStr">
        <is>
          <t>Alpine Park II - CY2021</t>
        </is>
      </c>
      <c r="B595" s="42" t="inlineStr">
        <is>
          <t>Expense</t>
        </is>
      </c>
      <c r="C595" s="32" t="inlineStr">
        <is>
          <t>Real Property Taxes</t>
        </is>
      </c>
      <c r="D595" s="37" t="n">
        <v>48283.72</v>
      </c>
      <c r="E595" s="32" t="inlineStr"/>
    </row>
    <row r="596">
      <c r="A596" s="32" t="inlineStr">
        <is>
          <t>Alpine Park II - CY2021</t>
        </is>
      </c>
      <c r="B596" s="42" t="inlineStr">
        <is>
          <t>Expense</t>
        </is>
      </c>
      <c r="C596" s="32" t="inlineStr">
        <is>
          <t>Trash Services</t>
        </is>
      </c>
      <c r="D596" s="37" t="n">
        <v>6710.19</v>
      </c>
      <c r="E596" s="32" t="inlineStr"/>
    </row>
    <row r="597">
      <c r="A597" s="32" t="inlineStr">
        <is>
          <t>Alpine Park II - CY2021</t>
        </is>
      </c>
      <c r="B597" s="42" t="inlineStr">
        <is>
          <t>Expense</t>
        </is>
      </c>
      <c r="C597" s="32" t="inlineStr">
        <is>
          <t>Property Insurance</t>
        </is>
      </c>
      <c r="D597" s="37" t="n">
        <v>4893</v>
      </c>
      <c r="E597" s="32" t="inlineStr"/>
    </row>
    <row r="598">
      <c r="A598" s="32" t="inlineStr">
        <is>
          <t>Alpine Park II - CY2021</t>
        </is>
      </c>
      <c r="B598" s="42" t="inlineStr">
        <is>
          <t>Expense</t>
        </is>
      </c>
      <c r="C598" s="32" t="inlineStr">
        <is>
          <t>Landscape Services</t>
        </is>
      </c>
      <c r="D598" s="37" t="n">
        <v>3875</v>
      </c>
      <c r="E598" s="32" t="inlineStr"/>
    </row>
    <row r="599">
      <c r="A599" s="32" t="inlineStr">
        <is>
          <t>Alpine Park II - CY2021</t>
        </is>
      </c>
      <c r="B599" s="42" t="inlineStr">
        <is>
          <t>Expense</t>
        </is>
      </c>
      <c r="C599" s="32" t="inlineStr">
        <is>
          <t>Water &amp; Sewer</t>
        </is>
      </c>
      <c r="D599" s="37" t="n">
        <v>3344.39</v>
      </c>
      <c r="E599" s="32" t="inlineStr"/>
    </row>
    <row r="600">
      <c r="A600" s="32" t="inlineStr">
        <is>
          <t>Alpine Park II - CY2021</t>
        </is>
      </c>
      <c r="B600" s="42" t="inlineStr">
        <is>
          <t>Expense</t>
        </is>
      </c>
      <c r="C600" s="32" t="inlineStr">
        <is>
          <t>Interior Common Area R&amp;M</t>
        </is>
      </c>
      <c r="D600" s="37" t="n">
        <v>2923</v>
      </c>
      <c r="E600" s="32" t="inlineStr"/>
    </row>
    <row r="601">
      <c r="A601" s="32" t="inlineStr">
        <is>
          <t>Alpine Park II - CY2021</t>
        </is>
      </c>
      <c r="B601" s="42" t="inlineStr">
        <is>
          <t>Expense</t>
        </is>
      </c>
      <c r="C601" s="32" t="inlineStr">
        <is>
          <t>Plumbing R&amp;M</t>
        </is>
      </c>
      <c r="D601" s="37" t="n">
        <v>1144</v>
      </c>
      <c r="E601" s="32" t="inlineStr"/>
    </row>
    <row r="602">
      <c r="A602" s="32" t="inlineStr">
        <is>
          <t>Alpine Park II - CY2021</t>
        </is>
      </c>
      <c r="B602" s="42" t="inlineStr">
        <is>
          <t>Expense</t>
        </is>
      </c>
      <c r="C602" s="32" t="inlineStr">
        <is>
          <t>Snow Removal Services</t>
        </is>
      </c>
      <c r="D602" s="37" t="n">
        <v>870</v>
      </c>
      <c r="E602" s="32" t="inlineStr"/>
    </row>
    <row r="603">
      <c r="A603" s="32" t="inlineStr">
        <is>
          <t>Alpine Park II - CY2021</t>
        </is>
      </c>
      <c r="B603" s="42" t="inlineStr">
        <is>
          <t>Expense</t>
        </is>
      </c>
      <c r="C603" s="32" t="inlineStr">
        <is>
          <t>Interior Unit R&amp;M</t>
        </is>
      </c>
      <c r="D603" s="37" t="n">
        <v>846</v>
      </c>
      <c r="E603" s="32" t="inlineStr"/>
    </row>
    <row r="604">
      <c r="A604" s="32" t="inlineStr">
        <is>
          <t>Alpine Park II - CY2021</t>
        </is>
      </c>
      <c r="B604" s="42" t="inlineStr">
        <is>
          <t>Expense</t>
        </is>
      </c>
      <c r="C604" s="32" t="inlineStr">
        <is>
          <t>Electric</t>
        </is>
      </c>
      <c r="D604" s="37" t="n">
        <v>648.33</v>
      </c>
      <c r="E604" s="32" t="inlineStr"/>
    </row>
    <row r="605">
      <c r="A605" s="32" t="inlineStr">
        <is>
          <t>Alpine Park II - CY2021</t>
        </is>
      </c>
      <c r="B605" s="42" t="inlineStr">
        <is>
          <t>Expense</t>
        </is>
      </c>
      <c r="C605" s="32" t="inlineStr">
        <is>
          <t>Merchant Account</t>
        </is>
      </c>
      <c r="D605" s="37" t="n">
        <v>408.51</v>
      </c>
      <c r="E605" s="32" t="inlineStr"/>
    </row>
    <row r="606">
      <c r="A606" s="32" t="inlineStr">
        <is>
          <t>Alpine Park II - CY2021</t>
        </is>
      </c>
      <c r="B606" s="42" t="inlineStr">
        <is>
          <t>Expense</t>
        </is>
      </c>
      <c r="C606" s="32" t="inlineStr">
        <is>
          <t>Software</t>
        </is>
      </c>
      <c r="D606" s="37" t="n">
        <v>322.98</v>
      </c>
      <c r="E606" s="32" t="inlineStr"/>
    </row>
    <row r="607">
      <c r="A607" s="32" t="inlineStr">
        <is>
          <t>Alpine Park II - CY2021</t>
        </is>
      </c>
      <c r="B607" s="42" t="inlineStr">
        <is>
          <t>Expense</t>
        </is>
      </c>
      <c r="C607" s="32" t="inlineStr">
        <is>
          <t>HVAC R&amp;M</t>
        </is>
      </c>
      <c r="D607" s="37" t="n">
        <v>280</v>
      </c>
      <c r="E607" s="32" t="inlineStr"/>
    </row>
    <row r="608">
      <c r="A608" s="32" t="inlineStr">
        <is>
          <t>Alpine Park II - CY2021</t>
        </is>
      </c>
      <c r="B608" s="42" t="inlineStr">
        <is>
          <t>Expense</t>
        </is>
      </c>
      <c r="C608" s="32" t="inlineStr">
        <is>
          <t>Exterior R&amp;M</t>
        </is>
      </c>
      <c r="D608" s="37" t="n">
        <v>198.75</v>
      </c>
      <c r="E608" s="32" t="inlineStr"/>
    </row>
    <row r="609">
      <c r="A609" s="32" t="inlineStr">
        <is>
          <t>Alpine Park II - CY2021</t>
        </is>
      </c>
      <c r="B609" s="42" t="inlineStr">
        <is>
          <t>Expense</t>
        </is>
      </c>
      <c r="C609" s="32" t="inlineStr">
        <is>
          <t>Bank Fees</t>
        </is>
      </c>
      <c r="D609" s="37" t="n">
        <v>31</v>
      </c>
      <c r="E609" s="32" t="inlineStr"/>
    </row>
    <row r="610">
      <c r="A610" s="32" t="inlineStr">
        <is>
          <t>Alpine Park II - CY2021</t>
        </is>
      </c>
      <c r="B610" s="42" t="inlineStr">
        <is>
          <t>Expense</t>
        </is>
      </c>
      <c r="C610" s="32" t="inlineStr">
        <is>
          <t>Electrical R&amp;M</t>
        </is>
      </c>
      <c r="D610" s="37" t="n">
        <v>0</v>
      </c>
      <c r="E610" s="32" t="inlineStr"/>
    </row>
    <row r="611">
      <c r="A611" s="32" t="inlineStr">
        <is>
          <t>Alpine Park II - CY2021</t>
        </is>
      </c>
      <c r="B611" s="42" t="inlineStr">
        <is>
          <t>Expense</t>
        </is>
      </c>
      <c r="C611" s="40" t="inlineStr">
        <is>
          <t>TOTAL OPERATING EXPENSES</t>
        </is>
      </c>
      <c r="D611" s="43">
        <f>SUM(D595:D610)</f>
        <v/>
      </c>
      <c r="E611" s="32" t="inlineStr">
        <is>
          <t>Printed total: $74,778.87</t>
        </is>
      </c>
    </row>
    <row r="612">
      <c r="A612" s="32" t="inlineStr">
        <is>
          <t>Park 70 - YE2024</t>
        </is>
      </c>
      <c r="B612" s="42" t="inlineStr">
        <is>
          <t>Income</t>
        </is>
      </c>
      <c r="C612" s="32" t="inlineStr">
        <is>
          <t>Base Rent</t>
        </is>
      </c>
      <c r="D612" s="37" t="n">
        <v>921507</v>
      </c>
      <c r="E612" s="32" t="inlineStr"/>
    </row>
    <row r="613">
      <c r="A613" s="32" t="inlineStr">
        <is>
          <t>Park 70 - YE2024</t>
        </is>
      </c>
      <c r="B613" s="42" t="inlineStr">
        <is>
          <t>Income</t>
        </is>
      </c>
      <c r="C613" s="32" t="inlineStr">
        <is>
          <t>Recoverable Income</t>
        </is>
      </c>
      <c r="D613" s="37" t="n">
        <v>1224772</v>
      </c>
      <c r="E613" s="32" t="inlineStr"/>
    </row>
    <row r="614">
      <c r="A614" s="32" t="inlineStr">
        <is>
          <t>Park 70 - YE2024</t>
        </is>
      </c>
      <c r="B614" s="42" t="inlineStr">
        <is>
          <t>Income</t>
        </is>
      </c>
      <c r="C614" s="32" t="inlineStr">
        <is>
          <t>Vacancy Loss</t>
        </is>
      </c>
      <c r="D614" s="37" t="n">
        <v>0</v>
      </c>
      <c r="E614" s="32" t="inlineStr">
        <is>
          <t>100% occupied</t>
        </is>
      </c>
    </row>
    <row r="615">
      <c r="A615" s="32" t="inlineStr">
        <is>
          <t>Park 70 - YE2024</t>
        </is>
      </c>
      <c r="B615" s="42" t="inlineStr">
        <is>
          <t>Income</t>
        </is>
      </c>
      <c r="C615" s="32" t="inlineStr">
        <is>
          <t>Other Income</t>
        </is>
      </c>
      <c r="D615" s="37" t="n">
        <v>0</v>
      </c>
      <c r="E615" s="32" t="inlineStr"/>
    </row>
    <row r="616">
      <c r="A616" s="32" t="inlineStr">
        <is>
          <t>Park 70 - YE2024</t>
        </is>
      </c>
      <c r="B616" s="42" t="inlineStr">
        <is>
          <t>Income</t>
        </is>
      </c>
      <c r="C616" s="40" t="inlineStr">
        <is>
          <t>EFFECTIVE GROSS INCOME</t>
        </is>
      </c>
      <c r="D616" s="43">
        <f>SUM(D612:D615)</f>
        <v/>
      </c>
      <c r="E616" s="32" t="inlineStr">
        <is>
          <t>Printed total: $2,146,279.00</t>
        </is>
      </c>
    </row>
    <row r="617">
      <c r="A617" s="32" t="inlineStr">
        <is>
          <t>Park 70 - YE2024</t>
        </is>
      </c>
      <c r="B617" s="42" t="inlineStr">
        <is>
          <t>Expense</t>
        </is>
      </c>
      <c r="C617" s="32" t="inlineStr">
        <is>
          <t>Property Taxes</t>
        </is>
      </c>
      <c r="D617" s="37" t="n">
        <v>912402</v>
      </c>
      <c r="E617" s="32" t="inlineStr"/>
    </row>
    <row r="618">
      <c r="A618" s="32" t="inlineStr">
        <is>
          <t>Park 70 - YE2024</t>
        </is>
      </c>
      <c r="B618" s="42" t="inlineStr">
        <is>
          <t>Expense</t>
        </is>
      </c>
      <c r="C618" s="32" t="inlineStr">
        <is>
          <t>Operating Expenses</t>
        </is>
      </c>
      <c r="D618" s="37" t="n">
        <v>394456</v>
      </c>
      <c r="E618" s="32" t="inlineStr"/>
    </row>
    <row r="619">
      <c r="A619" s="32" t="inlineStr">
        <is>
          <t>Park 70 - YE2024</t>
        </is>
      </c>
      <c r="B619" s="42" t="inlineStr">
        <is>
          <t>Expense</t>
        </is>
      </c>
      <c r="C619" s="32" t="inlineStr">
        <is>
          <t>Non-Recoverable Expenses</t>
        </is>
      </c>
      <c r="D619" s="37" t="n">
        <v>1118</v>
      </c>
      <c r="E619" s="32" t="inlineStr"/>
    </row>
    <row r="620">
      <c r="A620" s="32" t="inlineStr">
        <is>
          <t>Park 70 - YE2024</t>
        </is>
      </c>
      <c r="B620" s="42" t="inlineStr">
        <is>
          <t>Expense</t>
        </is>
      </c>
      <c r="C620" s="32" t="inlineStr">
        <is>
          <t>Management Fee</t>
        </is>
      </c>
      <c r="D620" s="37" t="n">
        <v>0</v>
      </c>
      <c r="E620" s="32" t="inlineStr">
        <is>
          <t>Reported as $0</t>
        </is>
      </c>
    </row>
    <row r="621">
      <c r="A621" s="32" t="inlineStr">
        <is>
          <t>Park 70 - YE2024</t>
        </is>
      </c>
      <c r="B621" s="42" t="inlineStr">
        <is>
          <t>Expense</t>
        </is>
      </c>
      <c r="C621" s="32" t="inlineStr">
        <is>
          <t>Reserves for Replacement</t>
        </is>
      </c>
      <c r="D621" s="37" t="n">
        <v>0</v>
      </c>
      <c r="E621" s="32" t="inlineStr">
        <is>
          <t>Reported as $0</t>
        </is>
      </c>
    </row>
    <row r="622">
      <c r="A622" s="32" t="inlineStr">
        <is>
          <t>Park 70 - YE2024</t>
        </is>
      </c>
      <c r="B622" s="42" t="inlineStr">
        <is>
          <t>Expense</t>
        </is>
      </c>
      <c r="C622" s="40" t="inlineStr">
        <is>
          <t>TOTAL EXPENSES</t>
        </is>
      </c>
      <c r="D622" s="43">
        <f>SUM(D617:D621)</f>
        <v/>
      </c>
      <c r="E622" s="32" t="inlineStr">
        <is>
          <t>Printed total: $1,307,976.00</t>
        </is>
      </c>
    </row>
    <row r="623">
      <c r="A623" s="32" t="inlineStr">
        <is>
          <t>Park 70 - YE2023</t>
        </is>
      </c>
      <c r="B623" s="42" t="inlineStr">
        <is>
          <t>Income</t>
        </is>
      </c>
      <c r="C623" s="32" t="inlineStr">
        <is>
          <t>Base Rent</t>
        </is>
      </c>
      <c r="D623" s="37" t="n">
        <v>921507</v>
      </c>
      <c r="E623" s="32" t="inlineStr"/>
    </row>
    <row r="624">
      <c r="A624" s="32" t="inlineStr">
        <is>
          <t>Park 70 - YE2023</t>
        </is>
      </c>
      <c r="B624" s="42" t="inlineStr">
        <is>
          <t>Income</t>
        </is>
      </c>
      <c r="C624" s="32" t="inlineStr">
        <is>
          <t>Recoverable Income</t>
        </is>
      </c>
      <c r="D624" s="37" t="n">
        <v>1227167</v>
      </c>
      <c r="E624" s="32" t="inlineStr"/>
    </row>
    <row r="625">
      <c r="A625" s="32" t="inlineStr">
        <is>
          <t>Park 70 - YE2023</t>
        </is>
      </c>
      <c r="B625" s="42" t="inlineStr">
        <is>
          <t>Income</t>
        </is>
      </c>
      <c r="C625" s="32" t="inlineStr">
        <is>
          <t>Vacancy Loss</t>
        </is>
      </c>
      <c r="D625" s="37" t="n">
        <v>0</v>
      </c>
      <c r="E625" s="32" t="inlineStr">
        <is>
          <t>100% occupied</t>
        </is>
      </c>
    </row>
    <row r="626">
      <c r="A626" s="32" t="inlineStr">
        <is>
          <t>Park 70 - YE2023</t>
        </is>
      </c>
      <c r="B626" s="42" t="inlineStr">
        <is>
          <t>Income</t>
        </is>
      </c>
      <c r="C626" s="32" t="inlineStr">
        <is>
          <t>Other Income</t>
        </is>
      </c>
      <c r="D626" s="37" t="n">
        <v>0</v>
      </c>
      <c r="E626" s="32" t="inlineStr"/>
    </row>
    <row r="627">
      <c r="A627" s="32" t="inlineStr">
        <is>
          <t>Park 70 - YE2023</t>
        </is>
      </c>
      <c r="B627" s="42" t="inlineStr">
        <is>
          <t>Income</t>
        </is>
      </c>
      <c r="C627" s="40" t="inlineStr">
        <is>
          <t>EFFECTIVE GROSS INCOME</t>
        </is>
      </c>
      <c r="D627" s="43">
        <f>SUM(D623:D626)</f>
        <v/>
      </c>
      <c r="E627" s="32" t="inlineStr">
        <is>
          <t>Printed total: $2,148,674.00</t>
        </is>
      </c>
    </row>
    <row r="628">
      <c r="A628" s="32" t="inlineStr">
        <is>
          <t>Park 70 - YE2023</t>
        </is>
      </c>
      <c r="B628" s="42" t="inlineStr">
        <is>
          <t>Expense</t>
        </is>
      </c>
      <c r="C628" s="32" t="inlineStr">
        <is>
          <t>Property Taxes</t>
        </is>
      </c>
      <c r="D628" s="37" t="n">
        <v>923586</v>
      </c>
      <c r="E628" s="32" t="inlineStr"/>
    </row>
    <row r="629">
      <c r="A629" s="32" t="inlineStr">
        <is>
          <t>Park 70 - YE2023</t>
        </is>
      </c>
      <c r="B629" s="42" t="inlineStr">
        <is>
          <t>Expense</t>
        </is>
      </c>
      <c r="C629" s="32" t="inlineStr">
        <is>
          <t>Operating Expenses</t>
        </is>
      </c>
      <c r="D629" s="37" t="n">
        <v>356482</v>
      </c>
      <c r="E629" s="32" t="inlineStr"/>
    </row>
    <row r="630">
      <c r="A630" s="32" t="inlineStr">
        <is>
          <t>Park 70 - YE2023</t>
        </is>
      </c>
      <c r="B630" s="42" t="inlineStr">
        <is>
          <t>Expense</t>
        </is>
      </c>
      <c r="C630" s="32" t="inlineStr">
        <is>
          <t>Non-Recoverable Expenses</t>
        </is>
      </c>
      <c r="D630" s="37" t="n">
        <v>17221</v>
      </c>
      <c r="E630" s="32" t="inlineStr"/>
    </row>
    <row r="631">
      <c r="A631" s="32" t="inlineStr">
        <is>
          <t>Park 70 - YE2023</t>
        </is>
      </c>
      <c r="B631" s="42" t="inlineStr">
        <is>
          <t>Expense</t>
        </is>
      </c>
      <c r="C631" s="32" t="inlineStr">
        <is>
          <t>Management Fee</t>
        </is>
      </c>
      <c r="D631" s="37" t="n">
        <v>0</v>
      </c>
      <c r="E631" s="32" t="inlineStr">
        <is>
          <t>Reported as $0</t>
        </is>
      </c>
    </row>
    <row r="632">
      <c r="A632" s="32" t="inlineStr">
        <is>
          <t>Park 70 - YE2023</t>
        </is>
      </c>
      <c r="B632" s="42" t="inlineStr">
        <is>
          <t>Expense</t>
        </is>
      </c>
      <c r="C632" s="32" t="inlineStr">
        <is>
          <t>Reserves for Replacement</t>
        </is>
      </c>
      <c r="D632" s="37" t="n">
        <v>0</v>
      </c>
      <c r="E632" s="32" t="inlineStr">
        <is>
          <t>Reported as $0</t>
        </is>
      </c>
    </row>
    <row r="633">
      <c r="A633" s="32" t="inlineStr">
        <is>
          <t>Park 70 - YE2023</t>
        </is>
      </c>
      <c r="B633" s="42" t="inlineStr">
        <is>
          <t>Expense</t>
        </is>
      </c>
      <c r="C633" s="40" t="inlineStr">
        <is>
          <t>TOTAL EXPENSES</t>
        </is>
      </c>
      <c r="D633" s="43">
        <f>SUM(D628:D632)</f>
        <v/>
      </c>
      <c r="E633" s="32" t="inlineStr">
        <is>
          <t>Printed total: $1,297,289.00</t>
        </is>
      </c>
    </row>
    <row r="634">
      <c r="A634" s="32" t="inlineStr">
        <is>
          <t>Park 70 - YE2022</t>
        </is>
      </c>
      <c r="B634" s="42" t="inlineStr">
        <is>
          <t>Income</t>
        </is>
      </c>
      <c r="C634" s="32" t="inlineStr">
        <is>
          <t>Base Rent</t>
        </is>
      </c>
      <c r="D634" s="37" t="n">
        <v>837490</v>
      </c>
      <c r="E634" s="32" t="inlineStr"/>
    </row>
    <row r="635">
      <c r="A635" s="32" t="inlineStr">
        <is>
          <t>Park 70 - YE2022</t>
        </is>
      </c>
      <c r="B635" s="42" t="inlineStr">
        <is>
          <t>Income</t>
        </is>
      </c>
      <c r="C635" s="32" t="inlineStr">
        <is>
          <t>Recoverable Income</t>
        </is>
      </c>
      <c r="D635" s="37" t="n">
        <v>797652</v>
      </c>
      <c r="E635" s="32" t="inlineStr"/>
    </row>
    <row r="636">
      <c r="A636" s="32" t="inlineStr">
        <is>
          <t>Park 70 - YE2022</t>
        </is>
      </c>
      <c r="B636" s="42" t="inlineStr">
        <is>
          <t>Income</t>
        </is>
      </c>
      <c r="C636" s="32" t="inlineStr">
        <is>
          <t>Vacancy Loss</t>
        </is>
      </c>
      <c r="D636" s="37" t="n">
        <v>0</v>
      </c>
      <c r="E636" s="32" t="inlineStr">
        <is>
          <t>100% occupied</t>
        </is>
      </c>
    </row>
    <row r="637">
      <c r="A637" s="32" t="inlineStr">
        <is>
          <t>Park 70 - YE2022</t>
        </is>
      </c>
      <c r="B637" s="42" t="inlineStr">
        <is>
          <t>Income</t>
        </is>
      </c>
      <c r="C637" s="32" t="inlineStr">
        <is>
          <t>Other Income</t>
        </is>
      </c>
      <c r="D637" s="37" t="n">
        <v>0</v>
      </c>
      <c r="E637" s="32" t="inlineStr"/>
    </row>
    <row r="638">
      <c r="A638" s="32" t="inlineStr">
        <is>
          <t>Park 70 - YE2022</t>
        </is>
      </c>
      <c r="B638" s="42" t="inlineStr">
        <is>
          <t>Income</t>
        </is>
      </c>
      <c r="C638" s="40" t="inlineStr">
        <is>
          <t>EFFECTIVE GROSS INCOME</t>
        </is>
      </c>
      <c r="D638" s="43">
        <f>SUM(D634:D637)</f>
        <v/>
      </c>
      <c r="E638" s="32" t="inlineStr">
        <is>
          <t>Printed total: $1,635,142.00</t>
        </is>
      </c>
    </row>
    <row r="639">
      <c r="A639" s="32" t="inlineStr">
        <is>
          <t>Park 70 - YE2022</t>
        </is>
      </c>
      <c r="B639" s="42" t="inlineStr">
        <is>
          <t>Expense</t>
        </is>
      </c>
      <c r="C639" s="32" t="inlineStr">
        <is>
          <t>Property Taxes</t>
        </is>
      </c>
      <c r="D639" s="37" t="n">
        <v>533285</v>
      </c>
      <c r="E639" s="32" t="inlineStr"/>
    </row>
    <row r="640">
      <c r="A640" s="32" t="inlineStr">
        <is>
          <t>Park 70 - YE2022</t>
        </is>
      </c>
      <c r="B640" s="42" t="inlineStr">
        <is>
          <t>Expense</t>
        </is>
      </c>
      <c r="C640" s="32" t="inlineStr">
        <is>
          <t>Operating Expenses</t>
        </is>
      </c>
      <c r="D640" s="37" t="n">
        <v>223270</v>
      </c>
      <c r="E640" s="32" t="inlineStr"/>
    </row>
    <row r="641">
      <c r="A641" s="32" t="inlineStr">
        <is>
          <t>Park 70 - YE2022</t>
        </is>
      </c>
      <c r="B641" s="42" t="inlineStr">
        <is>
          <t>Expense</t>
        </is>
      </c>
      <c r="C641" s="32" t="inlineStr">
        <is>
          <t>Non-Recoverable Expenses</t>
        </is>
      </c>
      <c r="D641" s="37" t="n">
        <v>8751</v>
      </c>
      <c r="E641" s="32" t="inlineStr"/>
    </row>
    <row r="642">
      <c r="A642" s="32" t="inlineStr">
        <is>
          <t>Park 70 - YE2022</t>
        </is>
      </c>
      <c r="B642" s="42" t="inlineStr">
        <is>
          <t>Expense</t>
        </is>
      </c>
      <c r="C642" s="32" t="inlineStr">
        <is>
          <t>Management Fee</t>
        </is>
      </c>
      <c r="D642" s="37" t="n">
        <v>0</v>
      </c>
      <c r="E642" s="32" t="inlineStr">
        <is>
          <t>Reported as $0</t>
        </is>
      </c>
    </row>
    <row r="643">
      <c r="A643" s="32" t="inlineStr">
        <is>
          <t>Park 70 - YE2022</t>
        </is>
      </c>
      <c r="B643" s="42" t="inlineStr">
        <is>
          <t>Expense</t>
        </is>
      </c>
      <c r="C643" s="32" t="inlineStr">
        <is>
          <t>Reserves for Replacement</t>
        </is>
      </c>
      <c r="D643" s="37" t="n">
        <v>0</v>
      </c>
      <c r="E643" s="32" t="inlineStr">
        <is>
          <t>Reported as $0</t>
        </is>
      </c>
    </row>
    <row r="644">
      <c r="A644" s="32" t="inlineStr">
        <is>
          <t>Park 70 - YE2022</t>
        </is>
      </c>
      <c r="B644" s="42" t="inlineStr">
        <is>
          <t>Expense</t>
        </is>
      </c>
      <c r="C644" s="40" t="inlineStr">
        <is>
          <t>TOTAL EXPENSES</t>
        </is>
      </c>
      <c r="D644" s="43">
        <f>SUM(D639:D643)</f>
        <v/>
      </c>
      <c r="E644" s="32" t="inlineStr">
        <is>
          <t>Printed total: $765,306.00</t>
        </is>
      </c>
    </row>
    <row r="645">
      <c r="A645" s="32" t="inlineStr">
        <is>
          <t>2850 Walden Street - 2025 (owner schedule)</t>
        </is>
      </c>
      <c r="B645" s="42" t="inlineStr">
        <is>
          <t>Income</t>
        </is>
      </c>
      <c r="C645" s="32" t="inlineStr">
        <is>
          <t>Scheduled rent - single tenant</t>
        </is>
      </c>
      <c r="D645" s="37" t="n">
        <v>210589</v>
      </c>
      <c r="E645" s="32" t="inlineStr">
        <is>
          <t>$7.57 PSF on 27,819 SF</t>
        </is>
      </c>
    </row>
    <row r="646">
      <c r="A646" s="32" t="inlineStr">
        <is>
          <t>2850 Walden Street - 2025 (owner schedule)</t>
        </is>
      </c>
      <c r="B646" s="42" t="inlineStr">
        <is>
          <t>Income</t>
        </is>
      </c>
      <c r="C646" s="40" t="inlineStr">
        <is>
          <t>TOTAL INCOME</t>
        </is>
      </c>
      <c r="D646" s="43">
        <f>SUM(D645:D645)</f>
        <v/>
      </c>
      <c r="E646" s="32" t="inlineStr">
        <is>
          <t>Printed total: $210,589.00</t>
        </is>
      </c>
    </row>
    <row r="647">
      <c r="A647" s="32" t="inlineStr">
        <is>
          <t>2850 Walden Street - 2025 (owner schedule)</t>
        </is>
      </c>
      <c r="B647" s="42" t="inlineStr">
        <is>
          <t>Expense</t>
        </is>
      </c>
      <c r="C647" s="32" t="inlineStr">
        <is>
          <t>Real property tax (the only owner-borne expense)</t>
        </is>
      </c>
      <c r="D647" s="37" t="n">
        <v>158923</v>
      </c>
      <c r="E647" s="32" t="inlineStr">
        <is>
          <t>Tenant pays all other expenses and improvements per the lease</t>
        </is>
      </c>
    </row>
    <row r="648">
      <c r="A648" s="32" t="inlineStr">
        <is>
          <t>2850 Walden Street - 2025 (owner schedule)</t>
        </is>
      </c>
      <c r="B648" s="42" t="inlineStr">
        <is>
          <t>Expense</t>
        </is>
      </c>
      <c r="C648" s="40" t="inlineStr">
        <is>
          <t>TOTAL EXPENSES</t>
        </is>
      </c>
      <c r="D648" s="43">
        <f>SUM(D647:D647)</f>
        <v/>
      </c>
      <c r="E648" s="32" t="inlineStr">
        <is>
          <t>Printed total: $158,923.00</t>
        </is>
      </c>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26" customWidth="1" min="1" max="1"/>
    <col width="18" customWidth="1" min="2" max="2"/>
    <col width="22" customWidth="1" min="3" max="3"/>
    <col width="18" customWidth="1" min="4" max="4"/>
    <col width="8" customWidth="1" min="5" max="5"/>
  </cols>
  <sheetData>
    <row r="1" ht="26" customHeight="1">
      <c r="A1" s="1" t="inlineStr">
        <is>
          <t>RELATED PARCELS</t>
        </is>
      </c>
    </row>
    <row r="2" ht="14" customHeight="1">
      <c r="A2" s="2" t="inlineStr">
        <is>
          <t>North Side Gardens LLC portfolio — parcel schedule attached to the 7205 Gilpin Way (R0178308) appeal</t>
        </is>
      </c>
    </row>
    <row r="4" ht="28" customHeight="1">
      <c r="A4" s="4" t="inlineStr">
        <is>
          <t>Assessee</t>
        </is>
      </c>
      <c r="B4" s="4" t="inlineStr">
        <is>
          <t>Account Number</t>
        </is>
      </c>
      <c r="C4" s="4" t="inlineStr">
        <is>
          <t>Address</t>
        </is>
      </c>
      <c r="D4" s="4" t="inlineStr">
        <is>
          <t>County</t>
        </is>
      </c>
      <c r="E4" s="4" t="inlineStr">
        <is>
          <t>State</t>
        </is>
      </c>
    </row>
    <row r="5">
      <c r="A5" s="6" t="inlineStr">
        <is>
          <t>North Side Gardens LLC</t>
        </is>
      </c>
      <c r="B5" s="5" t="inlineStr">
        <is>
          <t>R0174928</t>
        </is>
      </c>
      <c r="C5" s="6" t="inlineStr">
        <is>
          <t>7285 Gilpin Way</t>
        </is>
      </c>
      <c r="D5" s="5" t="inlineStr">
        <is>
          <t>Adams County</t>
        </is>
      </c>
      <c r="E5" s="5" t="inlineStr">
        <is>
          <t>CO</t>
        </is>
      </c>
    </row>
    <row r="6">
      <c r="A6" s="12" t="inlineStr">
        <is>
          <t>North Side Gardens LLC</t>
        </is>
      </c>
      <c r="B6" s="24" t="inlineStr">
        <is>
          <t>R0178308</t>
        </is>
      </c>
      <c r="C6" s="12" t="inlineStr">
        <is>
          <t>7205 Gilpin Way</t>
        </is>
      </c>
      <c r="D6" s="24" t="inlineStr">
        <is>
          <t>Adams County</t>
        </is>
      </c>
      <c r="E6" s="24" t="inlineStr">
        <is>
          <t>CO</t>
        </is>
      </c>
    </row>
    <row r="7">
      <c r="A7" s="6" t="inlineStr">
        <is>
          <t>North Side Gardens LLC</t>
        </is>
      </c>
      <c r="B7" s="5" t="inlineStr">
        <is>
          <t>R0189058</t>
        </is>
      </c>
      <c r="C7" s="6" t="inlineStr">
        <is>
          <t>7230 Gilpin Way</t>
        </is>
      </c>
      <c r="D7" s="5" t="inlineStr">
        <is>
          <t>Adams County</t>
        </is>
      </c>
      <c r="E7" s="5" t="inlineStr">
        <is>
          <t>CO</t>
        </is>
      </c>
    </row>
    <row r="8">
      <c r="A8" s="6" t="inlineStr">
        <is>
          <t>North Side Gardens LLC</t>
        </is>
      </c>
      <c r="B8" s="5" t="inlineStr">
        <is>
          <t>R0174929</t>
        </is>
      </c>
      <c r="C8" s="6" t="inlineStr">
        <is>
          <t>7245 Gilpin Way</t>
        </is>
      </c>
      <c r="D8" s="5" t="inlineStr">
        <is>
          <t>Adams County</t>
        </is>
      </c>
      <c r="E8" s="5" t="inlineStr">
        <is>
          <t>CO</t>
        </is>
      </c>
    </row>
    <row r="10" ht="28" customHeight="1">
      <c r="A10" s="18" t="inlineStr">
        <is>
          <t>Highlighted row (R0178308 / 7205 Gilpin Way) is the primary appeal subject; the other three parcels are co-listed on the same authorization schedule. Appeal owner of record: Center Land Properties (signed by Ken R. Lombardi, Manager).</t>
        </is>
      </c>
      <c r="B10" s="20" t="n"/>
      <c r="C10" s="20" t="n"/>
      <c r="D10" s="20" t="n"/>
      <c r="E10" s="21" t="n"/>
    </row>
    <row r="11">
      <c r="A11" s="44" t="inlineStr">
        <is>
          <t>Majestic Commercenter - buildings protested together by Sterling Property Tax Specialists (2026):</t>
        </is>
      </c>
    </row>
    <row r="12">
      <c r="A12" s="32" t="inlineStr">
        <is>
          <t>Commercenter #6 LLC</t>
        </is>
      </c>
      <c r="B12" s="32" t="inlineStr">
        <is>
          <t>R0111559</t>
        </is>
      </c>
      <c r="C12" s="32" t="inlineStr">
        <is>
          <t>3590 N Himalaya Road, Building 6, Aurora</t>
        </is>
      </c>
      <c r="D12" s="32" t="inlineStr">
        <is>
          <t>Adams County</t>
        </is>
      </c>
      <c r="E12" s="32" t="inlineStr">
        <is>
          <t>CO</t>
        </is>
      </c>
    </row>
    <row r="13">
      <c r="A13" s="32" t="inlineStr">
        <is>
          <t>Commercenter #7 LLC</t>
        </is>
      </c>
      <c r="B13" s="32" t="inlineStr">
        <is>
          <t>R0111560</t>
        </is>
      </c>
      <c r="C13" s="32" t="inlineStr">
        <is>
          <t>20320 E. 36th Drive, Building 7, Aurora</t>
        </is>
      </c>
      <c r="D13" s="32" t="inlineStr">
        <is>
          <t>Adams County</t>
        </is>
      </c>
      <c r="E13" s="32" t="inlineStr">
        <is>
          <t>CO</t>
        </is>
      </c>
    </row>
    <row r="14">
      <c r="A14" s="44" t="inlineStr">
        <is>
          <t>First Industrial Realty Trust - Adams County parcels on the R0103518 letter-of-authorization schedule (40 parcels total across 6 CO counties):</t>
        </is>
      </c>
    </row>
    <row r="15">
      <c r="A15" s="32" t="inlineStr">
        <is>
          <t>First Industrial LP</t>
        </is>
      </c>
      <c r="B15" s="32" t="inlineStr">
        <is>
          <t>R0103518</t>
        </is>
      </c>
      <c r="C15" s="32" t="inlineStr">
        <is>
          <t>5977 Broadway St.</t>
        </is>
      </c>
      <c r="D15" s="32" t="inlineStr">
        <is>
          <t>Adams County</t>
        </is>
      </c>
      <c r="E15" s="32" t="inlineStr">
        <is>
          <t>CO</t>
        </is>
      </c>
    </row>
    <row r="16">
      <c r="A16" s="32" t="inlineStr">
        <is>
          <t>First Industrial LP</t>
        </is>
      </c>
      <c r="B16" s="32" t="inlineStr">
        <is>
          <t>R0103559</t>
        </is>
      </c>
      <c r="C16" s="32" t="inlineStr">
        <is>
          <t>5952 Broadway St.</t>
        </is>
      </c>
      <c r="D16" s="32" t="inlineStr">
        <is>
          <t>Adams County</t>
        </is>
      </c>
      <c r="E16" s="32" t="inlineStr">
        <is>
          <t>CO</t>
        </is>
      </c>
    </row>
    <row r="17">
      <c r="A17" s="32" t="inlineStr">
        <is>
          <t>FR MASSACHUSETTS 7 LLC</t>
        </is>
      </c>
      <c r="B17" s="32" t="inlineStr">
        <is>
          <t>R0103523</t>
        </is>
      </c>
      <c r="C17" s="32" t="inlineStr">
        <is>
          <t>5909 Broadway St.</t>
        </is>
      </c>
      <c r="D17" s="32" t="inlineStr">
        <is>
          <t>Adams County</t>
        </is>
      </c>
      <c r="E17" s="32" t="inlineStr">
        <is>
          <t>CO</t>
        </is>
      </c>
    </row>
    <row r="18">
      <c r="A18" s="32" t="inlineStr">
        <is>
          <t>First Industrial LP</t>
        </is>
      </c>
      <c r="B18" s="32" t="inlineStr">
        <is>
          <t>R0024470</t>
        </is>
      </c>
      <c r="C18" s="32" t="inlineStr">
        <is>
          <t>451 E. 124th Ave.</t>
        </is>
      </c>
      <c r="D18" s="32" t="inlineStr">
        <is>
          <t>Adams County</t>
        </is>
      </c>
      <c r="E18" s="32" t="inlineStr">
        <is>
          <t>CO</t>
        </is>
      </c>
    </row>
    <row r="19">
      <c r="A19" s="32" t="inlineStr">
        <is>
          <t>First Industrial LP</t>
        </is>
      </c>
      <c r="B19" s="32" t="inlineStr">
        <is>
          <t>R0024474</t>
        </is>
      </c>
      <c r="C19" s="32" t="inlineStr">
        <is>
          <t>Thornton CO</t>
        </is>
      </c>
      <c r="D19" s="32" t="inlineStr">
        <is>
          <t>Adams County</t>
        </is>
      </c>
      <c r="E19" s="32" t="inlineStr">
        <is>
          <t>CO</t>
        </is>
      </c>
    </row>
    <row r="20">
      <c r="A20" s="32" t="inlineStr">
        <is>
          <t>FR Massachusettes 7 LLC</t>
        </is>
      </c>
      <c r="B20" s="32" t="inlineStr">
        <is>
          <t>R0111259</t>
        </is>
      </c>
      <c r="C20" s="32" t="inlineStr">
        <is>
          <t>18150 E. 32nd Pl., Aurora</t>
        </is>
      </c>
      <c r="D20" s="32" t="inlineStr">
        <is>
          <t>Adams County</t>
        </is>
      </c>
      <c r="E20" s="32" t="inlineStr">
        <is>
          <t>CO</t>
        </is>
      </c>
    </row>
    <row r="21">
      <c r="A21" s="32" t="inlineStr">
        <is>
          <t>FRASER AURORA LLC</t>
        </is>
      </c>
      <c r="B21" s="32" t="inlineStr">
        <is>
          <t>R0084260</t>
        </is>
      </c>
      <c r="C21" s="32" t="inlineStr">
        <is>
          <t>3400 Fraser St</t>
        </is>
      </c>
      <c r="D21" s="32" t="inlineStr">
        <is>
          <t>Adams County</t>
        </is>
      </c>
      <c r="E21" s="32" t="inlineStr">
        <is>
          <t>CO</t>
        </is>
      </c>
    </row>
    <row r="22">
      <c r="A22" s="32" t="inlineStr">
        <is>
          <t>FR Park Plaza LLC</t>
        </is>
      </c>
      <c r="B22" s="32" t="inlineStr">
        <is>
          <t>R0177662</t>
        </is>
      </c>
      <c r="C22" s="32" t="inlineStr">
        <is>
          <t>21301 E 33rd Dr</t>
        </is>
      </c>
      <c r="D22" s="32" t="inlineStr">
        <is>
          <t>Adams County</t>
        </is>
      </c>
      <c r="E22" s="32" t="inlineStr">
        <is>
          <t>CO</t>
        </is>
      </c>
    </row>
    <row r="23">
      <c r="A23" s="32" t="inlineStr">
        <is>
          <t>FR AURORA COMMERCE CENTER PHASE I LLC</t>
        </is>
      </c>
      <c r="B23" s="32" t="inlineStr">
        <is>
          <t>R0198530</t>
        </is>
      </c>
      <c r="C23" s="32" t="inlineStr">
        <is>
          <t>22300 E 26th Ave</t>
        </is>
      </c>
      <c r="D23" s="32" t="inlineStr">
        <is>
          <t>Adams County</t>
        </is>
      </c>
      <c r="E23" s="32" t="inlineStr">
        <is>
          <t>CO</t>
        </is>
      </c>
    </row>
    <row r="24">
      <c r="A24" s="32" t="inlineStr">
        <is>
          <t>FR Aurora Commerce Center Phase I LLC</t>
        </is>
      </c>
      <c r="B24" s="32" t="inlineStr">
        <is>
          <t>R0203646</t>
        </is>
      </c>
      <c r="C24" s="32" t="inlineStr">
        <is>
          <t>22000 E 26th Ave</t>
        </is>
      </c>
      <c r="D24" s="32" t="inlineStr">
        <is>
          <t>Adams County</t>
        </is>
      </c>
      <c r="E24" s="32" t="inlineStr">
        <is>
          <t>CO</t>
        </is>
      </c>
    </row>
    <row r="25">
      <c r="A25" s="32" t="inlineStr">
        <is>
          <t>FR Aurora Commerce Center Phase I LLC</t>
        </is>
      </c>
      <c r="B25" s="32" t="inlineStr">
        <is>
          <t>R0203647</t>
        </is>
      </c>
      <c r="C25" s="32" t="inlineStr">
        <is>
          <t>22010 E 26th Ave</t>
        </is>
      </c>
      <c r="D25" s="32" t="inlineStr">
        <is>
          <t>Adams County</t>
        </is>
      </c>
      <c r="E25" s="32" t="inlineStr">
        <is>
          <t>CO</t>
        </is>
      </c>
    </row>
    <row r="26">
      <c r="A26" s="32" t="inlineStr">
        <is>
          <t>FR Aurora Commerce Center Phase I LLC</t>
        </is>
      </c>
      <c r="B26" s="32" t="inlineStr">
        <is>
          <t>R0205071</t>
        </is>
      </c>
      <c r="C26" s="32" t="inlineStr">
        <is>
          <t>22600 E 26th Ave</t>
        </is>
      </c>
      <c r="D26" s="32" t="inlineStr">
        <is>
          <t>Adams County</t>
        </is>
      </c>
      <c r="E26" s="32" t="inlineStr">
        <is>
          <t>CO</t>
        </is>
      </c>
    </row>
    <row r="27">
      <c r="A27" s="32" t="inlineStr">
        <is>
          <t>FR 21110 E 31st LLC</t>
        </is>
      </c>
      <c r="B27" s="32" t="inlineStr">
        <is>
          <t>R0083949</t>
        </is>
      </c>
      <c r="C27" s="32" t="inlineStr">
        <is>
          <t>21110 E 31st Circle</t>
        </is>
      </c>
      <c r="D27" s="32" t="inlineStr">
        <is>
          <t>Adams County</t>
        </is>
      </c>
      <c r="E27" s="32" t="inlineStr">
        <is>
          <t>CO</t>
        </is>
      </c>
    </row>
    <row r="28">
      <c r="A28" s="32" t="inlineStr">
        <is>
          <t>First industrial LP</t>
        </is>
      </c>
      <c r="B28" s="32" t="inlineStr">
        <is>
          <t>R0180952</t>
        </is>
      </c>
      <c r="C28" s="32" t="inlineStr">
        <is>
          <t>3350 ODESSA WAY</t>
        </is>
      </c>
      <c r="D28" s="32" t="inlineStr">
        <is>
          <t>Adams County</t>
        </is>
      </c>
      <c r="E28" s="32" t="inlineStr">
        <is>
          <t>CO</t>
        </is>
      </c>
    </row>
    <row r="29">
      <c r="A29" s="32" t="inlineStr">
        <is>
          <t>FR 8000 EAST 96 LLC</t>
        </is>
      </c>
      <c r="B29" s="32" t="inlineStr">
        <is>
          <t>R0215909</t>
        </is>
      </c>
      <c r="C29" s="32" t="inlineStr">
        <is>
          <t>8000 E 96th Ave</t>
        </is>
      </c>
      <c r="D29" s="32" t="inlineStr">
        <is>
          <t>Adams County</t>
        </is>
      </c>
      <c r="E29" s="32" t="inlineStr">
        <is>
          <t>CO</t>
        </is>
      </c>
    </row>
    <row r="30">
      <c r="A30" s="32" t="inlineStr">
        <is>
          <t>FR 8000 EAST 96 LLC</t>
        </is>
      </c>
      <c r="B30" s="32" t="inlineStr">
        <is>
          <t>R0215910</t>
        </is>
      </c>
      <c r="C30" s="32" t="inlineStr">
        <is>
          <t>8000 E 96th Ave</t>
        </is>
      </c>
      <c r="D30" s="32" t="inlineStr">
        <is>
          <t>Adams County</t>
        </is>
      </c>
      <c r="E30" s="32" t="inlineStr">
        <is>
          <t>CO</t>
        </is>
      </c>
    </row>
    <row r="31">
      <c r="A31" s="44" t="inlineStr">
        <is>
          <t>Majestic Commercenter / Majestic Realty - further Adams County buildings protested by Sterling (2025):</t>
        </is>
      </c>
    </row>
    <row r="32">
      <c r="A32" s="32" t="inlineStr">
        <is>
          <t>Majestic Commercenter Phase 9</t>
        </is>
      </c>
      <c r="B32" s="32" t="inlineStr">
        <is>
          <t>R0191099</t>
        </is>
      </c>
      <c r="C32" s="32" t="inlineStr">
        <is>
          <t>3559 N Himalaya Road, Building 5, Aurora</t>
        </is>
      </c>
      <c r="D32" s="32" t="inlineStr">
        <is>
          <t>Adams County</t>
        </is>
      </c>
      <c r="E32" s="32" t="inlineStr">
        <is>
          <t>CO</t>
        </is>
      </c>
    </row>
    <row r="33">
      <c r="A33" s="32" t="inlineStr">
        <is>
          <t>Majestic Lisbon Buildings, LLC</t>
        </is>
      </c>
      <c r="B33" s="32" t="inlineStr">
        <is>
          <t>R0200721</t>
        </is>
      </c>
      <c r="C33" s="32" t="inlineStr">
        <is>
          <t>3420 N. Lisbon Street, Aurora</t>
        </is>
      </c>
      <c r="D33" s="32" t="inlineStr">
        <is>
          <t>Adams County</t>
        </is>
      </c>
      <c r="E33" s="32" t="inlineStr">
        <is>
          <t>CO</t>
        </is>
      </c>
    </row>
    <row r="34">
      <c r="A34" s="44" t="inlineStr">
        <is>
          <t>KEW Realty Corporation - 'KEW East, West &amp; Park' industrial/flex buildings, Commerce City (2025/2026 LOA):</t>
        </is>
      </c>
    </row>
    <row r="35">
      <c r="A35" s="32" t="inlineStr">
        <is>
          <t>KEW Realty Corporation</t>
        </is>
      </c>
      <c r="B35" s="32" t="inlineStr">
        <is>
          <t>R0187787</t>
        </is>
      </c>
      <c r="C35" s="32" t="inlineStr">
        <is>
          <t>5690 E. 56th Avenue, Commerce City</t>
        </is>
      </c>
      <c r="D35" s="32" t="inlineStr">
        <is>
          <t>Adams County</t>
        </is>
      </c>
      <c r="E35" s="32" t="inlineStr">
        <is>
          <t>CO</t>
        </is>
      </c>
    </row>
    <row r="36">
      <c r="A36" s="32" t="inlineStr">
        <is>
          <t>KEW Realty Corporation</t>
        </is>
      </c>
      <c r="B36" s="32" t="inlineStr">
        <is>
          <t>R0187789</t>
        </is>
      </c>
      <c r="C36" s="32" t="inlineStr">
        <is>
          <t>5710 E. 56th Avenue, Commerce City</t>
        </is>
      </c>
      <c r="D36" s="32" t="inlineStr">
        <is>
          <t>Adams County</t>
        </is>
      </c>
      <c r="E36" s="32" t="inlineStr">
        <is>
          <t>CO</t>
        </is>
      </c>
    </row>
  </sheetData>
  <mergeCells count="3">
    <mergeCell ref="A2:E2"/>
    <mergeCell ref="A1:E1"/>
    <mergeCell ref="A10:E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2026-07-30T22:56:27Z</dcterms:created>
  <dcterms:modified xsi:type="dcterms:W3CDTF">2026-08-06T21:12:33Z</dcterms:modified>
</cp:coreProperties>
</file>