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Documents" sheetId="1" state="visible" r:id="rId1"/>
    <sheet name="Property Master" sheetId="2" state="visible" r:id="rId2"/>
    <sheet name="Tenants &amp; Leases" sheetId="3" state="visible" r:id="rId3"/>
    <sheet name="Assessments &amp; Valuation" sheetId="4" state="visible" r:id="rId4"/>
    <sheet name="Income-Expense Summary" sheetId="5" state="visible" r:id="rId5"/>
    <sheet name="Income-Expense Detail" sheetId="6" state="visible" r:id="rId6"/>
    <sheet name="Sales Comparables" sheetId="7" state="visible" r:id="rId7"/>
    <sheet name="Related Parc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0808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0" fontId="6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3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42" customWidth="1" min="4" max="4"/>
    <col width="26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Compiled 2026-07-30  |  All properties in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Property Tax Appeal — Income Approach &amp; Sale Comps</t>
        </is>
      </c>
      <c r="D6" s="6" t="inlineStr">
        <is>
          <t>(7194) CO-Aurora — 17608 E. 24th Drive, Aurora</t>
        </is>
      </c>
      <c r="E6" s="5" t="inlineStr">
        <is>
          <t>Assessment Yr 2025 (Val date 6/30/2024)</t>
        </is>
      </c>
      <c r="F6" s="6" t="inlineStr">
        <is>
          <t>Ryan LLC (Jamie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Property Tax Appeal — Income Approach &amp; Auth Letter</t>
        </is>
      </c>
      <c r="D7" s="6" t="inlineStr">
        <is>
          <t>7205 Gilpin Way, Denver</t>
        </is>
      </c>
      <c r="E7" s="5" t="inlineStr">
        <is>
          <t>Assessment Yr 2025 (Val date 6/30/2025)</t>
        </is>
      </c>
      <c r="F7" s="6" t="inlineStr">
        <is>
          <t>Ryan LLC (Bennett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Adams County Commercial-Industrial Income &amp; Expense Survey</t>
        </is>
      </c>
      <c r="D8" s="6" t="inlineStr">
        <is>
          <t>TempTee Brand Steaks — 2011 E 58th Ave, Denver</t>
        </is>
      </c>
      <c r="E8" s="5" t="inlineStr">
        <is>
          <t>2023-2024 (Received 10/10/2024)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</t>
        </is>
      </c>
      <c r="C9" s="6" t="inlineStr">
        <is>
          <t>Income Statement (Detailed, Cash Basis)</t>
        </is>
      </c>
      <c r="D9" s="6" t="inlineStr">
        <is>
          <t>5970 Marion Drive</t>
        </is>
      </c>
      <c r="E9" s="5" t="inlineStr">
        <is>
          <t>FY2024 (1/1-12/31/2024)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</t>
        </is>
      </c>
      <c r="E10" s="5" t="inlineStr">
        <is>
          <t>FY2023 (1/1-12/31/2023)</t>
        </is>
      </c>
      <c r="F10" s="6" t="inlineStr">
        <is>
          <t>Deerwoods Management LLC</t>
        </is>
      </c>
    </row>
    <row r="12">
      <c r="A12" s="7" t="inlineStr">
        <is>
          <t>Notes:</t>
        </is>
      </c>
    </row>
    <row r="13">
      <c r="A13" s="8" t="inlineStr">
        <is>
          <t>• Four distinct subject properties are covered. 7205 Gilpin Way is part of a 4-parcel North Side Gardens LLC portfolio (see 'Related Parcels' tab).</t>
        </is>
      </c>
    </row>
    <row r="14">
      <c r="A14" s="8" t="inlineStr">
        <is>
          <t>• Tabs: Property Master (identity), Tenants &amp; Leases, Assessments &amp; Valuation, Income-Expense Summary, Income-Expense Detail, Sales Comparables, Related Parcels.</t>
        </is>
      </c>
    </row>
    <row r="15">
      <c r="A15" s="8" t="inlineStr">
        <is>
          <t>• All dollar figures transcribed from the source PDFs. Totals shown with =SUM formulas cross-check the printed totals.</t>
        </is>
      </c>
    </row>
    <row r="16">
      <c r="A16" s="8" t="inlineStr">
        <is>
          <t>• 'in house' on the TempTee survey means the owner performs the service internally (no dollar figure reported).</t>
        </is>
      </c>
    </row>
  </sheetData>
  <mergeCells count="6">
    <mergeCell ref="A2:F2"/>
    <mergeCell ref="A16:F16"/>
    <mergeCell ref="A13:F13"/>
    <mergeCell ref="A14:F14"/>
    <mergeCell ref="A1:F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record per subject property — identity, physical &amp; valuation summary</t>
        </is>
      </c>
    </row>
    <row r="4" ht="30" customHeight="1">
      <c r="A4" s="4" t="inlineStr">
        <is>
          <t>Field</t>
        </is>
      </c>
      <c r="B4" s="4" t="inlineStr">
        <is>
          <t>7205 Gilpin Way</t>
        </is>
      </c>
      <c r="C4" s="4" t="inlineStr">
        <is>
          <t>17608 E. 24th Drive</t>
        </is>
      </c>
      <c r="D4" s="4" t="inlineStr">
        <is>
          <t>5970 Marion Drive</t>
        </is>
      </c>
      <c r="E4" s="4" t="inlineStr">
        <is>
          <t>2011 E 58th Ave (TempTee)</t>
        </is>
      </c>
    </row>
    <row r="5">
      <c r="A5" s="9" t="inlineStr">
        <is>
          <t>Property ID (Account #)</t>
        </is>
      </c>
      <c r="B5" s="6" t="inlineStr">
        <is>
          <t>R0178308</t>
        </is>
      </c>
      <c r="C5" s="6" t="inlineStr">
        <is>
          <t>R0169133</t>
        </is>
      </c>
      <c r="D5" s="6" t="inlineStr">
        <is>
          <t>(mgmt) 5970 Marion</t>
        </is>
      </c>
      <c r="E5" s="6" t="inlineStr">
        <is>
          <t>R0103792</t>
        </is>
      </c>
    </row>
    <row r="6">
      <c r="A6" s="9" t="inlineStr">
        <is>
          <t>Parcel Number</t>
        </is>
      </c>
      <c r="B6" s="6" t="inlineStr">
        <is>
          <t>R0178308</t>
        </is>
      </c>
      <c r="C6" s="6" t="inlineStr">
        <is>
          <t>R0169133</t>
        </is>
      </c>
      <c r="D6" s="6" t="inlineStr">
        <is>
          <t>0182511303018</t>
        </is>
      </c>
      <c r="E6" s="6" t="inlineStr">
        <is>
          <t>0182511406001</t>
        </is>
      </c>
    </row>
    <row r="7">
      <c r="A7" s="9" t="inlineStr">
        <is>
          <t>Property Name</t>
        </is>
      </c>
      <c r="B7" s="6" t="inlineStr">
        <is>
          <t>7205 Gilpin Way</t>
        </is>
      </c>
      <c r="C7" s="6" t="inlineStr">
        <is>
          <t>(7194) CO-Aurora</t>
        </is>
      </c>
      <c r="D7" s="6" t="inlineStr">
        <is>
          <t>5970 Marion Drive</t>
        </is>
      </c>
      <c r="E7" s="6" t="inlineStr">
        <is>
          <t>TempTee Brand Steaks</t>
        </is>
      </c>
    </row>
    <row r="8">
      <c r="A8" s="9" t="inlineStr">
        <is>
          <t>Street Address</t>
        </is>
      </c>
      <c r="B8" s="6" t="inlineStr">
        <is>
          <t>7205 Gilpin Way</t>
        </is>
      </c>
      <c r="C8" s="6" t="inlineStr">
        <is>
          <t>17608 E. 24th Drive</t>
        </is>
      </c>
      <c r="D8" s="6" t="inlineStr">
        <is>
          <t>5970 Marion Drive</t>
        </is>
      </c>
      <c r="E8" s="6" t="inlineStr">
        <is>
          <t>2011 E 58th Ave</t>
        </is>
      </c>
    </row>
    <row r="9">
      <c r="A9" s="9" t="inlineStr">
        <is>
          <t>City, State ZIP</t>
        </is>
      </c>
      <c r="B9" s="6" t="inlineStr">
        <is>
          <t>Denver, CO 80229</t>
        </is>
      </c>
      <c r="C9" s="6" t="inlineStr">
        <is>
          <t>Aurora, CO 80011</t>
        </is>
      </c>
      <c r="D9" s="6" t="inlineStr">
        <is>
          <t>Denver, CO 80216 (est.)</t>
        </is>
      </c>
      <c r="E9" s="6" t="inlineStr">
        <is>
          <t>Denver, CO 80216-1517</t>
        </is>
      </c>
    </row>
    <row r="10">
      <c r="A10" s="9" t="inlineStr">
        <is>
          <t>County</t>
        </is>
      </c>
      <c r="B10" s="6" t="inlineStr">
        <is>
          <t>Adams</t>
        </is>
      </c>
      <c r="C10" s="6" t="inlineStr">
        <is>
          <t>Adams</t>
        </is>
      </c>
      <c r="D10" s="6" t="inlineStr">
        <is>
          <t>Adams</t>
        </is>
      </c>
      <c r="E10" s="6" t="inlineStr">
        <is>
          <t>Adams</t>
        </is>
      </c>
    </row>
    <row r="11">
      <c r="A11" s="9" t="inlineStr">
        <is>
          <t>Owner / Client</t>
        </is>
      </c>
      <c r="B11" s="6" t="inlineStr">
        <is>
          <t>Center Land Properties</t>
        </is>
      </c>
      <c r="C11" s="6" t="inlineStr">
        <is>
          <t>ABC Supply Co., Inc.</t>
        </is>
      </c>
      <c r="D11" s="6" t="inlineStr">
        <is>
          <t>Ankur Kumar (owner)</t>
        </is>
      </c>
      <c r="E11" s="6" t="inlineStr">
        <is>
          <t>TempTee Brand Steaks Inc</t>
        </is>
      </c>
    </row>
    <row r="12">
      <c r="A12" s="9" t="inlineStr">
        <is>
          <t>Assessee (Tax Roll)</t>
        </is>
      </c>
      <c r="B12" s="6" t="inlineStr">
        <is>
          <t>North Side Gardens LLC</t>
        </is>
      </c>
      <c r="C12" s="6" t="inlineStr">
        <is>
          <t>ABC Supply Co., Inc.</t>
        </is>
      </c>
      <c r="D12" s="6" t="inlineStr">
        <is>
          <t>—</t>
        </is>
      </c>
      <c r="E12" s="6" t="inlineStr">
        <is>
          <t>TempTee Brand Steaks Inc</t>
        </is>
      </c>
    </row>
    <row r="13">
      <c r="A13" s="9" t="inlineStr">
        <is>
          <t>Property Type / Use</t>
        </is>
      </c>
      <c r="B13" s="6" t="inlineStr">
        <is>
          <t>Industrial - Warehouse</t>
        </is>
      </c>
      <c r="C13" s="6" t="inlineStr">
        <is>
          <t>Industrial - Distribution</t>
        </is>
      </c>
      <c r="D13" s="6" t="inlineStr">
        <is>
          <t>Industrial (2-unit, multi-tenant)</t>
        </is>
      </c>
      <c r="E13" s="6" t="inlineStr">
        <is>
          <t>Industrial - Manufacturing / Food Processing</t>
        </is>
      </c>
    </row>
    <row r="14">
      <c r="A14" s="9" t="inlineStr">
        <is>
          <t>Site Size (Acres)</t>
        </is>
      </c>
      <c r="B14" s="10" t="n">
        <v>3.33</v>
      </c>
      <c r="C14" s="10" t="n">
        <v>3.4</v>
      </c>
      <c r="D14" s="6" t="inlineStr">
        <is>
          <t>—</t>
        </is>
      </c>
      <c r="E14" s="6" t="inlineStr">
        <is>
          <t>—</t>
        </is>
      </c>
    </row>
    <row r="15">
      <c r="A15" s="9" t="inlineStr">
        <is>
          <t>Site Size (SF)</t>
        </is>
      </c>
      <c r="B15" s="10" t="n">
        <v>145055</v>
      </c>
      <c r="C15" s="10" t="n">
        <v>148104</v>
      </c>
      <c r="D15" s="6" t="inlineStr">
        <is>
          <t>—</t>
        </is>
      </c>
      <c r="E15" s="6" t="inlineStr">
        <is>
          <t>—</t>
        </is>
      </c>
    </row>
    <row r="16">
      <c r="A16" s="9" t="inlineStr">
        <is>
          <t>Net Rentable Area (SF)</t>
        </is>
      </c>
      <c r="B16" s="10" t="n">
        <v>34228</v>
      </c>
      <c r="C16" s="10" t="n">
        <v>20910</v>
      </c>
      <c r="D16" s="6" t="inlineStr">
        <is>
          <t>—</t>
        </is>
      </c>
      <c r="E16" s="10" t="n">
        <v>17000</v>
      </c>
    </row>
    <row r="17">
      <c r="A17" s="9" t="inlineStr">
        <is>
          <t>Year Built</t>
        </is>
      </c>
      <c r="B17" s="6" t="n">
        <v>2013</v>
      </c>
      <c r="C17" s="6" t="n">
        <v>2006</v>
      </c>
      <c r="D17" s="6" t="inlineStr">
        <is>
          <t>—</t>
        </is>
      </c>
      <c r="E17" s="6" t="inlineStr">
        <is>
          <t>—</t>
        </is>
      </c>
    </row>
    <row r="18">
      <c r="A18" s="9" t="inlineStr">
        <is>
          <t>Land-to-Bldg Ratio</t>
        </is>
      </c>
      <c r="B18" s="6" t="inlineStr">
        <is>
          <t>4.24 : 1</t>
        </is>
      </c>
      <c r="C18" s="6" t="inlineStr">
        <is>
          <t>7.08 : 1</t>
        </is>
      </c>
      <c r="D18" s="6" t="inlineStr">
        <is>
          <t>—</t>
        </is>
      </c>
      <c r="E18" s="6" t="inlineStr">
        <is>
          <t>—</t>
        </is>
      </c>
    </row>
    <row r="19">
      <c r="A19" s="9" t="inlineStr">
        <is>
          <t>Occupancy</t>
        </is>
      </c>
      <c r="B19" s="6" t="inlineStr">
        <is>
          <t>100% (proforma)</t>
        </is>
      </c>
      <c r="C19" s="6" t="inlineStr">
        <is>
          <t>(as of 06/30/2024)</t>
        </is>
      </c>
      <c r="D19" s="6" t="inlineStr">
        <is>
          <t>100% (2 units leased)</t>
        </is>
      </c>
      <c r="E19" s="6" t="inlineStr">
        <is>
          <t>100% Owner-Occupied</t>
        </is>
      </c>
    </row>
    <row r="20">
      <c r="A20" s="9" t="inlineStr">
        <is>
          <t>2025 Assessor Actual Value</t>
        </is>
      </c>
      <c r="B20" s="11" t="n">
        <v>5150325</v>
      </c>
      <c r="C20" s="11" t="n">
        <v>3408546</v>
      </c>
      <c r="D20" s="6" t="inlineStr">
        <is>
          <t>—</t>
        </is>
      </c>
      <c r="E20" s="6" t="inlineStr">
        <is>
          <t>—</t>
        </is>
      </c>
    </row>
    <row r="21">
      <c r="A21" s="9" t="inlineStr">
        <is>
          <t>Taxpayer Opinion of Value</t>
        </is>
      </c>
      <c r="B21" s="11" t="n">
        <v>4832500</v>
      </c>
      <c r="C21" s="11" t="n">
        <v>3050000</v>
      </c>
      <c r="D21" s="6" t="inlineStr">
        <is>
          <t>—</t>
        </is>
      </c>
      <c r="E21" s="6" t="inlineStr">
        <is>
          <t>—</t>
        </is>
      </c>
    </row>
    <row r="22">
      <c r="A22" s="9" t="inlineStr">
        <is>
          <t>Value PSF (Taxpayer)</t>
        </is>
      </c>
      <c r="B22" s="12" t="n">
        <v>141.19</v>
      </c>
      <c r="C22" s="12" t="n">
        <v>145.86</v>
      </c>
      <c r="D22" s="6" t="inlineStr">
        <is>
          <t>—</t>
        </is>
      </c>
      <c r="E22" s="6" t="inlineStr">
        <is>
          <t>—</t>
        </is>
      </c>
    </row>
    <row r="23">
      <c r="A23" s="9" t="inlineStr">
        <is>
          <t>Managed By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Deerwoods Management LLC</t>
        </is>
      </c>
      <c r="E23" s="6" t="inlineStr">
        <is>
          <t>Owner-occupied</t>
        </is>
      </c>
    </row>
    <row r="24">
      <c r="A24" s="9" t="inlineStr">
        <is>
          <t>Source File(s)</t>
        </is>
      </c>
      <c r="B24" s="6" t="inlineStr">
        <is>
          <t>R0178308.pdf</t>
        </is>
      </c>
      <c r="C24" s="6" t="inlineStr">
        <is>
          <t>R0169133.pdf</t>
        </is>
      </c>
      <c r="D24" s="6" t="inlineStr">
        <is>
          <t>2024 P&amp;L; 2023 Cash Flow</t>
        </is>
      </c>
      <c r="E24" s="6" t="inlineStr">
        <is>
          <t>R0103792.pdf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34" customWidth="1" min="3" max="3"/>
    <col width="20" customWidth="1" min="4" max="4"/>
    <col width="16" customWidth="1" min="5" max="5"/>
    <col width="10" customWidth="1" min="6" max="6"/>
    <col width="18" customWidth="1" min="7" max="7"/>
    <col width="14" customWidth="1" min="8" max="8"/>
    <col width="42" customWidth="1" min="9" max="9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(5970 Marion) and proforma lease assumptions used in tax appeals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 / Basis</t>
        </is>
      </c>
      <c r="D4" s="4" t="inlineStr">
        <is>
          <t>Lease Type</t>
        </is>
      </c>
      <c r="E4" s="4" t="inlineStr">
        <is>
          <t>Base Rent (Annual)</t>
        </is>
      </c>
      <c r="F4" s="4" t="inlineStr">
        <is>
          <t>Rent PSF</t>
        </is>
      </c>
      <c r="G4" s="4" t="inlineStr">
        <is>
          <t>CAM / Recovery</t>
        </is>
      </c>
      <c r="H4" s="4" t="inlineStr">
        <is>
          <t>Vacancy Assumption</t>
        </is>
      </c>
      <c r="I4" s="4" t="inlineStr">
        <is>
          <t>Notes</t>
        </is>
      </c>
    </row>
    <row r="5">
      <c r="A5" s="6" t="inlineStr">
        <is>
          <t>5970 Marion Drive</t>
        </is>
      </c>
      <c r="B5" s="6" t="inlineStr">
        <is>
          <t>Unit 1</t>
        </is>
      </c>
      <c r="C5" s="6" t="inlineStr">
        <is>
          <t>Whatever It Takes Transmissions &amp; Parts, Inc.</t>
        </is>
      </c>
      <c r="D5" s="6" t="inlineStr">
        <is>
          <t>Actual lease (NNN w/ CAM)</t>
        </is>
      </c>
      <c r="E5" s="11" t="n"/>
      <c r="F5" s="12" t="n"/>
      <c r="G5" s="6" t="inlineStr">
        <is>
          <t>CAM escrows billed</t>
        </is>
      </c>
      <c r="H5" s="13" t="inlineStr">
        <is>
          <t>—</t>
        </is>
      </c>
      <c r="I5" s="6" t="inlineStr">
        <is>
          <t>2024 rent+CAM ~ largest portion of income; monthly ~$9,135</t>
        </is>
      </c>
    </row>
    <row r="6">
      <c r="A6" s="6" t="inlineStr">
        <is>
          <t>5970 Marion Drive</t>
        </is>
      </c>
      <c r="B6" s="6" t="inlineStr">
        <is>
          <t>Unit 2</t>
        </is>
      </c>
      <c r="C6" s="6" t="inlineStr">
        <is>
          <t>Integrated Turf Solutions LLC</t>
        </is>
      </c>
      <c r="D6" s="6" t="inlineStr">
        <is>
          <t>Actual lease (NNN w/ CAM)</t>
        </is>
      </c>
      <c r="E6" s="11" t="n"/>
      <c r="F6" s="12" t="n"/>
      <c r="G6" s="6" t="inlineStr">
        <is>
          <t>CAM escrows billed</t>
        </is>
      </c>
      <c r="H6" s="13" t="inlineStr">
        <is>
          <t>—</t>
        </is>
      </c>
      <c r="I6" s="6" t="inlineStr">
        <is>
          <t>Monthly rent varied $3,120-$6,860 across 2024</t>
        </is>
      </c>
    </row>
    <row r="7">
      <c r="A7" s="6" t="inlineStr">
        <is>
          <t>7205 Gilpin Way</t>
        </is>
      </c>
      <c r="B7" s="6" t="inlineStr">
        <is>
          <t>Whole</t>
        </is>
      </c>
      <c r="C7" s="6" t="inlineStr">
        <is>
          <t>Proforma (single-tenant assumption)</t>
        </is>
      </c>
      <c r="D7" s="6" t="inlineStr">
        <is>
          <t>Appraisal proforma</t>
        </is>
      </c>
      <c r="E7" s="11" t="n">
        <v>359394</v>
      </c>
      <c r="F7" s="12" t="n">
        <v>10.5</v>
      </c>
      <c r="G7" s="6" t="inlineStr">
        <is>
          <t>NNN (OpEx 8% EGI)</t>
        </is>
      </c>
      <c r="H7" s="13" t="n">
        <v>0.05</v>
      </c>
      <c r="I7" s="6" t="inlineStr">
        <is>
          <t>Ryan income-approach proforma, not an executed lease</t>
        </is>
      </c>
    </row>
    <row r="8">
      <c r="A8" s="6" t="inlineStr">
        <is>
          <t>17608 E. 24th Drive</t>
        </is>
      </c>
      <c r="B8" s="6" t="inlineStr">
        <is>
          <t>Whole</t>
        </is>
      </c>
      <c r="C8" s="6" t="inlineStr">
        <is>
          <t>Proforma (single-tenant assumption)</t>
        </is>
      </c>
      <c r="D8" s="6" t="inlineStr">
        <is>
          <t>Appraisal proforma</t>
        </is>
      </c>
      <c r="E8" s="11" t="n">
        <v>209100</v>
      </c>
      <c r="F8" s="12" t="n">
        <v>10</v>
      </c>
      <c r="G8" s="6" t="inlineStr">
        <is>
          <t>NNN (OpEx 8% EGI)</t>
        </is>
      </c>
      <c r="H8" s="13" t="n">
        <v>0.05</v>
      </c>
      <c r="I8" s="6" t="inlineStr">
        <is>
          <t>Ryan income-approach proforma, not an executed lease</t>
        </is>
      </c>
    </row>
    <row r="9">
      <c r="A9" s="6" t="inlineStr">
        <is>
          <t>2011 E 58th Ave (TempTee)</t>
        </is>
      </c>
      <c r="B9" s="6" t="inlineStr">
        <is>
          <t>Whole</t>
        </is>
      </c>
      <c r="C9" s="6" t="inlineStr">
        <is>
          <t>Owner-Occupied (no tenant)</t>
        </is>
      </c>
      <c r="D9" s="6" t="inlineStr">
        <is>
          <t>Owner-occupied</t>
        </is>
      </c>
      <c r="E9" s="11" t="n"/>
      <c r="F9" s="12" t="n"/>
      <c r="G9" s="6" t="inlineStr">
        <is>
          <t>n/a</t>
        </is>
      </c>
      <c r="H9" s="13" t="inlineStr">
        <is>
          <t>—</t>
        </is>
      </c>
      <c r="I9" s="6" t="inlineStr">
        <is>
          <t>100% owner-occupied by TempTee Brand Steaks; no rental income reported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2" customWidth="1" min="4" max="4"/>
    <col width="20" customWidth="1" min="5" max="5"/>
    <col width="16" customWidth="1" min="6" max="6"/>
    <col width="12" customWidth="1" min="7" max="7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Historical assessed values and Ryan income-approach proforma (tax appeals)</t>
        </is>
      </c>
    </row>
    <row r="4">
      <c r="A4" s="14" t="inlineStr">
        <is>
          <t>A. Historical Assessed Values (Adams County Assessor)</t>
        </is>
      </c>
      <c r="B4" s="15" t="n"/>
      <c r="C4" s="15" t="n"/>
      <c r="D4" s="15" t="n"/>
      <c r="E4" s="15" t="n"/>
      <c r="F4" s="15" t="n"/>
      <c r="G4" s="15" t="n"/>
    </row>
    <row r="5" ht="30" customHeight="1">
      <c r="A5" s="4" t="inlineStr">
        <is>
          <t>Property</t>
        </is>
      </c>
      <c r="B5" s="4" t="inlineStr">
        <is>
          <t>Assess. Yr</t>
        </is>
      </c>
      <c r="C5" s="4" t="inlineStr">
        <is>
          <t>Land Value</t>
        </is>
      </c>
      <c r="D5" s="4" t="inlineStr">
        <is>
          <t>Improvement Value</t>
        </is>
      </c>
      <c r="E5" s="4" t="inlineStr">
        <is>
          <t>Total Actual Value</t>
        </is>
      </c>
      <c r="F5" s="4" t="inlineStr">
        <is>
          <t>Total Value PSF</t>
        </is>
      </c>
      <c r="G5" s="4" t="inlineStr">
        <is>
          <t>Land Value PSF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11" t="n">
        <v>1125150</v>
      </c>
      <c r="D6" s="11" t="n">
        <v>4025175</v>
      </c>
      <c r="E6" s="11" t="n">
        <v>5150325</v>
      </c>
      <c r="F6" s="12" t="n">
        <v>150.47</v>
      </c>
      <c r="G6" s="12" t="n">
        <v>7.76</v>
      </c>
    </row>
    <row r="7">
      <c r="A7" s="6" t="inlineStr">
        <is>
          <t>7205 Gilpin Way (R0178308)</t>
        </is>
      </c>
      <c r="B7" s="5" t="inlineStr">
        <is>
          <t>2024</t>
        </is>
      </c>
      <c r="C7" s="11" t="n">
        <v>675090</v>
      </c>
      <c r="D7" s="11" t="n">
        <v>4324680</v>
      </c>
      <c r="E7" s="11" t="n">
        <v>4999770</v>
      </c>
      <c r="F7" s="12" t="n">
        <v>146.07</v>
      </c>
      <c r="G7" s="12" t="n">
        <v>4.65</v>
      </c>
    </row>
    <row r="8">
      <c r="A8" s="6" t="inlineStr">
        <is>
          <t>17608 E. 24th Dr (R0169133)</t>
        </is>
      </c>
      <c r="B8" s="5" t="inlineStr">
        <is>
          <t>2025</t>
        </is>
      </c>
      <c r="C8" s="11" t="n">
        <v>992519</v>
      </c>
      <c r="D8" s="11" t="n">
        <v>2122296</v>
      </c>
      <c r="E8" s="11" t="n">
        <v>3114815</v>
      </c>
      <c r="F8" s="12" t="n">
        <v>148.96</v>
      </c>
      <c r="G8" s="12" t="n">
        <v>6.7</v>
      </c>
    </row>
    <row r="9">
      <c r="A9" s="6" t="inlineStr">
        <is>
          <t>17608 E. 24th Dr (R0169133)</t>
        </is>
      </c>
      <c r="B9" s="5" t="inlineStr">
        <is>
          <t>2024</t>
        </is>
      </c>
      <c r="C9" s="11" t="n">
        <v>924078</v>
      </c>
      <c r="D9" s="11" t="n">
        <v>1975922</v>
      </c>
      <c r="E9" s="11" t="n">
        <v>2900000</v>
      </c>
      <c r="F9" s="12" t="n">
        <v>138.69</v>
      </c>
      <c r="G9" s="12" t="n">
        <v>6.24</v>
      </c>
    </row>
    <row r="11">
      <c r="A11" s="16" t="inlineStr">
        <is>
          <t>Note: R0169133 cover page lists 2025 Assessor's Actual Value of $3,408,546; the historical-assessment schedule (p.2) shows a 2025 total of $3,114,815. Both are reproduced as printed.</t>
        </is>
      </c>
      <c r="B11" s="28" t="n"/>
      <c r="C11" s="28" t="n"/>
      <c r="D11" s="28" t="n"/>
      <c r="E11" s="28" t="n"/>
      <c r="F11" s="28" t="n"/>
      <c r="G11" s="29" t="n"/>
    </row>
    <row r="13">
      <c r="A13" s="14" t="inlineStr">
        <is>
          <t>B. Income-Approach Proforma (Ryan LLC — supports Taxpayer's Opinion of Value)</t>
        </is>
      </c>
      <c r="B13" s="15" t="n"/>
      <c r="C13" s="15" t="n"/>
      <c r="D13" s="15" t="n"/>
      <c r="E13" s="15" t="n"/>
      <c r="F13" s="15" t="n"/>
      <c r="G13" s="15" t="n"/>
    </row>
    <row r="14" ht="30" customHeight="1">
      <c r="A14" s="4" t="inlineStr">
        <is>
          <t>Line Item</t>
        </is>
      </c>
      <c r="B14" s="4" t="inlineStr">
        <is>
          <t>7205 Gilpin — Amount</t>
        </is>
      </c>
      <c r="C14" s="4" t="inlineStr">
        <is>
          <t>7205 Gilpin — $/SF</t>
        </is>
      </c>
      <c r="D14" s="4" t="inlineStr">
        <is>
          <t>7205 Gilpin — %</t>
        </is>
      </c>
      <c r="E14" s="4" t="inlineStr">
        <is>
          <t>17608 E.24th — Amount</t>
        </is>
      </c>
      <c r="F14" s="4" t="inlineStr">
        <is>
          <t>17608 E.24th — $/SF</t>
        </is>
      </c>
      <c r="G14" s="4" t="inlineStr">
        <is>
          <t>17608 E.24th — %</t>
        </is>
      </c>
    </row>
    <row r="15">
      <c r="A15" s="6" t="inlineStr">
        <is>
          <t>Potential Base Rent</t>
        </is>
      </c>
      <c r="B15" s="11" t="n">
        <v>359394</v>
      </c>
      <c r="C15" s="12" t="n">
        <v>10.5</v>
      </c>
      <c r="D15" s="17" t="n">
        <v>1</v>
      </c>
      <c r="E15" s="11" t="n">
        <v>209100</v>
      </c>
      <c r="F15" s="12" t="n">
        <v>10</v>
      </c>
      <c r="G15" s="17" t="n">
        <v>1</v>
      </c>
    </row>
    <row r="16">
      <c r="A16" s="6" t="inlineStr">
        <is>
          <t>Gross Potential Rent</t>
        </is>
      </c>
      <c r="B16" s="11" t="n">
        <v>359394</v>
      </c>
      <c r="C16" s="12" t="n">
        <v>10.5</v>
      </c>
      <c r="D16" s="17" t="n">
        <v>1</v>
      </c>
      <c r="E16" s="11" t="n">
        <v>209100</v>
      </c>
      <c r="F16" s="12" t="n">
        <v>10</v>
      </c>
      <c r="G16" s="17" t="n">
        <v>1</v>
      </c>
    </row>
    <row r="17">
      <c r="A17" s="6" t="inlineStr">
        <is>
          <t>Less: Vacancy Loss</t>
        </is>
      </c>
      <c r="B17" s="11" t="n">
        <v>-17970</v>
      </c>
      <c r="C17" s="12" t="n">
        <v>-0.53</v>
      </c>
      <c r="D17" s="17" t="n">
        <v>0.05</v>
      </c>
      <c r="E17" s="11" t="n">
        <v>-10455</v>
      </c>
      <c r="F17" s="12" t="n">
        <v>-0.5</v>
      </c>
      <c r="G17" s="17" t="n">
        <v>0.05</v>
      </c>
    </row>
    <row r="18">
      <c r="A18" s="18" t="inlineStr">
        <is>
          <t>Effective Gross Income (EGI)</t>
        </is>
      </c>
      <c r="B18" s="19" t="n">
        <v>341424</v>
      </c>
      <c r="C18" s="20" t="n">
        <v>9.98</v>
      </c>
      <c r="D18" s="21" t="n">
        <v>0.95</v>
      </c>
      <c r="E18" s="19" t="n">
        <v>198645</v>
      </c>
      <c r="F18" s="20" t="n">
        <v>9.5</v>
      </c>
      <c r="G18" s="21" t="n">
        <v>0.95</v>
      </c>
    </row>
    <row r="19">
      <c r="A19" s="6" t="inlineStr">
        <is>
          <t>Less: Operating Expenses</t>
        </is>
      </c>
      <c r="B19" s="11" t="n">
        <v>-27314</v>
      </c>
      <c r="C19" s="12" t="n">
        <v>-0.8</v>
      </c>
      <c r="D19" s="17" t="n">
        <v>0.08</v>
      </c>
      <c r="E19" s="11" t="n">
        <v>-15892</v>
      </c>
      <c r="F19" s="12" t="n">
        <v>-0.76</v>
      </c>
      <c r="G19" s="17" t="n">
        <v>0.08</v>
      </c>
    </row>
    <row r="20">
      <c r="A20" s="6" t="inlineStr">
        <is>
          <t>Less: Property Taxes</t>
        </is>
      </c>
      <c r="B20" s="11" t="n">
        <v>0</v>
      </c>
      <c r="C20" s="12" t="n">
        <v>0</v>
      </c>
      <c r="D20" s="17" t="n">
        <v>0</v>
      </c>
      <c r="E20" s="11" t="n">
        <v>0</v>
      </c>
      <c r="F20" s="12" t="n">
        <v>0</v>
      </c>
      <c r="G20" s="17" t="n">
        <v>0</v>
      </c>
    </row>
    <row r="21">
      <c r="A21" s="6" t="inlineStr">
        <is>
          <t>Total Operating Expenses</t>
        </is>
      </c>
      <c r="B21" s="11" t="n">
        <v>-27314</v>
      </c>
      <c r="C21" s="12" t="n">
        <v>-0.8</v>
      </c>
      <c r="D21" s="17" t="n">
        <v>0.08</v>
      </c>
      <c r="E21" s="11" t="n">
        <v>-15892</v>
      </c>
      <c r="F21" s="12" t="n">
        <v>-0.76</v>
      </c>
      <c r="G21" s="17" t="n">
        <v>0.08</v>
      </c>
    </row>
    <row r="22">
      <c r="A22" s="18" t="inlineStr">
        <is>
          <t>NET OPERATING INCOME (NOI)</t>
        </is>
      </c>
      <c r="B22" s="19" t="n">
        <v>314110</v>
      </c>
      <c r="C22" s="20" t="n">
        <v>9.18</v>
      </c>
      <c r="D22" s="21" t="n">
        <v>0.92</v>
      </c>
      <c r="E22" s="19" t="n">
        <v>182753</v>
      </c>
      <c r="F22" s="20" t="n">
        <v>8.74</v>
      </c>
      <c r="G22" s="21" t="n">
        <v>0.92</v>
      </c>
    </row>
    <row r="23">
      <c r="A23" s="6" t="inlineStr">
        <is>
          <t>Capitalization Rate</t>
        </is>
      </c>
      <c r="B23" s="17" t="n">
        <v>0.065</v>
      </c>
      <c r="C23" s="6" t="inlineStr"/>
      <c r="D23" s="6" t="inlineStr"/>
      <c r="E23" s="17" t="n">
        <v>0.06</v>
      </c>
      <c r="F23" s="6" t="inlineStr"/>
      <c r="G23" s="6" t="inlineStr"/>
    </row>
    <row r="24">
      <c r="A24" s="6" t="inlineStr">
        <is>
          <t>Indicated FMV</t>
        </is>
      </c>
      <c r="B24" s="11" t="n">
        <v>4832467</v>
      </c>
      <c r="C24" s="22" t="n"/>
      <c r="D24" s="22" t="n"/>
      <c r="E24" s="11" t="n">
        <v>3045890</v>
      </c>
      <c r="F24" s="22" t="n"/>
      <c r="G24" s="22" t="n"/>
    </row>
    <row r="25">
      <c r="A25" s="18" t="inlineStr">
        <is>
          <t>Indicated FMV (Rounded)</t>
        </is>
      </c>
      <c r="B25" s="19" t="n">
        <v>4832500</v>
      </c>
      <c r="C25" s="20" t="n">
        <v>141.19</v>
      </c>
      <c r="D25" s="23" t="n"/>
      <c r="E25" s="19" t="n">
        <v>3050000</v>
      </c>
      <c r="F25" s="20" t="n">
        <v>145.86</v>
      </c>
      <c r="G25" s="23" t="n"/>
    </row>
  </sheetData>
  <mergeCells count="3">
    <mergeCell ref="A11:G11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2" customWidth="1" min="3" max="3"/>
    <col width="18" customWidth="1" min="4" max="4"/>
    <col width="44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 &amp; expense by property and year (cash basis unless noted)</t>
        </is>
      </c>
    </row>
    <row r="4" ht="30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Operating Expense</t>
        </is>
      </c>
      <c r="D4" s="4" t="inlineStr">
        <is>
          <t>Net Income</t>
        </is>
      </c>
      <c r="E4" s="4" t="inlineStr">
        <is>
          <t>Basis / Source</t>
        </is>
      </c>
    </row>
    <row r="5">
      <c r="A5" s="24" t="inlineStr">
        <is>
          <t>5970 Marion Drive — FY2024</t>
        </is>
      </c>
      <c r="B5" s="25" t="n">
        <v>249672.2</v>
      </c>
      <c r="C5" s="25" t="n">
        <v>162774.36</v>
      </c>
      <c r="D5" s="26">
        <f>B5-C5</f>
        <v/>
      </c>
      <c r="E5" s="6" t="inlineStr">
        <is>
          <t>P&amp;L Detail, cash basis (incl. debt svc &amp; taxes)</t>
        </is>
      </c>
    </row>
    <row r="6">
      <c r="A6" s="24" t="inlineStr">
        <is>
          <t>5970 Marion Drive — FY2023</t>
        </is>
      </c>
      <c r="B6" s="25" t="n">
        <v>247311.55</v>
      </c>
      <c r="C6" s="25" t="n">
        <v>188635.46</v>
      </c>
      <c r="D6" s="26">
        <f>B6-C6</f>
        <v/>
      </c>
      <c r="E6" s="6" t="inlineStr">
        <is>
          <t>Cash Flow Stmt, cash basis (incl. debt svc &amp; taxes)</t>
        </is>
      </c>
    </row>
    <row r="7">
      <c r="A7" s="24" t="inlineStr">
        <is>
          <t>2011 E 58th (TempTee) — 2024 survey</t>
        </is>
      </c>
      <c r="B7" s="25" t="n"/>
      <c r="C7" s="25" t="n">
        <v>138050</v>
      </c>
      <c r="D7" s="27" t="inlineStr">
        <is>
          <t>—</t>
        </is>
      </c>
      <c r="E7" s="6" t="inlineStr">
        <is>
          <t>Owner-occupied; reported OpEx only (excl. 'in house' items)</t>
        </is>
      </c>
    </row>
    <row r="9">
      <c r="A9" s="16" t="inlineStr">
        <is>
          <t>Net Income shown = Total Income − Total Expense as printed. 5970 Marion 'expense' includes mortgage P&amp;I and property taxes, so it is a cash-flow figure, not NOI. TempTee reported operating expenses only (owner-occupied, no rental income).</t>
        </is>
      </c>
      <c r="B9" s="28" t="n"/>
      <c r="C9" s="28" t="n"/>
      <c r="D9" s="28" t="n"/>
      <c r="E9" s="29" t="n"/>
    </row>
  </sheetData>
  <mergeCells count="3">
    <mergeCell ref="A2:E2"/>
    <mergeCell ref="A1:E1"/>
    <mergeCell ref="A9:E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30" t="inlineStr">
        <is>
          <t>Income</t>
        </is>
      </c>
      <c r="C5" s="6" t="inlineStr">
        <is>
          <t>4001 - Rent (Units 1 &amp; 2)</t>
        </is>
      </c>
      <c r="D5" s="25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30" t="inlineStr">
        <is>
          <t>Income</t>
        </is>
      </c>
      <c r="C6" s="6" t="inlineStr">
        <is>
          <t>4200 - CAM Escrows</t>
        </is>
      </c>
      <c r="D6" s="25" t="n">
        <v>81272.60000000001</v>
      </c>
      <c r="E6" s="6" t="inlineStr">
        <is>
          <t>Common area maintenance recoveries</t>
        </is>
      </c>
    </row>
    <row r="7">
      <c r="A7" s="24" t="inlineStr">
        <is>
          <t>5970 Marion Drive — FY2024</t>
        </is>
      </c>
      <c r="B7" s="31" t="inlineStr">
        <is>
          <t>Income</t>
        </is>
      </c>
      <c r="C7" s="18" t="inlineStr">
        <is>
          <t>TOTAL INCOME</t>
        </is>
      </c>
      <c r="D7" s="26">
        <f>SUM(D5:D6)</f>
        <v/>
      </c>
      <c r="E7" s="16" t="inlineStr">
        <is>
          <t>Printed total: $249,672.20</t>
        </is>
      </c>
    </row>
    <row r="8">
      <c r="A8" s="6" t="inlineStr">
        <is>
          <t>5970 Marion Drive — FY2024</t>
        </is>
      </c>
      <c r="B8" s="32" t="inlineStr">
        <is>
          <t>Expense</t>
        </is>
      </c>
      <c r="C8" s="6" t="inlineStr">
        <is>
          <t>4901 - Utilities - Water</t>
        </is>
      </c>
      <c r="D8" s="25" t="n">
        <v>2175.55</v>
      </c>
      <c r="E8" s="6" t="inlineStr">
        <is>
          <t>N. Washington St Water &amp; Sanitation</t>
        </is>
      </c>
    </row>
    <row r="9">
      <c r="A9" s="6" t="inlineStr">
        <is>
          <t>5970 Marion Drive — FY2024</t>
        </is>
      </c>
      <c r="B9" s="32" t="inlineStr">
        <is>
          <t>Expense</t>
        </is>
      </c>
      <c r="C9" s="6" t="inlineStr">
        <is>
          <t>4906 - Utilities - Sewer</t>
        </is>
      </c>
      <c r="D9" s="25" t="n">
        <v>394.3</v>
      </c>
      <c r="E9" s="6" t="inlineStr"/>
    </row>
    <row r="10">
      <c r="A10" s="6" t="inlineStr">
        <is>
          <t>5970 Marion Drive — FY2024</t>
        </is>
      </c>
      <c r="B10" s="32" t="inlineStr">
        <is>
          <t>Expense</t>
        </is>
      </c>
      <c r="C10" s="6" t="inlineStr">
        <is>
          <t>5057 - Inspection &amp; Compliance</t>
        </is>
      </c>
      <c r="D10" s="25" t="n">
        <v>100</v>
      </c>
      <c r="E10" s="6" t="inlineStr">
        <is>
          <t>Backflow test</t>
        </is>
      </c>
    </row>
    <row r="11">
      <c r="A11" s="6" t="inlineStr">
        <is>
          <t>5970 Marion Drive — FY2024</t>
        </is>
      </c>
      <c r="B11" s="32" t="inlineStr">
        <is>
          <t>Expense</t>
        </is>
      </c>
      <c r="C11" s="6" t="inlineStr">
        <is>
          <t>5063 - Snow Removal</t>
        </is>
      </c>
      <c r="D11" s="25" t="n">
        <v>927.47</v>
      </c>
      <c r="E11" s="6" t="inlineStr">
        <is>
          <t>Cardenas Landscaping</t>
        </is>
      </c>
    </row>
    <row r="12">
      <c r="A12" s="6" t="inlineStr">
        <is>
          <t>5970 Marion Drive — FY2024</t>
        </is>
      </c>
      <c r="B12" s="32" t="inlineStr">
        <is>
          <t>Expense</t>
        </is>
      </c>
      <c r="C12" s="6" t="inlineStr">
        <is>
          <t>5064 - Common Area Clean</t>
        </is>
      </c>
      <c r="D12" s="25" t="n">
        <v>200</v>
      </c>
      <c r="E12" s="6" t="inlineStr">
        <is>
          <t>A&amp;W Services</t>
        </is>
      </c>
    </row>
    <row r="13">
      <c r="A13" s="6" t="inlineStr">
        <is>
          <t>5970 Marion Drive — FY2024</t>
        </is>
      </c>
      <c r="B13" s="32" t="inlineStr">
        <is>
          <t>Expense</t>
        </is>
      </c>
      <c r="C13" s="6" t="inlineStr">
        <is>
          <t>6020 - Property Management</t>
        </is>
      </c>
      <c r="D13" s="25" t="n">
        <v>6000</v>
      </c>
      <c r="E13" s="6" t="inlineStr">
        <is>
          <t>Deerwoods Management ($500/mo)</t>
        </is>
      </c>
    </row>
    <row r="14">
      <c r="A14" s="6" t="inlineStr">
        <is>
          <t>5970 Marion Drive — FY2024</t>
        </is>
      </c>
      <c r="B14" s="32" t="inlineStr">
        <is>
          <t>Expense</t>
        </is>
      </c>
      <c r="C14" s="6" t="inlineStr">
        <is>
          <t>6044 - Eviction Fees</t>
        </is>
      </c>
      <c r="D14" s="25" t="n">
        <v>0</v>
      </c>
      <c r="E14" s="6" t="inlineStr">
        <is>
          <t>Net $0 (reclassed to Legal)</t>
        </is>
      </c>
    </row>
    <row r="15">
      <c r="A15" s="6" t="inlineStr">
        <is>
          <t>5970 Marion Drive — FY2024</t>
        </is>
      </c>
      <c r="B15" s="32" t="inlineStr">
        <is>
          <t>Expense</t>
        </is>
      </c>
      <c r="C15" s="6" t="inlineStr">
        <is>
          <t>7010 - Insurance</t>
        </is>
      </c>
      <c r="D15" s="25" t="n">
        <v>10241.26</v>
      </c>
      <c r="E15" s="6" t="inlineStr">
        <is>
          <t>Farmers Insurance</t>
        </is>
      </c>
    </row>
    <row r="16">
      <c r="A16" s="6" t="inlineStr">
        <is>
          <t>5970 Marion Drive — FY2024</t>
        </is>
      </c>
      <c r="B16" s="32" t="inlineStr">
        <is>
          <t>Expense</t>
        </is>
      </c>
      <c r="C16" s="6" t="inlineStr">
        <is>
          <t>7020 - Taxes - Real Property</t>
        </is>
      </c>
      <c r="D16" s="25" t="n">
        <v>62852.62</v>
      </c>
      <c r="E16" s="6" t="inlineStr">
        <is>
          <t>Adams County Treasurer (2 halves)</t>
        </is>
      </c>
    </row>
    <row r="17">
      <c r="A17" s="6" t="inlineStr">
        <is>
          <t>5970 Marion Drive — FY2024</t>
        </is>
      </c>
      <c r="B17" s="32" t="inlineStr">
        <is>
          <t>Expense</t>
        </is>
      </c>
      <c r="C17" s="6" t="inlineStr">
        <is>
          <t>7031 - Taxes Other</t>
        </is>
      </c>
      <c r="D17" s="25" t="n">
        <v>800</v>
      </c>
      <c r="E17" s="6" t="inlineStr">
        <is>
          <t>CA Franchise reimb.</t>
        </is>
      </c>
    </row>
    <row r="18">
      <c r="A18" s="6" t="inlineStr">
        <is>
          <t>5970 Marion Drive — FY2024</t>
        </is>
      </c>
      <c r="B18" s="32" t="inlineStr">
        <is>
          <t>Expense</t>
        </is>
      </c>
      <c r="C18" s="6" t="inlineStr">
        <is>
          <t>8100 - Mortgage Principal</t>
        </is>
      </c>
      <c r="D18" s="25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32" t="inlineStr">
        <is>
          <t>Expense</t>
        </is>
      </c>
      <c r="C19" s="6" t="inlineStr">
        <is>
          <t>8101 - Mortgage Interest</t>
        </is>
      </c>
      <c r="D19" s="25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32" t="inlineStr">
        <is>
          <t>Expense</t>
        </is>
      </c>
      <c r="C20" s="6" t="inlineStr">
        <is>
          <t>Legal and Professional Fees</t>
        </is>
      </c>
      <c r="D20" s="25" t="n">
        <v>465</v>
      </c>
      <c r="E20" s="6" t="inlineStr">
        <is>
          <t>Halstead Law</t>
        </is>
      </c>
    </row>
    <row r="21">
      <c r="A21" s="6" t="inlineStr">
        <is>
          <t>5970 Marion Drive — FY2024</t>
        </is>
      </c>
      <c r="B21" s="32" t="inlineStr">
        <is>
          <t>Expense</t>
        </is>
      </c>
      <c r="C21" s="6" t="inlineStr">
        <is>
          <t>Other Expenses</t>
        </is>
      </c>
      <c r="D21" s="25" t="n">
        <v>293.68</v>
      </c>
      <c r="E21" s="6" t="inlineStr">
        <is>
          <t>Owner ticket reimb.</t>
        </is>
      </c>
    </row>
    <row r="22">
      <c r="A22" s="24" t="inlineStr">
        <is>
          <t>5970 Marion Drive — FY2024</t>
        </is>
      </c>
      <c r="B22" s="33" t="inlineStr">
        <is>
          <t>Expense</t>
        </is>
      </c>
      <c r="C22" s="18" t="inlineStr">
        <is>
          <t>TOTAL EXPENSE</t>
        </is>
      </c>
      <c r="D22" s="26">
        <f>SUM(D8:D21)</f>
        <v/>
      </c>
      <c r="E22" s="16" t="inlineStr">
        <is>
          <t>Printed total: $162,774.36 (cash-basis; includes debt service &amp; property taxes)</t>
        </is>
      </c>
    </row>
    <row r="23">
      <c r="A23" s="6" t="inlineStr">
        <is>
          <t>5970 Marion Drive — FY2023</t>
        </is>
      </c>
      <c r="B23" s="30" t="inlineStr">
        <is>
          <t>Income</t>
        </is>
      </c>
      <c r="C23" s="6" t="inlineStr">
        <is>
          <t>4200 - CAM Escrows</t>
        </is>
      </c>
      <c r="D23" s="25" t="n">
        <v>89143.03999999999</v>
      </c>
      <c r="E23" s="6" t="inlineStr"/>
    </row>
    <row r="24">
      <c r="A24" s="6" t="inlineStr">
        <is>
          <t>5970 Marion Drive — FY2023</t>
        </is>
      </c>
      <c r="B24" s="30" t="inlineStr">
        <is>
          <t>Income</t>
        </is>
      </c>
      <c r="C24" s="6" t="inlineStr">
        <is>
          <t>4600 - Prior Year CAM</t>
        </is>
      </c>
      <c r="D24" s="25" t="n">
        <v>523.01</v>
      </c>
      <c r="E24" s="6" t="inlineStr"/>
    </row>
    <row r="25">
      <c r="A25" s="6" t="inlineStr">
        <is>
          <t>5970 Marion Drive — FY2023</t>
        </is>
      </c>
      <c r="B25" s="30" t="inlineStr">
        <is>
          <t>Income</t>
        </is>
      </c>
      <c r="C25" s="6" t="inlineStr">
        <is>
          <t>4750 - Tenant Administrative Fees</t>
        </is>
      </c>
      <c r="D25" s="25" t="n">
        <v>500</v>
      </c>
      <c r="E25" s="6" t="inlineStr"/>
    </row>
    <row r="26">
      <c r="A26" s="6" t="inlineStr">
        <is>
          <t>5970 Marion Drive — FY2023</t>
        </is>
      </c>
      <c r="B26" s="30" t="inlineStr">
        <is>
          <t>Income</t>
        </is>
      </c>
      <c r="C26" s="6" t="inlineStr">
        <is>
          <t>4650 - Rent Income</t>
        </is>
      </c>
      <c r="D26" s="25" t="n">
        <v>157145.5</v>
      </c>
      <c r="E26" s="6" t="inlineStr"/>
    </row>
    <row r="27">
      <c r="A27" s="24" t="inlineStr">
        <is>
          <t>5970 Marion Drive — FY2023</t>
        </is>
      </c>
      <c r="B27" s="31" t="inlineStr">
        <is>
          <t>Income</t>
        </is>
      </c>
      <c r="C27" s="18" t="inlineStr">
        <is>
          <t>TOTAL INCOME</t>
        </is>
      </c>
      <c r="D27" s="26">
        <f>SUM(D23:D26)</f>
        <v/>
      </c>
      <c r="E27" s="16" t="inlineStr">
        <is>
          <t>Printed total: $247,311.55</t>
        </is>
      </c>
    </row>
    <row r="28">
      <c r="A28" s="6" t="inlineStr">
        <is>
          <t>5970 Marion Drive — FY2023</t>
        </is>
      </c>
      <c r="B28" s="32" t="inlineStr">
        <is>
          <t>Expense</t>
        </is>
      </c>
      <c r="C28" s="6" t="inlineStr">
        <is>
          <t>5010 - Electrical Repairs &amp; Lighting</t>
        </is>
      </c>
      <c r="D28" s="25" t="n">
        <v>1550</v>
      </c>
      <c r="E28" s="6" t="inlineStr"/>
    </row>
    <row r="29">
      <c r="A29" s="6" t="inlineStr">
        <is>
          <t>5970 Marion Drive — FY2023</t>
        </is>
      </c>
      <c r="B29" s="32" t="inlineStr">
        <is>
          <t>Expense</t>
        </is>
      </c>
      <c r="C29" s="6" t="inlineStr">
        <is>
          <t>5015 - Roofing Repairs</t>
        </is>
      </c>
      <c r="D29" s="25" t="n">
        <v>47000</v>
      </c>
      <c r="E29" s="6" t="inlineStr"/>
    </row>
    <row r="30">
      <c r="A30" s="6" t="inlineStr">
        <is>
          <t>5970 Marion Drive — FY2023</t>
        </is>
      </c>
      <c r="B30" s="32" t="inlineStr">
        <is>
          <t>Expense</t>
        </is>
      </c>
      <c r="C30" s="6" t="inlineStr">
        <is>
          <t>5017 - Drywall Repairs</t>
        </is>
      </c>
      <c r="D30" s="25" t="n">
        <v>810</v>
      </c>
      <c r="E30" s="6" t="inlineStr"/>
    </row>
    <row r="31">
      <c r="A31" s="6" t="inlineStr">
        <is>
          <t>5970 Marion Drive — FY2023</t>
        </is>
      </c>
      <c r="B31" s="32" t="inlineStr">
        <is>
          <t>Expense</t>
        </is>
      </c>
      <c r="C31" s="6" t="inlineStr">
        <is>
          <t>5029 - Snow Removal</t>
        </is>
      </c>
      <c r="D31" s="25" t="n">
        <v>1016.31</v>
      </c>
      <c r="E31" s="6" t="inlineStr"/>
    </row>
    <row r="32">
      <c r="A32" s="6" t="inlineStr">
        <is>
          <t>5970 Marion Drive — FY2023</t>
        </is>
      </c>
      <c r="B32" s="32" t="inlineStr">
        <is>
          <t>Expense</t>
        </is>
      </c>
      <c r="C32" s="6" t="inlineStr">
        <is>
          <t>5030 - Utilities - Water</t>
        </is>
      </c>
      <c r="D32" s="25" t="n">
        <v>2157.08</v>
      </c>
      <c r="E32" s="6" t="inlineStr"/>
    </row>
    <row r="33">
      <c r="A33" s="6" t="inlineStr">
        <is>
          <t>5970 Marion Drive — FY2023</t>
        </is>
      </c>
      <c r="B33" s="32" t="inlineStr">
        <is>
          <t>Expense</t>
        </is>
      </c>
      <c r="C33" s="6" t="inlineStr">
        <is>
          <t>5038 - Trash</t>
        </is>
      </c>
      <c r="D33" s="25" t="n">
        <v>151.01</v>
      </c>
      <c r="E33" s="6" t="inlineStr"/>
    </row>
    <row r="34">
      <c r="A34" s="6" t="inlineStr">
        <is>
          <t>5970 Marion Drive — FY2023</t>
        </is>
      </c>
      <c r="B34" s="32" t="inlineStr">
        <is>
          <t>Expense</t>
        </is>
      </c>
      <c r="C34" s="6" t="inlineStr">
        <is>
          <t>5047 - Inspection &amp; Compliance</t>
        </is>
      </c>
      <c r="D34" s="25" t="n">
        <v>110</v>
      </c>
      <c r="E34" s="6" t="inlineStr"/>
    </row>
    <row r="35">
      <c r="A35" s="6" t="inlineStr">
        <is>
          <t>5970 Marion Drive — FY2023</t>
        </is>
      </c>
      <c r="B35" s="32" t="inlineStr">
        <is>
          <t>Expense</t>
        </is>
      </c>
      <c r="C35" s="6" t="inlineStr">
        <is>
          <t>6020 - Property Management</t>
        </is>
      </c>
      <c r="D35" s="25" t="n">
        <v>6000</v>
      </c>
      <c r="E35" s="6" t="inlineStr">
        <is>
          <t>Deerwoods Management</t>
        </is>
      </c>
    </row>
    <row r="36">
      <c r="A36" s="6" t="inlineStr">
        <is>
          <t>5970 Marion Drive — FY2023</t>
        </is>
      </c>
      <c r="B36" s="32" t="inlineStr">
        <is>
          <t>Expense</t>
        </is>
      </c>
      <c r="C36" s="6" t="inlineStr">
        <is>
          <t>6043 - Bank fees</t>
        </is>
      </c>
      <c r="D36" s="25" t="n">
        <v>180</v>
      </c>
      <c r="E36" s="6" t="inlineStr"/>
    </row>
    <row r="37">
      <c r="A37" s="6" t="inlineStr">
        <is>
          <t>5970 Marion Drive — FY2023</t>
        </is>
      </c>
      <c r="B37" s="32" t="inlineStr">
        <is>
          <t>Expense</t>
        </is>
      </c>
      <c r="C37" s="6" t="inlineStr">
        <is>
          <t>7010 - Insurance</t>
        </is>
      </c>
      <c r="D37" s="25" t="n">
        <v>8640.99</v>
      </c>
      <c r="E37" s="6" t="inlineStr"/>
    </row>
    <row r="38">
      <c r="A38" s="6" t="inlineStr">
        <is>
          <t>5970 Marion Drive — FY2023</t>
        </is>
      </c>
      <c r="B38" s="32" t="inlineStr">
        <is>
          <t>Expense</t>
        </is>
      </c>
      <c r="C38" s="6" t="inlineStr">
        <is>
          <t>7020 - Taxes - Real Property</t>
        </is>
      </c>
      <c r="D38" s="25" t="n">
        <v>37726.76</v>
      </c>
      <c r="E38" s="6" t="inlineStr">
        <is>
          <t>Parcel 0182511303018</t>
        </is>
      </c>
    </row>
    <row r="39">
      <c r="A39" s="6" t="inlineStr">
        <is>
          <t>5970 Marion Drive — FY2023</t>
        </is>
      </c>
      <c r="B39" s="32" t="inlineStr">
        <is>
          <t>Expense</t>
        </is>
      </c>
      <c r="C39" s="6" t="inlineStr">
        <is>
          <t>7031 - Taxes Other</t>
        </is>
      </c>
      <c r="D39" s="25" t="n">
        <v>4968.83</v>
      </c>
      <c r="E39" s="6" t="inlineStr"/>
    </row>
    <row r="40">
      <c r="A40" s="6" t="inlineStr">
        <is>
          <t>5970 Marion Drive — FY2023</t>
        </is>
      </c>
      <c r="B40" s="32" t="inlineStr">
        <is>
          <t>Expense</t>
        </is>
      </c>
      <c r="C40" s="6" t="inlineStr">
        <is>
          <t>8100 - Mortgage Principal</t>
        </is>
      </c>
      <c r="D40" s="25" t="n">
        <v>26699.59</v>
      </c>
      <c r="E40" s="6" t="inlineStr"/>
    </row>
    <row r="41">
      <c r="A41" s="6" t="inlineStr">
        <is>
          <t>5970 Marion Drive — FY2023</t>
        </is>
      </c>
      <c r="B41" s="32" t="inlineStr">
        <is>
          <t>Expense</t>
        </is>
      </c>
      <c r="C41" s="6" t="inlineStr">
        <is>
          <t>8101 - Mortgage Interest</t>
        </is>
      </c>
      <c r="D41" s="25" t="n">
        <v>51624.89</v>
      </c>
      <c r="E41" s="6" t="inlineStr"/>
    </row>
    <row r="42">
      <c r="A42" s="24" t="inlineStr">
        <is>
          <t>5970 Marion Drive — FY2023</t>
        </is>
      </c>
      <c r="B42" s="33" t="inlineStr">
        <is>
          <t>Expense</t>
        </is>
      </c>
      <c r="C42" s="18" t="inlineStr">
        <is>
          <t>TOTAL EXPENSE</t>
        </is>
      </c>
      <c r="D42" s="26">
        <f>SUM(D28:D41)</f>
        <v/>
      </c>
      <c r="E42" s="16" t="inlineStr">
        <is>
          <t>Printed total: $188,635.46 (cash-basis; incl. debt svc &amp; taxes. Owner Draw $100,000 financing, not in expense.)</t>
        </is>
      </c>
    </row>
    <row r="43">
      <c r="A43" s="6" t="inlineStr">
        <is>
          <t>2011 E 58th (TempTee) — 2024 survey</t>
        </is>
      </c>
      <c r="B43" s="32" t="inlineStr">
        <is>
          <t>Expense</t>
        </is>
      </c>
      <c r="C43" s="6" t="inlineStr">
        <is>
          <t>Advertising (leasing)</t>
        </is>
      </c>
      <c r="D43" s="25" t="n">
        <v>0</v>
      </c>
      <c r="E43" s="6" t="inlineStr">
        <is>
          <t>Owner-reported</t>
        </is>
      </c>
    </row>
    <row r="44">
      <c r="A44" s="6" t="inlineStr">
        <is>
          <t>2011 E 58th (TempTee) — 2024 survey</t>
        </is>
      </c>
      <c r="B44" s="32" t="inlineStr">
        <is>
          <t>Expense</t>
        </is>
      </c>
      <c r="C44" s="6" t="inlineStr">
        <is>
          <t>Building Insurance</t>
        </is>
      </c>
      <c r="D44" s="25" t="n">
        <v>14050</v>
      </c>
      <c r="E44" s="6" t="inlineStr"/>
    </row>
    <row r="45">
      <c r="A45" s="6" t="inlineStr">
        <is>
          <t>2011 E 58th (TempTee) — 2024 survey</t>
        </is>
      </c>
      <c r="B45" s="32" t="inlineStr">
        <is>
          <t>Expense</t>
        </is>
      </c>
      <c r="C45" s="6" t="inlineStr">
        <is>
          <t>Building Repair &amp; Maintenance</t>
        </is>
      </c>
      <c r="D45" s="25" t="n">
        <v>10000</v>
      </c>
      <c r="E45" s="6" t="inlineStr"/>
    </row>
    <row r="46">
      <c r="A46" s="6" t="inlineStr">
        <is>
          <t>2011 E 58th (TempTee) — 2024 survey</t>
        </is>
      </c>
      <c r="B46" s="32" t="inlineStr">
        <is>
          <t>Expense</t>
        </is>
      </c>
      <c r="C46" s="6" t="inlineStr">
        <is>
          <t>Ground Maintenance</t>
        </is>
      </c>
      <c r="D46" s="25" t="n">
        <v>0</v>
      </c>
      <c r="E46" s="6" t="inlineStr">
        <is>
          <t>Reported 'in house' (no $)</t>
        </is>
      </c>
    </row>
    <row r="47">
      <c r="A47" s="6" t="inlineStr">
        <is>
          <t>2011 E 58th (TempTee) — 2024 survey</t>
        </is>
      </c>
      <c r="B47" s="32" t="inlineStr">
        <is>
          <t>Expense</t>
        </is>
      </c>
      <c r="C47" s="6" t="inlineStr">
        <is>
          <t>Janitorial Services</t>
        </is>
      </c>
      <c r="D47" s="25" t="n">
        <v>0</v>
      </c>
      <c r="E47" s="6" t="inlineStr">
        <is>
          <t>Reported 'in house' (no $)</t>
        </is>
      </c>
    </row>
    <row r="48">
      <c r="A48" s="6" t="inlineStr">
        <is>
          <t>2011 E 58th (TempTee) — 2024 survey</t>
        </is>
      </c>
      <c r="B48" s="32" t="inlineStr">
        <is>
          <t>Expense</t>
        </is>
      </c>
      <c r="C48" s="6" t="inlineStr">
        <is>
          <t>Leasing Commissions</t>
        </is>
      </c>
      <c r="D48" s="25" t="n">
        <v>0</v>
      </c>
      <c r="E48" s="6" t="inlineStr"/>
    </row>
    <row r="49">
      <c r="A49" s="6" t="inlineStr">
        <is>
          <t>2011 E 58th (TempTee) — 2024 survey</t>
        </is>
      </c>
      <c r="B49" s="32" t="inlineStr">
        <is>
          <t>Expense</t>
        </is>
      </c>
      <c r="C49" s="6" t="inlineStr">
        <is>
          <t>Management</t>
        </is>
      </c>
      <c r="D49" s="25" t="n">
        <v>0</v>
      </c>
      <c r="E49" s="6" t="inlineStr"/>
    </row>
    <row r="50">
      <c r="A50" s="6" t="inlineStr">
        <is>
          <t>2011 E 58th (TempTee) — 2024 survey</t>
        </is>
      </c>
      <c r="B50" s="32" t="inlineStr">
        <is>
          <t>Expense</t>
        </is>
      </c>
      <c r="C50" s="6" t="inlineStr">
        <is>
          <t>Snow/Trash Removal</t>
        </is>
      </c>
      <c r="D50" s="25" t="n">
        <v>12000</v>
      </c>
      <c r="E50" s="6" t="inlineStr"/>
    </row>
    <row r="51">
      <c r="A51" s="6" t="inlineStr">
        <is>
          <t>2011 E 58th (TempTee) — 2024 survey</t>
        </is>
      </c>
      <c r="B51" s="32" t="inlineStr">
        <is>
          <t>Expense</t>
        </is>
      </c>
      <c r="C51" s="6" t="inlineStr">
        <is>
          <t>Utilities</t>
        </is>
      </c>
      <c r="D51" s="25" t="n">
        <v>102000</v>
      </c>
      <c r="E51" s="6" t="inlineStr"/>
    </row>
    <row r="52">
      <c r="A52" s="24" t="inlineStr">
        <is>
          <t>2011 E 58th (TempTee) — 2024 survey</t>
        </is>
      </c>
      <c r="B52" s="33" t="inlineStr">
        <is>
          <t>Expense</t>
        </is>
      </c>
      <c r="C52" s="18" t="inlineStr">
        <is>
          <t>TOTAL EXPENSE</t>
        </is>
      </c>
      <c r="D52" s="26">
        <f>SUM(D43:D51)</f>
        <v/>
      </c>
      <c r="E52" s="16" t="inlineStr">
        <is>
          <t>Printed total: $138,050.00 Adams Co. Income&amp;Expense Survey; 100% owner-occupied (~17,000 SF). 'in house' items entered as $0.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4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0" customWidth="1" min="9" max="9"/>
  </cols>
  <sheetData>
    <row r="1" ht="26" customHeight="1">
      <c r="A1" s="1" t="inlineStr">
        <is>
          <t>SALES COMPARABLES</t>
        </is>
      </c>
    </row>
    <row r="2" ht="14" customHeight="1">
      <c r="A2" s="2" t="inlineStr">
        <is>
          <t>Warehouse sale comps supporting the R0169133 (17608 E. 24th Dr) appraisal — CoStar / Ryan LLC</t>
        </is>
      </c>
    </row>
    <row r="4" ht="28" customHeight="1">
      <c r="A4" s="4" t="inlineStr">
        <is>
          <t>#</t>
        </is>
      </c>
      <c r="B4" s="4" t="inlineStr">
        <is>
          <t>Address</t>
        </is>
      </c>
      <c r="C4" s="4" t="inlineStr">
        <is>
          <t>City, ST ZIP</t>
        </is>
      </c>
      <c r="D4" s="4" t="inlineStr">
        <is>
          <t>Type</t>
        </is>
      </c>
      <c r="E4" s="4" t="inlineStr">
        <is>
          <t>Year Built</t>
        </is>
      </c>
      <c r="F4" s="4" t="inlineStr">
        <is>
          <t>Building SF</t>
        </is>
      </c>
      <c r="G4" s="4" t="inlineStr">
        <is>
          <t>Sale Date</t>
        </is>
      </c>
      <c r="H4" s="4" t="inlineStr">
        <is>
          <t>Sale Price</t>
        </is>
      </c>
      <c r="I4" s="4" t="inlineStr">
        <is>
          <t>Price PSF</t>
        </is>
      </c>
    </row>
    <row r="5">
      <c r="A5" s="5" t="n">
        <v>1</v>
      </c>
      <c r="B5" s="6" t="inlineStr">
        <is>
          <t>8495 Roslyn St</t>
        </is>
      </c>
      <c r="C5" s="6" t="inlineStr">
        <is>
          <t>Commerce City, CO 80022</t>
        </is>
      </c>
      <c r="D5" s="5" t="inlineStr">
        <is>
          <t>Warehouse</t>
        </is>
      </c>
      <c r="E5" s="5" t="n">
        <v>1987</v>
      </c>
      <c r="F5" s="34" t="n">
        <v>15100</v>
      </c>
      <c r="G5" s="5" t="inlineStr">
        <is>
          <t>3/25/2024</t>
        </is>
      </c>
      <c r="H5" s="11" t="n">
        <v>2500000</v>
      </c>
      <c r="I5" s="12" t="n">
        <v>165.56</v>
      </c>
    </row>
    <row r="6">
      <c r="A6" s="5" t="n">
        <v>2</v>
      </c>
      <c r="B6" s="6" t="inlineStr">
        <is>
          <t>11900 E 33rd Ave</t>
        </is>
      </c>
      <c r="C6" s="6" t="inlineStr">
        <is>
          <t>Aurora, CO 80010</t>
        </is>
      </c>
      <c r="D6" s="5" t="inlineStr">
        <is>
          <t>Warehouse</t>
        </is>
      </c>
      <c r="E6" s="5" t="n">
        <v>1996</v>
      </c>
      <c r="F6" s="34" t="n">
        <v>39655</v>
      </c>
      <c r="G6" s="5" t="inlineStr">
        <is>
          <t>1/23/2024</t>
        </is>
      </c>
      <c r="H6" s="11" t="n">
        <v>6700000</v>
      </c>
      <c r="I6" s="12" t="n">
        <v>168.96</v>
      </c>
    </row>
    <row r="7">
      <c r="A7" s="5" t="n">
        <v>3</v>
      </c>
      <c r="B7" s="6" t="inlineStr">
        <is>
          <t>6270 E 50th Ave</t>
        </is>
      </c>
      <c r="C7" s="6" t="inlineStr">
        <is>
          <t>Commerce City, CO 80022</t>
        </is>
      </c>
      <c r="D7" s="5" t="inlineStr">
        <is>
          <t>Warehouse</t>
        </is>
      </c>
      <c r="E7" s="5" t="n">
        <v>1996</v>
      </c>
      <c r="F7" s="34" t="n">
        <v>35441</v>
      </c>
      <c r="G7" s="5" t="inlineStr">
        <is>
          <t>11/6/2023</t>
        </is>
      </c>
      <c r="H7" s="11" t="n">
        <v>3775000</v>
      </c>
      <c r="I7" s="12" t="n">
        <v>106.52</v>
      </c>
    </row>
    <row r="8">
      <c r="A8" s="5" t="n">
        <v>4</v>
      </c>
      <c r="B8" s="6" t="inlineStr">
        <is>
          <t>7001 E 57th Pl</t>
        </is>
      </c>
      <c r="C8" s="6" t="inlineStr">
        <is>
          <t>Commerce City, CO 80022</t>
        </is>
      </c>
      <c r="D8" s="5" t="inlineStr">
        <is>
          <t>Warehouse</t>
        </is>
      </c>
      <c r="E8" s="5" t="n">
        <v>1982</v>
      </c>
      <c r="F8" s="34" t="n">
        <v>22000</v>
      </c>
      <c r="G8" s="5" t="inlineStr">
        <is>
          <t>9/20/2022</t>
        </is>
      </c>
      <c r="H8" s="11" t="n">
        <v>3685000</v>
      </c>
      <c r="I8" s="12" t="n">
        <v>167.5</v>
      </c>
    </row>
    <row r="9">
      <c r="A9" s="6" t="inlineStr"/>
      <c r="B9" s="18" t="inlineStr">
        <is>
          <t>Average / Total</t>
        </is>
      </c>
      <c r="C9" s="35" t="inlineStr"/>
      <c r="D9" s="35" t="inlineStr"/>
      <c r="E9" s="35" t="inlineStr"/>
      <c r="F9" s="36">
        <f>AVERAGE(F5:F8)</f>
        <v/>
      </c>
      <c r="G9" s="35" t="inlineStr"/>
      <c r="H9" s="19">
        <f>AVERAGE(H5:H8)</f>
        <v/>
      </c>
      <c r="I9" s="20">
        <f>AVERAGE(I5:I8)</f>
        <v/>
      </c>
    </row>
    <row r="11">
      <c r="A11" s="16" t="inlineStr">
        <is>
          <t>Source: CoStar Sale Comps report (©2025 CoStar, licensed to Marvin F. Poer &amp; Company), included in the R0169133 appeal package. All 100% leased at sale; Adams County submarkets.</t>
        </is>
      </c>
    </row>
  </sheetData>
  <mergeCells count="3">
    <mergeCell ref="A1:I1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Assessor / 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8" t="inlineStr">
        <is>
          <t>North Side Gardens LLC</t>
        </is>
      </c>
      <c r="B6" s="27" t="inlineStr">
        <is>
          <t>R0178308</t>
        </is>
      </c>
      <c r="C6" s="18" t="inlineStr">
        <is>
          <t>7205 Gilpin Way</t>
        </is>
      </c>
      <c r="D6" s="27" t="inlineStr">
        <is>
          <t>Adams County</t>
        </is>
      </c>
      <c r="E6" s="27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>
      <c r="A10" s="16" t="inlineStr">
        <is>
          <t>Highlighted row (R0178308 / 7205 Gilpin Way) is the primary subject of the appeal document; the other three parcels are co-listed on the same authorization/appeal schedule. Owner of record on the appeal letter: Center Land Properties (signed by Ken R. Lombardi, Manager).</t>
        </is>
      </c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2026-07-30T22:29:02Z</dcterms:created>
  <dcterms:modified xsi:type="dcterms:W3CDTF">2026-07-30T22:30:43Z</dcterms:modified>
</cp:coreProperties>
</file>