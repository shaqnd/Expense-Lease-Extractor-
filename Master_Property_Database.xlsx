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2026-08-03  |  20 subject properties,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>
      <c r="A15" s="5" t="n">
        <v>10</v>
      </c>
      <c r="B15" s="6" t="inlineStr">
        <is>
          <t>R0048725.pdf</t>
        </is>
      </c>
      <c r="C15" s="6" t="inlineStr">
        <is>
          <t>Cover letter (SB 11-119) + 2023-2024 P&amp;L (QuickBooks, accrual)</t>
        </is>
      </c>
      <c r="D15" s="6" t="inlineStr">
        <is>
          <t>9345 (9335) Elm Ct — TARA LLC</t>
        </is>
      </c>
      <c r="E15" s="5" t="inlineStr">
        <is>
          <t>FY2023-FY2024</t>
        </is>
      </c>
      <c r="F15" s="6" t="inlineStr">
        <is>
          <t>Stevens &amp; Associates / owner</t>
        </is>
      </c>
    </row>
    <row r="16" ht="26" customHeight="1">
      <c r="A16" s="5" t="n">
        <v>11</v>
      </c>
      <c r="B16" s="6" t="inlineStr">
        <is>
          <t>500_E_76TH_AVE.pdf</t>
        </is>
      </c>
      <c r="C16" s="6" t="inlineStr">
        <is>
          <t>Valuation protest — income &amp; sales approaches + income stmt + rent rolls (scanned)</t>
        </is>
      </c>
      <c r="D16" s="6" t="inlineStr">
        <is>
          <t>460-550 E. 76th Ave 'I-25 Corporate Center'</t>
        </is>
      </c>
      <c r="E16" s="5" t="inlineStr">
        <is>
          <t>FY2024; protest 5/20/2026</t>
        </is>
      </c>
      <c r="F16" s="6" t="inlineStr">
        <is>
          <t>1st Net Real Estate Services (D. George) / Colliers</t>
        </is>
      </c>
    </row>
    <row r="17" ht="26" customHeight="1">
      <c r="A17" s="5" t="n">
        <v>12</v>
      </c>
      <c r="B17" s="6" t="inlineStr">
        <is>
          <t>R0083953.pdf</t>
        </is>
      </c>
      <c r="C17" s="6" t="inlineStr">
        <is>
          <t>Valuation protest — income approach + income stmt + rent roll (scanned)</t>
        </is>
      </c>
      <c r="D17" s="6" t="inlineStr">
        <is>
          <t>20901 E. 32nd Pkwy 'Majestic Commercenter'</t>
        </is>
      </c>
      <c r="E17" s="5" t="inlineStr">
        <is>
          <t>FY2024; protest 6/5/2025</t>
        </is>
      </c>
      <c r="F17" s="6" t="inlineStr">
        <is>
          <t>1st Net Real Estate Services (D. George) / Colliers</t>
        </is>
      </c>
    </row>
    <row r="18" ht="26" customHeight="1">
      <c r="A18" s="5" t="n">
        <v>13</v>
      </c>
      <c r="B18" s="6" t="inlineStr">
        <is>
          <t>R0084233.pdf</t>
        </is>
      </c>
      <c r="C18" s="6" t="inlineStr">
        <is>
          <t>Cover letter (SB 11-119) + income statements + rent rolls (2 bldgs)</t>
        </is>
      </c>
      <c r="D18" s="6" t="inlineStr">
        <is>
          <t>3254 &amp; 3650 Fraser St</t>
        </is>
      </c>
      <c r="E18" s="5" t="inlineStr">
        <is>
          <t>FY2023-FY2024</t>
        </is>
      </c>
      <c r="F18" s="6" t="inlineStr">
        <is>
          <t>Stevens &amp; Associates / Colliers</t>
        </is>
      </c>
    </row>
    <row r="19">
      <c r="A19" s="5" t="n">
        <v>14</v>
      </c>
      <c r="B19" s="6" t="inlineStr">
        <is>
          <t>R0084237.pdf</t>
        </is>
      </c>
      <c r="C19" s="6" t="inlineStr">
        <is>
          <t>Cover letter (SB 11-119) + Yardi income statements + portfolio rent rolls</t>
        </is>
      </c>
      <c r="D19" s="6" t="inlineStr">
        <is>
          <t>14501 E. 35th Pl (Denver Industrial Portfolio)</t>
        </is>
      </c>
      <c r="E19" s="5" t="inlineStr">
        <is>
          <t>FY2023-FY2024</t>
        </is>
      </c>
      <c r="F19" s="6" t="inlineStr">
        <is>
          <t>Stevens &amp; Associates / St. Paul F&amp;M</t>
        </is>
      </c>
    </row>
    <row r="20">
      <c r="A20" s="5" t="n">
        <v>15</v>
      </c>
      <c r="B20" s="6" t="inlineStr">
        <is>
          <t>R0103791.pdf</t>
        </is>
      </c>
      <c r="C20" s="6" t="inlineStr">
        <is>
          <t>Appeal of Real Property Valuation (2023) + income approach + IRS 8825s (2021-22) + rent rolls 2019-22 (scanned)</t>
        </is>
      </c>
      <c r="D20" s="6" t="inlineStr">
        <is>
          <t>1803 E 58th Ave — Arakouzo LLP</t>
        </is>
      </c>
      <c r="E20" s="5" t="inlineStr">
        <is>
          <t>2019-2022; appeal TY2023</t>
        </is>
      </c>
      <c r="F20" s="6" t="inlineStr">
        <is>
          <t>Property Tax Advisors, Inc. / owner (R. Soued)</t>
        </is>
      </c>
    </row>
    <row r="21">
      <c r="A21" s="5" t="n">
        <v>16</v>
      </c>
      <c r="B21" s="6" t="inlineStr">
        <is>
          <t>R0084249.pdf</t>
        </is>
      </c>
      <c r="C21" s="6" t="inlineStr">
        <is>
          <t>Cover letter (SB 11-119) + income statements + rent rolls</t>
        </is>
      </c>
      <c r="D21" s="6" t="inlineStr">
        <is>
          <t>14200 E. 33rd Pl</t>
        </is>
      </c>
      <c r="E21" s="5" t="inlineStr">
        <is>
          <t>FY2023-FY2024</t>
        </is>
      </c>
      <c r="F21" s="6" t="inlineStr">
        <is>
          <t>Stevens &amp; Associates / Colliers</t>
        </is>
      </c>
    </row>
    <row r="22">
      <c r="A22" s="5" t="n">
        <v>17</v>
      </c>
      <c r="B22" s="6" t="inlineStr">
        <is>
          <t>R0084250.pdf + R0084250_2.pdf</t>
        </is>
      </c>
      <c r="C22" s="6" t="inlineStr">
        <is>
          <t>Rent roll (as of 6/30/2024) + FY2024 income statement (Yardi, Prior-Owner book)</t>
        </is>
      </c>
      <c r="D22" s="6" t="inlineStr">
        <is>
          <t>3250 Abilene St (bt42569)</t>
        </is>
      </c>
      <c r="E22" s="5" t="inlineStr">
        <is>
          <t>FY2024</t>
        </is>
      </c>
      <c r="F22" s="6" t="inlineStr">
        <is>
          <t>(owner not stated in docs)</t>
        </is>
      </c>
    </row>
    <row r="23">
      <c r="A23" s="5" t="n">
        <v>18</v>
      </c>
      <c r="B23" s="6" t="inlineStr">
        <is>
          <t>R0084253.pdf + R00842532.pdf</t>
        </is>
      </c>
      <c r="C23" s="6" t="inlineStr">
        <is>
          <t>Rent roll 14509 E 33rd Pl (bt46265, as of 1/1/2024) + FY2024 income statement 14705 E 33rd Pl (bt46267)</t>
        </is>
      </c>
      <c r="D23" s="6" t="inlineStr">
        <is>
          <t>14509 &amp; 14705 E. 33rd Pl</t>
        </is>
      </c>
      <c r="E23" s="5" t="inlineStr">
        <is>
          <t>FY2024</t>
        </is>
      </c>
      <c r="F23" s="6" t="inlineStr">
        <is>
          <t>(owner not stated in docs; RCM/Yardi)</t>
        </is>
      </c>
    </row>
    <row r="24">
      <c r="A24" s="5" t="n">
        <v>19</v>
      </c>
      <c r="B24" s="6" t="inlineStr">
        <is>
          <t>R0084262.pdf</t>
        </is>
      </c>
      <c r="C24" s="6" t="inlineStr">
        <is>
          <t>DUPLICATE of R0084233.pdf (3254 &amp; 3650 Fraser St package) — no new data extracted</t>
        </is>
      </c>
      <c r="D24" s="6" t="inlineStr">
        <is>
          <t>3254 &amp; 3650 Fraser St</t>
        </is>
      </c>
      <c r="E24" s="5" t="inlineStr">
        <is>
          <t>FY2023-FY2024</t>
        </is>
      </c>
      <c r="F24" s="6" t="inlineStr">
        <is>
          <t>Stevens &amp; Associates / Colliers</t>
        </is>
      </c>
    </row>
    <row r="25">
      <c r="A25" s="5" t="n">
        <v>20</v>
      </c>
      <c r="B25" s="6" t="inlineStr">
        <is>
          <t>R0084268.pdf</t>
        </is>
      </c>
      <c r="C25" s="6" t="inlineStr">
        <is>
          <t>Valuation protest — income approach + rent roll (scanned)</t>
        </is>
      </c>
      <c r="D25" s="6" t="inlineStr">
        <is>
          <t>14501 E. Moncrieff Pl — Peterson Moncrieff LLC</t>
        </is>
      </c>
      <c r="E25" s="5" t="inlineStr">
        <is>
          <t>protest 5/22/2025</t>
        </is>
      </c>
      <c r="F25" s="6" t="inlineStr">
        <is>
          <t>1st Net Real Estate Services (D. George)</t>
        </is>
      </c>
    </row>
    <row r="26">
      <c r="A26" s="5" t="n">
        <v>21</v>
      </c>
      <c r="B26" s="6" t="inlineStr">
        <is>
          <t>R0086203.pdf</t>
        </is>
      </c>
      <c r="C26" s="6" t="inlineStr">
        <is>
          <t>Tax appeal — income-approach proforma + salient facts</t>
        </is>
      </c>
      <c r="D26" s="6" t="inlineStr">
        <is>
          <t>2420 Uravan St 'Aurora - Uravan' — Wagner Equipment Co.</t>
        </is>
      </c>
      <c r="E26" s="5" t="inlineStr">
        <is>
          <t>Assess. Yr 2025</t>
        </is>
      </c>
      <c r="F26" s="6" t="inlineStr">
        <is>
          <t>Ryan LLC (J. Hoffman)</t>
        </is>
      </c>
    </row>
    <row r="27"/>
    <row r="28">
      <c r="A28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29">
      <c r="A29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30">
      <c r="A30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  <row r="31">
      <c r="A31" s="7" t="inlineStr">
        <is>
          <t>St. Paul rent rolls cover the full 17-building 'Denver Industrial Portfolio'; only subject-building (14501 E 35th Pl) leases are stored in Tenants &amp; Leases. CoStar sales-comp pages in the 1st Net protests are out of scope and not stored. 3254/3650 Fraser 'Total Expense' figures include capital expenditures as printed. E 76th Ave county value: protest letter shows $44,788,554; the income-approach sheet and 1st Net protest list show 2025 county value $47,464,870 — both reproduced as printed.</t>
        </is>
      </c>
    </row>
    <row r="32">
      <c r="A32" s="7" t="inlineStr">
        <is>
          <t>Batch-3 notes: 3250 Abilene &amp; 14705 E 33rd income statements display whole dollars and carry a source inconsistency (the [NB] Gas Vacancy line is included in the printed Direct-Billable subtotal but excluded from the Property-Operating rollup); their subtotals are entered as printed values, not formulas. R0084253.pdf contains the 14509 E 33rd Pl rent roll while its companion upload R00842532.pdf is the 14705 E 33rd Pl income statement — treated as two properties. 14501 E Moncrieff: rent roll shows 53,200 SF vs 52,606 SF in the 1st Net income approach; both as printed.</t>
        </is>
      </c>
    </row>
  </sheetData>
  <mergeCells count="7">
    <mergeCell ref="A2:F2"/>
    <mergeCell ref="A28:F28"/>
    <mergeCell ref="A1:F1"/>
    <mergeCell ref="A32:F32"/>
    <mergeCell ref="A31:F31"/>
    <mergeCell ref="A30:F30"/>
    <mergeCell ref="A29:F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  <row r="13">
      <c r="A13" s="6" t="inlineStr">
        <is>
          <t>R0048725</t>
        </is>
      </c>
      <c r="B13" s="6" t="inlineStr">
        <is>
          <t>R0048725</t>
        </is>
      </c>
      <c r="C13" s="6" t="inlineStr">
        <is>
          <t>0171920102027</t>
        </is>
      </c>
      <c r="D13" s="6" t="inlineStr">
        <is>
          <t>9345/9335 Elm Ct (TARA)</t>
        </is>
      </c>
      <c r="E13" s="6" t="inlineStr">
        <is>
          <t>9345 (9335) Elm Ct</t>
        </is>
      </c>
      <c r="F13" s="6" t="inlineStr">
        <is>
          <t>—</t>
        </is>
      </c>
      <c r="G13" s="5" t="inlineStr">
        <is>
          <t>CO</t>
        </is>
      </c>
      <c r="H13" s="6" t="inlineStr">
        <is>
          <t>—</t>
        </is>
      </c>
      <c r="I13" s="6" t="inlineStr">
        <is>
          <t>Adams</t>
        </is>
      </c>
      <c r="J13" s="6" t="inlineStr">
        <is>
          <t>TARA LLC (Patricia Ellison)</t>
        </is>
      </c>
      <c r="K13" s="6" t="inlineStr">
        <is>
          <t>TARA LLC</t>
        </is>
      </c>
      <c r="L13" s="6" t="inlineStr">
        <is>
          <t>Commercial rental</t>
        </is>
      </c>
      <c r="M13" s="6" t="inlineStr">
        <is>
          <t>2 rental addresses</t>
        </is>
      </c>
      <c r="N13" s="8" t="n"/>
      <c r="O13" s="8" t="n"/>
      <c r="P13" s="6" t="n"/>
      <c r="Q13" s="8" t="n"/>
      <c r="R13" s="6" t="n"/>
      <c r="S13" s="6" t="inlineStr">
        <is>
          <t>—</t>
        </is>
      </c>
      <c r="T13" s="6" t="inlineStr">
        <is>
          <t>Leased (rental income both yrs)</t>
        </is>
      </c>
      <c r="U13" s="9" t="n"/>
      <c r="V13" s="5" t="inlineStr">
        <is>
          <t>2025 (SB 11-119 submission)</t>
        </is>
      </c>
      <c r="W13" s="9" t="inlineStr">
        <is>
          <t>—</t>
        </is>
      </c>
      <c r="X13" s="6" t="inlineStr">
        <is>
          <t>—</t>
        </is>
      </c>
      <c r="Y13" s="6" t="inlineStr">
        <is>
          <t>R0048725.pdf</t>
        </is>
      </c>
    </row>
    <row r="14">
      <c r="A14" s="6" t="inlineStr">
        <is>
          <t>R0070622-27</t>
        </is>
      </c>
      <c r="B14" s="6" t="inlineStr">
        <is>
          <t>R0070622;23;24;25;26;27</t>
        </is>
      </c>
      <c r="C14" s="6" t="inlineStr">
        <is>
          <t>—</t>
        </is>
      </c>
      <c r="D14" s="6" t="inlineStr">
        <is>
          <t>I-25 Corporate Center</t>
        </is>
      </c>
      <c r="E14" s="6" t="inlineStr">
        <is>
          <t>460-550 E. 76th Ave</t>
        </is>
      </c>
      <c r="F14" s="6" t="inlineStr">
        <is>
          <t>Denver</t>
        </is>
      </c>
      <c r="G14" s="5" t="inlineStr">
        <is>
          <t>CO</t>
        </is>
      </c>
      <c r="H14" s="6" t="inlineStr">
        <is>
          <t>80229 (est.)</t>
        </is>
      </c>
      <c r="I14" s="6" t="inlineStr">
        <is>
          <t>Adams</t>
        </is>
      </c>
      <c r="J14" s="6" t="inlineStr">
        <is>
          <t>WPC Corporate LLC</t>
        </is>
      </c>
      <c r="K14" s="6" t="inlineStr">
        <is>
          <t>WPC Corporate LLC</t>
        </is>
      </c>
      <c r="L14" s="6" t="inlineStr">
        <is>
          <t>Industrial - Warehouse/Mfg</t>
        </is>
      </c>
      <c r="M14" s="6" t="inlineStr">
        <is>
          <t>Multi-tenant (14 units)</t>
        </is>
      </c>
      <c r="N14" s="8" t="n">
        <v>19.68</v>
      </c>
      <c r="O14" s="8" t="n">
        <v>857172</v>
      </c>
      <c r="P14" s="6" t="n"/>
      <c r="Q14" s="8" t="n">
        <v>330935</v>
      </c>
      <c r="R14" s="6" t="inlineStr">
        <is>
          <t>1974/77/78/79</t>
        </is>
      </c>
      <c r="S14" s="6" t="inlineStr">
        <is>
          <t>2.59:1</t>
        </is>
      </c>
      <c r="T14" s="6" t="inlineStr">
        <is>
          <t>77% (76,733 SF vacant 12/31/24)</t>
        </is>
      </c>
      <c r="U14" s="9" t="n">
        <v>47464870</v>
      </c>
      <c r="V14" s="5" t="inlineStr">
        <is>
          <t>2025</t>
        </is>
      </c>
      <c r="W14" s="9" t="n">
        <v>32000000</v>
      </c>
      <c r="X14" s="6" t="inlineStr">
        <is>
          <t>—</t>
        </is>
      </c>
      <c r="Y14" s="6" t="inlineStr">
        <is>
          <t>500_E_76TH_AVE.pdf</t>
        </is>
      </c>
    </row>
    <row r="15">
      <c r="A15" s="6" t="inlineStr">
        <is>
          <t>R0083953</t>
        </is>
      </c>
      <c r="B15" s="6" t="inlineStr">
        <is>
          <t>R0083953</t>
        </is>
      </c>
      <c r="C15" s="6" t="inlineStr">
        <is>
          <t>—</t>
        </is>
      </c>
      <c r="D15" s="6" t="inlineStr">
        <is>
          <t>Majestic Commercenter</t>
        </is>
      </c>
      <c r="E15" s="6" t="inlineStr">
        <is>
          <t>20901 E. 32nd Pkwy</t>
        </is>
      </c>
      <c r="F15" s="6" t="inlineStr">
        <is>
          <t>Aurora</t>
        </is>
      </c>
      <c r="G15" s="5" t="inlineStr">
        <is>
          <t>CO</t>
        </is>
      </c>
      <c r="H15" s="6" t="inlineStr">
        <is>
          <t>—</t>
        </is>
      </c>
      <c r="I15" s="6" t="inlineStr">
        <is>
          <t>Adams</t>
        </is>
      </c>
      <c r="J15" s="6" t="inlineStr">
        <is>
          <t>WPC ABC LLC</t>
        </is>
      </c>
      <c r="K15" s="6" t="inlineStr">
        <is>
          <t>WPC ABC LLC</t>
        </is>
      </c>
      <c r="L15" s="6" t="inlineStr">
        <is>
          <t>Industrial - Warehouse (4 suites)</t>
        </is>
      </c>
      <c r="M15" s="6" t="inlineStr">
        <is>
          <t>Multi-tenant (4 suites)</t>
        </is>
      </c>
      <c r="N15" s="8" t="n"/>
      <c r="O15" s="8" t="n"/>
      <c r="P15" s="6" t="n"/>
      <c r="Q15" s="8" t="n">
        <v>200000</v>
      </c>
      <c r="R15" s="6" t="n"/>
      <c r="S15" s="6" t="inlineStr">
        <is>
          <t>—</t>
        </is>
      </c>
      <c r="T15" s="6" t="inlineStr">
        <is>
          <t>100% (0 SF vacant)</t>
        </is>
      </c>
      <c r="U15" s="9" t="n">
        <v>12539259</v>
      </c>
      <c r="V15" s="5" t="inlineStr">
        <is>
          <t>2023</t>
        </is>
      </c>
      <c r="W15" s="9" t="n">
        <v>11306000</v>
      </c>
      <c r="X15" s="6" t="inlineStr">
        <is>
          <t>—</t>
        </is>
      </c>
      <c r="Y15" s="6" t="inlineStr">
        <is>
          <t>R0083953.pdf</t>
        </is>
      </c>
    </row>
    <row r="16">
      <c r="A16" s="6" t="inlineStr">
        <is>
          <t>R0084233</t>
        </is>
      </c>
      <c r="B16" s="6" t="inlineStr">
        <is>
          <t>R0084233, R0084262</t>
        </is>
      </c>
      <c r="C16" s="6" t="inlineStr">
        <is>
          <t>—</t>
        </is>
      </c>
      <c r="D16" s="6" t="inlineStr">
        <is>
          <t>3254 &amp; 3650 Fraser St (2 bldgs)</t>
        </is>
      </c>
      <c r="E16" s="6" t="inlineStr">
        <is>
          <t>3254-3650 Fraser St</t>
        </is>
      </c>
      <c r="F16" s="6" t="inlineStr">
        <is>
          <t>Aurora</t>
        </is>
      </c>
      <c r="G16" s="5" t="inlineStr">
        <is>
          <t>CO</t>
        </is>
      </c>
      <c r="H16" s="6" t="inlineStr">
        <is>
          <t>—</t>
        </is>
      </c>
      <c r="I16" s="6" t="inlineStr">
        <is>
          <t>Adams</t>
        </is>
      </c>
      <c r="J16" s="6" t="inlineStr">
        <is>
          <t>St. Paul Fire and Marine Insurance Co. (Attn J.C. Adams)</t>
        </is>
      </c>
      <c r="K16" s="6" t="inlineStr">
        <is>
          <t>St. Paul Fire and Marine Insurance Co.</t>
        </is>
      </c>
      <c r="L16" s="6" t="inlineStr">
        <is>
          <t>Industrial - Warehouse (2 bldgs)</t>
        </is>
      </c>
      <c r="M16" s="6" t="inlineStr">
        <is>
          <t>Multi-tenant (3-4 per bldg)</t>
        </is>
      </c>
      <c r="N16" s="8" t="n"/>
      <c r="O16" s="8" t="n"/>
      <c r="P16" s="6" t="n"/>
      <c r="Q16" s="8" t="n">
        <v>240987</v>
      </c>
      <c r="R16" s="6" t="n"/>
      <c r="S16" s="6" t="inlineStr">
        <is>
          <t>—</t>
        </is>
      </c>
      <c r="T16" s="6" t="inlineStr">
        <is>
          <t>100% both bldgs (Jun-2024)</t>
        </is>
      </c>
      <c r="U16" s="9" t="n"/>
      <c r="V16" s="5" t="inlineStr">
        <is>
          <t>2025 (SB 11-119 submission)</t>
        </is>
      </c>
      <c r="W16" s="9" t="inlineStr">
        <is>
          <t>—</t>
        </is>
      </c>
      <c r="X16" s="6" t="inlineStr">
        <is>
          <t>Colliers (rent rolls)</t>
        </is>
      </c>
      <c r="Y16" s="6" t="inlineStr">
        <is>
          <t>R0084233.pdf</t>
        </is>
      </c>
    </row>
    <row r="17">
      <c r="A17" s="6" t="inlineStr">
        <is>
          <t>R0084237</t>
        </is>
      </c>
      <c r="B17" s="6" t="inlineStr">
        <is>
          <t>R0084237</t>
        </is>
      </c>
      <c r="C17" s="6" t="inlineStr">
        <is>
          <t>01821-30-0-02-005</t>
        </is>
      </c>
      <c r="D17" s="6" t="inlineStr">
        <is>
          <t>14501 E. 35th Pl</t>
        </is>
      </c>
      <c r="E17" s="6" t="inlineStr">
        <is>
          <t>14501 E. 35th Pl</t>
        </is>
      </c>
      <c r="F17" s="6" t="inlineStr">
        <is>
          <t>Aurora</t>
        </is>
      </c>
      <c r="G17" s="5" t="inlineStr">
        <is>
          <t>CO</t>
        </is>
      </c>
      <c r="H17" s="6" t="inlineStr">
        <is>
          <t>—</t>
        </is>
      </c>
      <c r="I17" s="6" t="inlineStr">
        <is>
          <t>Adams</t>
        </is>
      </c>
      <c r="J17" s="6" t="inlineStr">
        <is>
          <t>St. Paul Fire and Marine Insurance Co.</t>
        </is>
      </c>
      <c r="K17" s="6" t="inlineStr">
        <is>
          <t>St. Paul Fire and Marine Insurance Co.</t>
        </is>
      </c>
      <c r="L17" s="6" t="inlineStr">
        <is>
          <t>Industrial - Warehouse/Distribution</t>
        </is>
      </c>
      <c r="M17" s="6" t="inlineStr">
        <is>
          <t>Single→3 units (re-demised 2024)</t>
        </is>
      </c>
      <c r="N17" s="8" t="n"/>
      <c r="O17" s="8" t="n"/>
      <c r="P17" s="6" t="n"/>
      <c r="Q17" s="8" t="n">
        <v>156838</v>
      </c>
      <c r="R17" s="6" t="n"/>
      <c r="S17" s="6" t="inlineStr">
        <is>
          <t>—</t>
        </is>
      </c>
      <c r="T17" s="6" t="inlineStr">
        <is>
          <t>21% (CIP 32,556 SF; 124,282 SF vacant 6/30/24)</t>
        </is>
      </c>
      <c r="U17" s="9" t="n"/>
      <c r="V17" s="5" t="inlineStr">
        <is>
          <t>2025 (SB 11-119 submission)</t>
        </is>
      </c>
      <c r="W17" s="9" t="inlineStr">
        <is>
          <t>—</t>
        </is>
      </c>
      <c r="X17" s="6" t="inlineStr">
        <is>
          <t>—</t>
        </is>
      </c>
      <c r="Y17" s="6" t="inlineStr">
        <is>
          <t>R0084237.pdf</t>
        </is>
      </c>
    </row>
    <row r="18">
      <c r="A18" s="6" t="inlineStr">
        <is>
          <t>R0103791</t>
        </is>
      </c>
      <c r="B18" s="6" t="inlineStr">
        <is>
          <t>R0103791</t>
        </is>
      </c>
      <c r="C18" s="6" t="inlineStr">
        <is>
          <t>R0103791</t>
        </is>
      </c>
      <c r="D18" s="6" t="inlineStr">
        <is>
          <t>1803 E 58th Ave (Arakouzo)</t>
        </is>
      </c>
      <c r="E18" s="6" t="inlineStr">
        <is>
          <t>1803 E 58th Ave</t>
        </is>
      </c>
      <c r="F18" s="6" t="inlineStr">
        <is>
          <t>Denver</t>
        </is>
      </c>
      <c r="G18" s="5" t="inlineStr">
        <is>
          <t>CO</t>
        </is>
      </c>
      <c r="H18" s="6" t="inlineStr">
        <is>
          <t>80216</t>
        </is>
      </c>
      <c r="I18" s="6" t="inlineStr">
        <is>
          <t>Adams</t>
        </is>
      </c>
      <c r="J18" s="6" t="inlineStr">
        <is>
          <t>Arakouzo LLP (Robert Soued, Mgr)</t>
        </is>
      </c>
      <c r="K18" s="6" t="inlineStr">
        <is>
          <t>Arakouzo</t>
        </is>
      </c>
      <c r="L18" s="6" t="inlineStr">
        <is>
          <t>Industrial - Warehouse/Bakery</t>
        </is>
      </c>
      <c r="M18" s="6" t="inlineStr">
        <is>
          <t>Single-tenant (NNN)</t>
        </is>
      </c>
      <c r="N18" s="8" t="n"/>
      <c r="O18" s="8" t="n"/>
      <c r="P18" s="6" t="n"/>
      <c r="Q18" s="8" t="n">
        <v>30965</v>
      </c>
      <c r="R18" s="6" t="n"/>
      <c r="S18" s="6" t="inlineStr">
        <is>
          <t>—</t>
        </is>
      </c>
      <c r="T18" s="6" t="inlineStr">
        <is>
          <t>100% (Harlan Bakeries)</t>
        </is>
      </c>
      <c r="U18" s="9" t="n"/>
      <c r="V18" s="5" t="inlineStr">
        <is>
          <t>2023 (appeal)</t>
        </is>
      </c>
      <c r="W18" s="9" t="n">
        <v>2899541</v>
      </c>
      <c r="X18" s="6" t="inlineStr">
        <is>
          <t>—</t>
        </is>
      </c>
      <c r="Y18" s="6" t="inlineStr">
        <is>
          <t>R0103791.pdf</t>
        </is>
      </c>
    </row>
    <row r="19">
      <c r="A19" s="6" t="inlineStr">
        <is>
          <t>R0084249</t>
        </is>
      </c>
      <c r="B19" s="6" t="inlineStr">
        <is>
          <t>R0084249</t>
        </is>
      </c>
      <c r="C19" s="6" t="inlineStr">
        <is>
          <t>01821-30-0-04-010</t>
        </is>
      </c>
      <c r="D19" s="6" t="inlineStr">
        <is>
          <t>14200 E. 33rd Pl</t>
        </is>
      </c>
      <c r="E19" s="6" t="inlineStr">
        <is>
          <t>14200 E. 33rd Pl</t>
        </is>
      </c>
      <c r="F19" s="6" t="inlineStr">
        <is>
          <t>Aurora</t>
        </is>
      </c>
      <c r="G19" s="5" t="inlineStr">
        <is>
          <t>CO</t>
        </is>
      </c>
      <c r="H19" s="6" t="inlineStr">
        <is>
          <t>—</t>
        </is>
      </c>
      <c r="I19" s="6" t="inlineStr">
        <is>
          <t>Adams</t>
        </is>
      </c>
      <c r="J19" s="6" t="inlineStr">
        <is>
          <t>St. Paul Fire and Marine Insurance Co.</t>
        </is>
      </c>
      <c r="K19" s="6" t="inlineStr">
        <is>
          <t>St. Paul Fire and Marine Insurance Co.</t>
        </is>
      </c>
      <c r="L19" s="6" t="inlineStr">
        <is>
          <t>Industrial - Warehouse</t>
        </is>
      </c>
      <c r="M19" s="6" t="inlineStr">
        <is>
          <t>Multi-tenant (5 units)</t>
        </is>
      </c>
      <c r="N19" s="8" t="n"/>
      <c r="O19" s="8" t="n"/>
      <c r="P19" s="6" t="n"/>
      <c r="Q19" s="8" t="n">
        <v>117329</v>
      </c>
      <c r="R19" s="6" t="n"/>
      <c r="S19" s="6" t="inlineStr">
        <is>
          <t>—</t>
        </is>
      </c>
      <c r="T19" s="6" t="inlineStr">
        <is>
          <t>100% (0 SF vacant)</t>
        </is>
      </c>
      <c r="U19" s="9" t="n"/>
      <c r="V19" s="5" t="inlineStr">
        <is>
          <t>2025 (SB 11-119 submission)</t>
        </is>
      </c>
      <c r="W19" s="9" t="inlineStr">
        <is>
          <t>—</t>
        </is>
      </c>
      <c r="X19" s="6" t="inlineStr">
        <is>
          <t>—</t>
        </is>
      </c>
      <c r="Y19" s="6" t="inlineStr">
        <is>
          <t>R0084249.pdf</t>
        </is>
      </c>
    </row>
    <row r="20">
      <c r="A20" s="6" t="inlineStr">
        <is>
          <t>R0084250</t>
        </is>
      </c>
      <c r="B20" s="6" t="inlineStr">
        <is>
          <t>R0084250</t>
        </is>
      </c>
      <c r="C20" s="6" t="inlineStr">
        <is>
          <t>bt42569</t>
        </is>
      </c>
      <c r="D20" s="6" t="inlineStr">
        <is>
          <t>3250 Abilene St</t>
        </is>
      </c>
      <c r="E20" s="6" t="inlineStr">
        <is>
          <t>3250 Abilene St</t>
        </is>
      </c>
      <c r="F20" s="6" t="inlineStr">
        <is>
          <t>Aurora</t>
        </is>
      </c>
      <c r="G20" s="5" t="inlineStr">
        <is>
          <t>CO</t>
        </is>
      </c>
      <c r="H20" s="6" t="inlineStr">
        <is>
          <t>—</t>
        </is>
      </c>
      <c r="I20" s="6" t="inlineStr">
        <is>
          <t>Adams</t>
        </is>
      </c>
      <c r="J20" s="6" t="inlineStr">
        <is>
          <t>(not stated; Yardi Prior-Owner book)</t>
        </is>
      </c>
      <c r="K20" s="6" t="inlineStr">
        <is>
          <t>—</t>
        </is>
      </c>
      <c r="L20" s="6" t="inlineStr">
        <is>
          <t>Industrial - Warehouse</t>
        </is>
      </c>
      <c r="M20" s="6" t="inlineStr">
        <is>
          <t>3 units (1 occupied)</t>
        </is>
      </c>
      <c r="N20" s="8" t="n"/>
      <c r="O20" s="8" t="n"/>
      <c r="P20" s="6" t="n"/>
      <c r="Q20" s="8" t="n">
        <v>231842</v>
      </c>
      <c r="R20" s="6" t="n"/>
      <c r="S20" s="6" t="inlineStr">
        <is>
          <t>—</t>
        </is>
      </c>
      <c r="T20" s="6" t="inlineStr">
        <is>
          <t>30% (161,638 SF vacant 6/30/24)</t>
        </is>
      </c>
      <c r="U20" s="9" t="n"/>
      <c r="V20" s="5" t="inlineStr">
        <is>
          <t>—</t>
        </is>
      </c>
      <c r="W20" s="9" t="inlineStr">
        <is>
          <t>—</t>
        </is>
      </c>
      <c r="X20" s="6" t="inlineStr">
        <is>
          <t>—</t>
        </is>
      </c>
      <c r="Y20" s="6" t="inlineStr">
        <is>
          <t>R0084250.pdf</t>
        </is>
      </c>
    </row>
    <row r="21">
      <c r="A21" s="6" t="inlineStr">
        <is>
          <t>R0084253</t>
        </is>
      </c>
      <c r="B21" s="6" t="inlineStr">
        <is>
          <t>R0084253</t>
        </is>
      </c>
      <c r="C21" s="6" t="inlineStr">
        <is>
          <t>bt46265</t>
        </is>
      </c>
      <c r="D21" s="6" t="inlineStr">
        <is>
          <t>14509 E. 33rd Pl</t>
        </is>
      </c>
      <c r="E21" s="6" t="inlineStr">
        <is>
          <t>14509 E. 33rd Pl</t>
        </is>
      </c>
      <c r="F21" s="6" t="inlineStr">
        <is>
          <t>Aurora</t>
        </is>
      </c>
      <c r="G21" s="5" t="inlineStr">
        <is>
          <t>CO</t>
        </is>
      </c>
      <c r="H21" s="6" t="inlineStr">
        <is>
          <t>—</t>
        </is>
      </c>
      <c r="I21" s="6" t="inlineStr">
        <is>
          <t>Adams</t>
        </is>
      </c>
      <c r="J21" s="6" t="inlineStr">
        <is>
          <t>(not stated; RCM rent roll)</t>
        </is>
      </c>
      <c r="K21" s="6" t="inlineStr">
        <is>
          <t>—</t>
        </is>
      </c>
      <c r="L21" s="6" t="inlineStr">
        <is>
          <t>Industrial - Warehouse</t>
        </is>
      </c>
      <c r="M21" s="6" t="inlineStr">
        <is>
          <t>Multi-tenant (5 units)</t>
        </is>
      </c>
      <c r="N21" s="8" t="n"/>
      <c r="O21" s="8" t="n"/>
      <c r="P21" s="6" t="n"/>
      <c r="Q21" s="8" t="n">
        <v>151485</v>
      </c>
      <c r="R21" s="6" t="n"/>
      <c r="S21" s="6" t="inlineStr">
        <is>
          <t>—</t>
        </is>
      </c>
      <c r="T21" s="6" t="inlineStr">
        <is>
          <t>100% (0 SF vacant 1/1/24)</t>
        </is>
      </c>
      <c r="U21" s="9" t="n"/>
      <c r="V21" s="5" t="inlineStr">
        <is>
          <t>—</t>
        </is>
      </c>
      <c r="W21" s="9" t="inlineStr">
        <is>
          <t>—</t>
        </is>
      </c>
      <c r="X21" s="6" t="inlineStr">
        <is>
          <t>—</t>
        </is>
      </c>
      <c r="Y21" s="6" t="inlineStr">
        <is>
          <t>R0084253.pdf</t>
        </is>
      </c>
    </row>
    <row r="22">
      <c r="A22" s="6" t="inlineStr">
        <is>
          <t>14705 E 33rd</t>
        </is>
      </c>
      <c r="B22" s="6" t="inlineStr">
        <is>
          <t>(not stated)</t>
        </is>
      </c>
      <c r="C22" s="6" t="inlineStr">
        <is>
          <t>bt46267</t>
        </is>
      </c>
      <c r="D22" s="6" t="inlineStr">
        <is>
          <t>14705 E. 33rd Pl</t>
        </is>
      </c>
      <c r="E22" s="6" t="inlineStr">
        <is>
          <t>14705 E. 33rd Pl</t>
        </is>
      </c>
      <c r="F22" s="6" t="inlineStr">
        <is>
          <t>Aurora</t>
        </is>
      </c>
      <c r="G22" s="5" t="inlineStr">
        <is>
          <t>CO</t>
        </is>
      </c>
      <c r="H22" s="6" t="inlineStr">
        <is>
          <t>—</t>
        </is>
      </c>
      <c r="I22" s="6" t="inlineStr">
        <is>
          <t>Adams</t>
        </is>
      </c>
      <c r="J22" s="6" t="inlineStr">
        <is>
          <t>(not stated; Yardi Prior-Owner book)</t>
        </is>
      </c>
      <c r="K22" s="6" t="inlineStr">
        <is>
          <t>—</t>
        </is>
      </c>
      <c r="L22" s="6" t="inlineStr">
        <is>
          <t>Industrial - Warehouse</t>
        </is>
      </c>
      <c r="M22" s="6" t="inlineStr">
        <is>
          <t>—</t>
        </is>
      </c>
      <c r="N22" s="8" t="n"/>
      <c r="O22" s="8" t="n"/>
      <c r="P22" s="6" t="n"/>
      <c r="Q22" s="8" t="n"/>
      <c r="R22" s="6" t="n"/>
      <c r="S22" s="6" t="inlineStr">
        <is>
          <t>—</t>
        </is>
      </c>
      <c r="T22" s="6" t="inlineStr">
        <is>
          <t>—</t>
        </is>
      </c>
      <c r="U22" s="9" t="n"/>
      <c r="V22" s="5" t="inlineStr">
        <is>
          <t>—</t>
        </is>
      </c>
      <c r="W22" s="9" t="inlineStr">
        <is>
          <t>—</t>
        </is>
      </c>
      <c r="X22" s="6" t="inlineStr">
        <is>
          <t>—</t>
        </is>
      </c>
      <c r="Y22" s="6" t="inlineStr">
        <is>
          <t>R00842532.pdf</t>
        </is>
      </c>
    </row>
    <row r="23">
      <c r="A23" s="6" t="inlineStr">
        <is>
          <t>R0084268</t>
        </is>
      </c>
      <c r="B23" s="6" t="inlineStr">
        <is>
          <t>R0084268</t>
        </is>
      </c>
      <c r="C23" s="6" t="inlineStr">
        <is>
          <t>—</t>
        </is>
      </c>
      <c r="D23" s="6" t="inlineStr">
        <is>
          <t>14501 E. Moncrieff Pl</t>
        </is>
      </c>
      <c r="E23" s="6" t="inlineStr">
        <is>
          <t>14501 E. Moncrieff Pl</t>
        </is>
      </c>
      <c r="F23" s="6" t="inlineStr">
        <is>
          <t>Aurora</t>
        </is>
      </c>
      <c r="G23" s="5" t="inlineStr">
        <is>
          <t>CO</t>
        </is>
      </c>
      <c r="H23" s="6" t="inlineStr">
        <is>
          <t>—</t>
        </is>
      </c>
      <c r="I23" s="6" t="inlineStr">
        <is>
          <t>Adams</t>
        </is>
      </c>
      <c r="J23" s="6" t="inlineStr">
        <is>
          <t>Peterson Moncrieff LLC</t>
        </is>
      </c>
      <c r="K23" s="6" t="inlineStr">
        <is>
          <t>Peterson Moncrieff LLC</t>
        </is>
      </c>
      <c r="L23" s="6" t="inlineStr">
        <is>
          <t>Industrial - Warehouse/Distribution</t>
        </is>
      </c>
      <c r="M23" s="6" t="inlineStr">
        <is>
          <t>Single-tenant (NNN)</t>
        </is>
      </c>
      <c r="N23" s="8" t="n"/>
      <c r="O23" s="8" t="n"/>
      <c r="P23" s="6" t="n"/>
      <c r="Q23" s="8" t="n">
        <v>53200</v>
      </c>
      <c r="R23" s="6" t="n"/>
      <c r="S23" s="6" t="inlineStr">
        <is>
          <t>—</t>
        </is>
      </c>
      <c r="T23" s="6" t="inlineStr">
        <is>
          <t>100% (Highland Cabinetry)</t>
        </is>
      </c>
      <c r="U23" s="9" t="n">
        <v>6596403</v>
      </c>
      <c r="V23" s="5" t="inlineStr">
        <is>
          <t>2025</t>
        </is>
      </c>
      <c r="W23" s="9" t="n">
        <v>3840000</v>
      </c>
      <c r="X23" s="6" t="inlineStr">
        <is>
          <t>—</t>
        </is>
      </c>
      <c r="Y23" s="6" t="inlineStr">
        <is>
          <t>R0084268.pdf</t>
        </is>
      </c>
    </row>
    <row r="24">
      <c r="A24" s="6" t="inlineStr">
        <is>
          <t>R0086203</t>
        </is>
      </c>
      <c r="B24" s="6" t="inlineStr">
        <is>
          <t>R0086203</t>
        </is>
      </c>
      <c r="C24" s="6" t="inlineStr">
        <is>
          <t>R0086203</t>
        </is>
      </c>
      <c r="D24" s="6" t="inlineStr">
        <is>
          <t>Aurora - Uravan (Wagner)</t>
        </is>
      </c>
      <c r="E24" s="6" t="inlineStr">
        <is>
          <t>2420 Uravan St</t>
        </is>
      </c>
      <c r="F24" s="6" t="inlineStr">
        <is>
          <t>Aurora</t>
        </is>
      </c>
      <c r="G24" s="5" t="inlineStr">
        <is>
          <t>CO</t>
        </is>
      </c>
      <c r="H24" s="6" t="inlineStr">
        <is>
          <t>80011</t>
        </is>
      </c>
      <c r="I24" s="6" t="inlineStr">
        <is>
          <t>Adams</t>
        </is>
      </c>
      <c r="J24" s="6" t="inlineStr">
        <is>
          <t>Wagner Equipment Co.</t>
        </is>
      </c>
      <c r="K24" s="6" t="inlineStr">
        <is>
          <t>Wagner Equipment Co.</t>
        </is>
      </c>
      <c r="L24" s="6" t="inlineStr">
        <is>
          <t>Industrial - Warehouse</t>
        </is>
      </c>
      <c r="M24" s="6" t="inlineStr">
        <is>
          <t>Single (proforma)</t>
        </is>
      </c>
      <c r="N24" s="8" t="n">
        <v>2.1</v>
      </c>
      <c r="O24" s="8" t="n">
        <v>91476</v>
      </c>
      <c r="P24" s="6" t="n"/>
      <c r="Q24" s="8" t="n">
        <v>16000</v>
      </c>
      <c r="R24" s="6" t="n">
        <v>1991</v>
      </c>
      <c r="S24" s="6" t="inlineStr">
        <is>
          <t>5.72:1</t>
        </is>
      </c>
      <c r="T24" s="6" t="inlineStr">
        <is>
          <t>90% (proforma)</t>
        </is>
      </c>
      <c r="U24" s="9" t="n">
        <v>2808794</v>
      </c>
      <c r="V24" s="5" t="inlineStr">
        <is>
          <t>2025</t>
        </is>
      </c>
      <c r="W24" s="9" t="n">
        <v>1573700</v>
      </c>
      <c r="X24" s="6" t="inlineStr">
        <is>
          <t>—</t>
        </is>
      </c>
      <c r="Y24" s="6" t="inlineStr">
        <is>
          <t>R0086203.pdf</t>
        </is>
      </c>
    </row>
  </sheetData>
  <mergeCells count="2"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Marion, I-25 Corp Center, Majestic, Fraser, 14501 E 35th)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  <row r="27">
      <c r="A27" s="10" t="inlineStr">
        <is>
          <t>460-550 E. 76th Ave 'I-25 Corporate Center' (R0070622-27) — WPC Corporate LLC  |  Rent Roll as of 12/31/2024 (Colliers). Monthly CAM col = operating-expense billing; tax/ins/admin billings in Notes.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1" t="n"/>
    </row>
    <row r="28">
      <c r="A28" s="6" t="inlineStr">
        <is>
          <t>I-25 Corp Center</t>
        </is>
      </c>
      <c r="B28" s="6" t="inlineStr">
        <is>
          <t>425-101-CU</t>
        </is>
      </c>
      <c r="C28" s="6" t="inlineStr">
        <is>
          <t>B R Printers, Inc.</t>
        </is>
      </c>
      <c r="D28" s="6" t="inlineStr">
        <is>
          <t>Lease</t>
        </is>
      </c>
      <c r="E28" s="22" t="n">
        <v>14830.83</v>
      </c>
      <c r="F28" s="22" t="n">
        <v>177969.96</v>
      </c>
      <c r="G28" s="16" t="n">
        <v>7.98</v>
      </c>
      <c r="H28" s="5" t="inlineStr">
        <is>
          <t>4/1/2016</t>
        </is>
      </c>
      <c r="I28" s="5" t="inlineStr">
        <is>
          <t>3/31/2025</t>
        </is>
      </c>
      <c r="J28" s="5" t="inlineStr">
        <is>
          <t>108 mo</t>
        </is>
      </c>
      <c r="K28" s="22" t="n">
        <v>1244</v>
      </c>
      <c r="L28" s="6" t="inlineStr">
        <is>
          <t>—</t>
        </is>
      </c>
      <c r="M28" s="6" t="inlineStr">
        <is>
          <t>22,302 SF; +RE tax $8,169/mo, other $226/mo</t>
        </is>
      </c>
    </row>
    <row r="29">
      <c r="A29" s="6" t="inlineStr">
        <is>
          <t>I-25 Corp Center</t>
        </is>
      </c>
      <c r="B29" s="6" t="inlineStr">
        <is>
          <t>425-201-CU</t>
        </is>
      </c>
      <c r="C29" s="6" t="inlineStr">
        <is>
          <t>Northglenn Winlectric</t>
        </is>
      </c>
      <c r="D29" s="6" t="inlineStr">
        <is>
          <t>Lease</t>
        </is>
      </c>
      <c r="E29" s="22" t="n">
        <v>20626.67</v>
      </c>
      <c r="F29" s="22" t="n">
        <v>247520.04</v>
      </c>
      <c r="G29" s="16" t="n">
        <v>4</v>
      </c>
      <c r="H29" s="5" t="inlineStr">
        <is>
          <t>4/1/2022</t>
        </is>
      </c>
      <c r="I29" s="5" t="inlineStr">
        <is>
          <t>2/28/2030</t>
        </is>
      </c>
      <c r="J29" s="5" t="inlineStr">
        <is>
          <t>95 mo</t>
        </is>
      </c>
      <c r="K29" s="22" t="n">
        <v>3816</v>
      </c>
      <c r="L29" s="6" t="inlineStr">
        <is>
          <t>—</t>
        </is>
      </c>
      <c r="M29" s="6" t="inlineStr">
        <is>
          <t>61,880 SF; steps 5/1/25 $21,658 → 5/1/29 $25,783.33; +tax $9,591/mo, other $619/mo</t>
        </is>
      </c>
    </row>
    <row r="30">
      <c r="A30" s="6" t="inlineStr">
        <is>
          <t>I-25 Corp Center</t>
        </is>
      </c>
      <c r="B30" s="6" t="inlineStr">
        <is>
          <t>425-202,202B-CU</t>
        </is>
      </c>
      <c r="C30" s="6" t="inlineStr">
        <is>
          <t>** VACANT **</t>
        </is>
      </c>
      <c r="D30" s="6" t="inlineStr">
        <is>
          <t>—</t>
        </is>
      </c>
      <c r="E30" s="22" t="n">
        <v>0</v>
      </c>
      <c r="F30" s="22" t="n">
        <v>0</v>
      </c>
      <c r="G30" s="16" t="n"/>
      <c r="H30" s="5" t="inlineStr">
        <is>
          <t>—</t>
        </is>
      </c>
      <c r="I30" s="5" t="inlineStr">
        <is>
          <t>—</t>
        </is>
      </c>
      <c r="J30" s="5" t="inlineStr">
        <is>
          <t>—</t>
        </is>
      </c>
      <c r="K30" s="9" t="n"/>
      <c r="L30" s="6" t="inlineStr">
        <is>
          <t>—</t>
        </is>
      </c>
      <c r="M30" s="6" t="inlineStr">
        <is>
          <t>76,733 SF vacant at 12/31/2024 (23.19% of NRA)</t>
        </is>
      </c>
    </row>
    <row r="31">
      <c r="A31" s="6" t="inlineStr">
        <is>
          <t>I-25 Corp Center</t>
        </is>
      </c>
      <c r="B31" s="6" t="inlineStr">
        <is>
          <t>425-202D-CU</t>
        </is>
      </c>
      <c r="C31" s="6" t="inlineStr">
        <is>
          <t>Denver Winair</t>
        </is>
      </c>
      <c r="D31" s="6" t="inlineStr">
        <is>
          <t>Lease</t>
        </is>
      </c>
      <c r="E31" s="22" t="n">
        <v>5290.67</v>
      </c>
      <c r="F31" s="22" t="n">
        <v>63488.04</v>
      </c>
      <c r="G31" s="16" t="n">
        <v>4</v>
      </c>
      <c r="H31" s="5" t="inlineStr">
        <is>
          <t>1/1/2024</t>
        </is>
      </c>
      <c r="I31" s="5" t="inlineStr">
        <is>
          <t>2/28/2030</t>
        </is>
      </c>
      <c r="J31" s="5" t="inlineStr">
        <is>
          <t>74 mo</t>
        </is>
      </c>
      <c r="K31" s="22" t="n">
        <v>979</v>
      </c>
      <c r="L31" s="6" t="inlineStr">
        <is>
          <t>—</t>
        </is>
      </c>
      <c r="M31" s="6" t="inlineStr">
        <is>
          <t>15,872 SF; steps 1/1/25 $5,555.20 → 1/1/29 $6,613.33; +tax $2,460/mo, other $159/mo</t>
        </is>
      </c>
    </row>
    <row r="32">
      <c r="A32" s="6" t="inlineStr">
        <is>
          <t>I-25 Corp Center</t>
        </is>
      </c>
      <c r="B32" s="6" t="inlineStr">
        <is>
          <t>425-301-CU</t>
        </is>
      </c>
      <c r="C32" s="6" t="inlineStr">
        <is>
          <t>Environmental Seed Westcom</t>
        </is>
      </c>
      <c r="D32" s="6" t="inlineStr">
        <is>
          <t>Lease</t>
        </is>
      </c>
      <c r="E32" s="22" t="n">
        <v>7525.87</v>
      </c>
      <c r="F32" s="22" t="n">
        <v>90310.44</v>
      </c>
      <c r="G32" s="16" t="n">
        <v>10.3</v>
      </c>
      <c r="H32" s="5" t="inlineStr">
        <is>
          <t>10/1/2024</t>
        </is>
      </c>
      <c r="I32" s="5" t="inlineStr">
        <is>
          <t>4/30/2026</t>
        </is>
      </c>
      <c r="J32" s="5" t="inlineStr">
        <is>
          <t>19 mo</t>
        </is>
      </c>
      <c r="K32" s="22" t="n">
        <v>760</v>
      </c>
      <c r="L32" s="6" t="inlineStr">
        <is>
          <t>—</t>
        </is>
      </c>
      <c r="M32" s="6" t="inlineStr">
        <is>
          <t>8,768 SF; step 5/1/25 $7,788.91; +tax $2,864/mo, other $88/mo</t>
        </is>
      </c>
    </row>
    <row r="33">
      <c r="A33" s="6" t="inlineStr">
        <is>
          <t>I-25 Corp Center</t>
        </is>
      </c>
      <c r="B33" s="6" t="inlineStr">
        <is>
          <t>425-302-CU</t>
        </is>
      </c>
      <c r="C33" s="6" t="inlineStr">
        <is>
          <t>Radica</t>
        </is>
      </c>
      <c r="D33" s="6" t="inlineStr">
        <is>
          <t>Lease</t>
        </is>
      </c>
      <c r="E33" s="22" t="n">
        <v>15198.52</v>
      </c>
      <c r="F33" s="22" t="n">
        <v>182382.24</v>
      </c>
      <c r="G33" s="16" t="n">
        <v>9.25</v>
      </c>
      <c r="H33" s="5" t="inlineStr">
        <is>
          <t>11/1/2023</t>
        </is>
      </c>
      <c r="I33" s="5" t="inlineStr">
        <is>
          <t>12/31/2028</t>
        </is>
      </c>
      <c r="J33" s="5" t="inlineStr">
        <is>
          <t>62 mo</t>
        </is>
      </c>
      <c r="K33" s="22" t="n">
        <v>1714</v>
      </c>
      <c r="L33" s="6" t="inlineStr">
        <is>
          <t>—</t>
        </is>
      </c>
      <c r="M33" s="6" t="inlineStr">
        <is>
          <t>19,717 SF; steps 1/1/25 $15,724.31 → 1/1/28 $17,449.55; +tax $6,439/mo, other $200/mo</t>
        </is>
      </c>
    </row>
    <row r="34">
      <c r="A34" s="6" t="inlineStr">
        <is>
          <t>I-25 Corp Center</t>
        </is>
      </c>
      <c r="B34" s="6" t="inlineStr">
        <is>
          <t>425-401-CU</t>
        </is>
      </c>
      <c r="C34" s="6" t="inlineStr">
        <is>
          <t>Kiosk Innovations Corporation</t>
        </is>
      </c>
      <c r="D34" s="6" t="inlineStr">
        <is>
          <t>Lease</t>
        </is>
      </c>
      <c r="E34" s="22" t="n">
        <v>11227.5</v>
      </c>
      <c r="F34" s="22" t="n">
        <v>134730</v>
      </c>
      <c r="G34" s="16" t="n">
        <v>10</v>
      </c>
      <c r="H34" s="5" t="inlineStr">
        <is>
          <t>8/1/2018</t>
        </is>
      </c>
      <c r="I34" s="5" t="inlineStr">
        <is>
          <t>7/31/2025</t>
        </is>
      </c>
      <c r="J34" s="5" t="inlineStr">
        <is>
          <t>84 mo</t>
        </is>
      </c>
      <c r="K34" s="22" t="n">
        <v>1060</v>
      </c>
      <c r="L34" s="6" t="inlineStr">
        <is>
          <t>—</t>
        </is>
      </c>
      <c r="M34" s="6" t="inlineStr">
        <is>
          <t>13,473 SF; +tax $2,889/mo, other $136/mo</t>
        </is>
      </c>
    </row>
    <row r="35">
      <c r="A35" s="6" t="inlineStr">
        <is>
          <t>I-25 Corp Center</t>
        </is>
      </c>
      <c r="B35" s="6" t="inlineStr">
        <is>
          <t>425-401A-CU</t>
        </is>
      </c>
      <c r="C35" s="6" t="inlineStr">
        <is>
          <t>B R Printers, Inc.</t>
        </is>
      </c>
      <c r="D35" s="6" t="inlineStr">
        <is>
          <t>Lease</t>
        </is>
      </c>
      <c r="E35" s="22" t="n">
        <v>12969.5</v>
      </c>
      <c r="F35" s="22" t="n">
        <v>155634</v>
      </c>
      <c r="G35" s="16" t="n">
        <v>7.98</v>
      </c>
      <c r="H35" s="5" t="inlineStr">
        <is>
          <t>4/1/2016</t>
        </is>
      </c>
      <c r="I35" s="5" t="inlineStr">
        <is>
          <t>3/31/2025</t>
        </is>
      </c>
      <c r="J35" s="5" t="inlineStr">
        <is>
          <t>108 mo</t>
        </is>
      </c>
      <c r="K35" s="22" t="n">
        <v>1532</v>
      </c>
      <c r="L35" s="6" t="inlineStr">
        <is>
          <t>—</t>
        </is>
      </c>
      <c r="M35" s="6" t="inlineStr">
        <is>
          <t>19,503 SF; +tax $4,181/mo, other $197/mo</t>
        </is>
      </c>
    </row>
    <row r="36">
      <c r="A36" s="6" t="inlineStr">
        <is>
          <t>I-25 Corp Center</t>
        </is>
      </c>
      <c r="B36" s="6" t="inlineStr">
        <is>
          <t>425-402-CU</t>
        </is>
      </c>
      <c r="C36" s="6" t="inlineStr">
        <is>
          <t>Bella Restoration Services</t>
        </is>
      </c>
      <c r="D36" s="6" t="inlineStr">
        <is>
          <t>Lease</t>
        </is>
      </c>
      <c r="E36" s="22" t="n">
        <v>8031.54</v>
      </c>
      <c r="F36" s="22" t="n">
        <v>96378.48</v>
      </c>
      <c r="G36" s="16" t="n">
        <v>8.49</v>
      </c>
      <c r="H36" s="5" t="inlineStr">
        <is>
          <t>7/1/2022</t>
        </is>
      </c>
      <c r="I36" s="5" t="inlineStr">
        <is>
          <t>8/31/2026</t>
        </is>
      </c>
      <c r="J36" s="5" t="inlineStr">
        <is>
          <t>50 mo</t>
        </is>
      </c>
      <c r="K36" s="22" t="n">
        <v>892</v>
      </c>
      <c r="L36" s="6" t="inlineStr">
        <is>
          <t>—</t>
        </is>
      </c>
      <c r="M36" s="6" t="inlineStr">
        <is>
          <t>11,352 SF; steps 7/1/25 $8,268.04, 7/1/26 $8,514.00; +tax $2,434/mo, other $115/mo</t>
        </is>
      </c>
    </row>
    <row r="37">
      <c r="A37" s="6" t="inlineStr">
        <is>
          <t>I-25 Corp Center</t>
        </is>
      </c>
      <c r="B37" s="6" t="inlineStr">
        <is>
          <t>425-502-CU</t>
        </is>
      </c>
      <c r="C37" s="6" t="inlineStr">
        <is>
          <t>Northglenn Winnelson</t>
        </is>
      </c>
      <c r="D37" s="6" t="inlineStr">
        <is>
          <t>Lease</t>
        </is>
      </c>
      <c r="E37" s="22" t="n">
        <v>18728.5</v>
      </c>
      <c r="F37" s="22" t="n">
        <v>224742</v>
      </c>
      <c r="G37" s="16" t="n">
        <v>8.4</v>
      </c>
      <c r="H37" s="5" t="inlineStr">
        <is>
          <t>2/1/2017</t>
        </is>
      </c>
      <c r="I37" s="5" t="inlineStr">
        <is>
          <t>3/15/2027</t>
        </is>
      </c>
      <c r="J37" s="5" t="inlineStr">
        <is>
          <t>121 mo</t>
        </is>
      </c>
      <c r="K37" s="22" t="n">
        <v>2755</v>
      </c>
      <c r="L37" s="6" t="inlineStr">
        <is>
          <t>—</t>
        </is>
      </c>
      <c r="M37" s="6" t="inlineStr">
        <is>
          <t>26,755 SF; steps 3/1/25 $18,958.65 → 4/1/26 $19,620.33; +tax $7,617/mo, other $271/mo</t>
        </is>
      </c>
    </row>
    <row r="38">
      <c r="A38" s="6" t="inlineStr">
        <is>
          <t>I-25 Corp Center</t>
        </is>
      </c>
      <c r="B38" s="6" t="inlineStr">
        <is>
          <t>425-504-CU</t>
        </is>
      </c>
      <c r="C38" s="6" t="inlineStr">
        <is>
          <t>Oak Tree Enterprise, LLC</t>
        </is>
      </c>
      <c r="D38" s="6" t="inlineStr">
        <is>
          <t>Lease</t>
        </is>
      </c>
      <c r="E38" s="22" t="n">
        <v>5375.23</v>
      </c>
      <c r="F38" s="22" t="n">
        <v>64502.76</v>
      </c>
      <c r="G38" s="16" t="n">
        <v>9.789999999999999</v>
      </c>
      <c r="H38" s="5" t="inlineStr">
        <is>
          <t>6/1/2023</t>
        </is>
      </c>
      <c r="I38" s="5" t="inlineStr">
        <is>
          <t>3/31/2026</t>
        </is>
      </c>
      <c r="J38" s="5" t="inlineStr">
        <is>
          <t>34 mo</t>
        </is>
      </c>
      <c r="K38" s="22" t="n">
        <v>679</v>
      </c>
      <c r="L38" s="6" t="inlineStr">
        <is>
          <t>—</t>
        </is>
      </c>
      <c r="M38" s="6" t="inlineStr">
        <is>
          <t>6,592 SF; step 6/1/25 $5,536.48; +tax $1,877/mo, other $67/mo</t>
        </is>
      </c>
    </row>
    <row r="39">
      <c r="A39" s="6" t="inlineStr">
        <is>
          <t>I-25 Corp Center</t>
        </is>
      </c>
      <c r="B39" s="6" t="inlineStr">
        <is>
          <t>425-505-CU</t>
        </is>
      </c>
      <c r="C39" s="6" t="inlineStr">
        <is>
          <t>Window World Inc.</t>
        </is>
      </c>
      <c r="D39" s="6" t="inlineStr">
        <is>
          <t>Lease</t>
        </is>
      </c>
      <c r="E39" s="22" t="n">
        <v>4262.5</v>
      </c>
      <c r="F39" s="22" t="n">
        <v>51150</v>
      </c>
      <c r="G39" s="16" t="n">
        <v>7.75</v>
      </c>
      <c r="H39" s="5" t="inlineStr">
        <is>
          <t>4/1/2019</t>
        </is>
      </c>
      <c r="I39" s="5" t="inlineStr">
        <is>
          <t>3/31/2026</t>
        </is>
      </c>
      <c r="J39" s="5" t="inlineStr">
        <is>
          <t>84 mo</t>
        </is>
      </c>
      <c r="K39" s="22" t="n">
        <v>680</v>
      </c>
      <c r="L39" s="6" t="inlineStr">
        <is>
          <t>—</t>
        </is>
      </c>
      <c r="M39" s="6" t="inlineStr">
        <is>
          <t>6,600 SF; step 4/1/25 $4,372.50; +tax $1,879/mo, other $67/mo</t>
        </is>
      </c>
    </row>
    <row r="40">
      <c r="A40" s="6" t="inlineStr">
        <is>
          <t>I-25 Corp Center</t>
        </is>
      </c>
      <c r="B40" s="6" t="inlineStr">
        <is>
          <t>425-602,602C-CU</t>
        </is>
      </c>
      <c r="C40" s="6" t="inlineStr">
        <is>
          <t>North Denver Winair Co.</t>
        </is>
      </c>
      <c r="D40" s="6" t="inlineStr">
        <is>
          <t>Lease</t>
        </is>
      </c>
      <c r="E40" s="22" t="n">
        <v>14080.41</v>
      </c>
      <c r="F40" s="22" t="n">
        <v>168964.92</v>
      </c>
      <c r="G40" s="16" t="n">
        <v>8.41</v>
      </c>
      <c r="H40" s="5" t="inlineStr">
        <is>
          <t>1/1/2021</t>
        </is>
      </c>
      <c r="I40" s="5" t="inlineStr">
        <is>
          <t>12/31/2026</t>
        </is>
      </c>
      <c r="J40" s="5" t="inlineStr">
        <is>
          <t>72 mo</t>
        </is>
      </c>
      <c r="K40" s="22" t="n">
        <v>1571</v>
      </c>
      <c r="L40" s="6" t="inlineStr">
        <is>
          <t>—</t>
        </is>
      </c>
      <c r="M40" s="6" t="inlineStr">
        <is>
          <t>20,086 SF (2 units; 602 from 2/1/2019); steps 2/1/25 $14,498.97, 2/1/26 $14,925.96; +tax $6,473/mo, other $203/mo</t>
        </is>
      </c>
    </row>
    <row r="41">
      <c r="A41" s="6" t="inlineStr">
        <is>
          <t>I-25 Corp Center</t>
        </is>
      </c>
      <c r="B41" s="6" t="inlineStr">
        <is>
          <t>425-603-CU</t>
        </is>
      </c>
      <c r="C41" s="6" t="inlineStr">
        <is>
          <t>Environmental Seed Westcom</t>
        </is>
      </c>
      <c r="D41" s="6" t="inlineStr">
        <is>
          <t>Lease</t>
        </is>
      </c>
      <c r="E41" s="22" t="n">
        <v>18284.21</v>
      </c>
      <c r="F41" s="22" t="n">
        <v>219410.52</v>
      </c>
      <c r="G41" s="16" t="n">
        <v>10.3</v>
      </c>
      <c r="H41" s="5" t="inlineStr">
        <is>
          <t>5/1/2018</t>
        </is>
      </c>
      <c r="I41" s="5" t="inlineStr">
        <is>
          <t>4/30/2026</t>
        </is>
      </c>
      <c r="J41" s="5" t="inlineStr">
        <is>
          <t>96 mo</t>
        </is>
      </c>
      <c r="K41" s="22" t="n">
        <v>1669</v>
      </c>
      <c r="L41" s="6" t="inlineStr">
        <is>
          <t>—</t>
        </is>
      </c>
      <c r="M41" s="6" t="inlineStr">
        <is>
          <t>21,302 SF; step 5/1/25 $18,923.27; +tax $6,870/mo, other $213/mo</t>
        </is>
      </c>
    </row>
    <row r="42">
      <c r="A42" s="11" t="inlineStr">
        <is>
          <t>I-25 Corp Center</t>
        </is>
      </c>
      <c r="B42" s="12" t="inlineStr">
        <is>
          <t>TOTALS</t>
        </is>
      </c>
      <c r="C42" s="12" t="inlineStr">
        <is>
          <t>Total scheduled monthly rent</t>
        </is>
      </c>
      <c r="D42" s="13" t="n"/>
      <c r="E42" s="23">
        <f>SUM(E28:E41)</f>
        <v/>
      </c>
      <c r="F42" s="23">
        <f>SUM(F28:F41)</f>
        <v/>
      </c>
      <c r="G42" s="13" t="n"/>
      <c r="H42" s="13" t="n"/>
      <c r="I42" s="13" t="n"/>
      <c r="J42" s="13" t="n"/>
      <c r="K42" s="23">
        <f>SUM(K28:K41)</f>
        <v/>
      </c>
      <c r="L42" s="13" t="n"/>
      <c r="M42" s="15" t="inlineStr">
        <is>
          <t>Printed roll totals: monthly $156,432 / annual $1,877,183; 330,935 SF total, 254,202 occupied, 76,733 vacant (23%). Avg rent $7.38 PSF.</t>
        </is>
      </c>
    </row>
    <row r="43">
      <c r="A43" s="10" t="inlineStr">
        <is>
          <t>20901 E. 32nd Pkwy 'Majestic Commercenter' (R0083953) — WPC ABC LLC  |  Rent Roll as of 12/31/2024 (Colliers); 200,000 SF, 0% vacant</t>
        </is>
      </c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1" t="n"/>
    </row>
    <row r="44">
      <c r="A44" s="6" t="inlineStr">
        <is>
          <t>Majestic Commercenter</t>
        </is>
      </c>
      <c r="B44" s="6" t="inlineStr">
        <is>
          <t>455-A-CU</t>
        </is>
      </c>
      <c r="C44" s="6" t="inlineStr">
        <is>
          <t>Zayo Group</t>
        </is>
      </c>
      <c r="D44" s="6" t="inlineStr">
        <is>
          <t>Lease</t>
        </is>
      </c>
      <c r="E44" s="22" t="n">
        <v>16875</v>
      </c>
      <c r="F44" s="22" t="n">
        <v>202500</v>
      </c>
      <c r="G44" s="16" t="n">
        <v>4.05</v>
      </c>
      <c r="H44" s="5" t="inlineStr">
        <is>
          <t>5/1/2020</t>
        </is>
      </c>
      <c r="I44" s="5" t="inlineStr">
        <is>
          <t>10/31/2027</t>
        </is>
      </c>
      <c r="J44" s="5" t="inlineStr">
        <is>
          <t>90 mo</t>
        </is>
      </c>
      <c r="K44" s="22" t="n">
        <v>3004</v>
      </c>
      <c r="L44" s="6" t="inlineStr">
        <is>
          <t>—</t>
        </is>
      </c>
      <c r="M44" s="6" t="inlineStr">
        <is>
          <t>50,000 SF; steps 11/1/25 $17,375, 11/1/26 $17,916.67; +RE tax $10,414/mo, other $674/mo</t>
        </is>
      </c>
    </row>
    <row r="45">
      <c r="A45" s="6" t="inlineStr">
        <is>
          <t>Majestic Commercenter</t>
        </is>
      </c>
      <c r="B45" s="6" t="inlineStr">
        <is>
          <t>455-B-CU</t>
        </is>
      </c>
      <c r="C45" s="6" t="inlineStr">
        <is>
          <t>Tritz Pallet</t>
        </is>
      </c>
      <c r="D45" s="6" t="inlineStr">
        <is>
          <t>Lease</t>
        </is>
      </c>
      <c r="E45" s="22" t="n">
        <v>10000</v>
      </c>
      <c r="F45" s="22" t="n">
        <v>120000</v>
      </c>
      <c r="G45" s="16" t="n">
        <v>2.4</v>
      </c>
      <c r="H45" s="5" t="inlineStr">
        <is>
          <t>4/1/2021</t>
        </is>
      </c>
      <c r="I45" s="5" t="inlineStr">
        <is>
          <t>2/28/2025</t>
        </is>
      </c>
      <c r="J45" s="5" t="inlineStr">
        <is>
          <t>47 mo</t>
        </is>
      </c>
      <c r="K45" s="22" t="n">
        <v>3008</v>
      </c>
      <c r="L45" s="6" t="inlineStr">
        <is>
          <t>—</t>
        </is>
      </c>
      <c r="M45" s="6" t="inlineStr">
        <is>
          <t>50,000 SF; +tax $10,414/mo, other $674/mo</t>
        </is>
      </c>
    </row>
    <row r="46">
      <c r="A46" s="6" t="inlineStr">
        <is>
          <t>Majestic Commercenter</t>
        </is>
      </c>
      <c r="B46" s="6" t="inlineStr">
        <is>
          <t>455-C-CU</t>
        </is>
      </c>
      <c r="C46" s="6" t="inlineStr">
        <is>
          <t>Peco Pallet</t>
        </is>
      </c>
      <c r="D46" s="6" t="inlineStr">
        <is>
          <t>Lease</t>
        </is>
      </c>
      <c r="E46" s="22" t="n">
        <v>16250</v>
      </c>
      <c r="F46" s="22" t="n">
        <v>195000</v>
      </c>
      <c r="G46" s="16" t="n">
        <v>3.9</v>
      </c>
      <c r="H46" s="5" t="inlineStr">
        <is>
          <t>4/1/2020</t>
        </is>
      </c>
      <c r="I46" s="5" t="inlineStr">
        <is>
          <t>3/31/2030</t>
        </is>
      </c>
      <c r="J46" s="5" t="inlineStr">
        <is>
          <t>120 mo</t>
        </is>
      </c>
      <c r="K46" s="22" t="n">
        <v>2994</v>
      </c>
      <c r="L46" s="6" t="inlineStr">
        <is>
          <t>—</t>
        </is>
      </c>
      <c r="M46" s="6" t="inlineStr">
        <is>
          <t>50,000 SF; steps 4/1/25 $18,542 → 4/1/29 $21,042; +tax $10,414/mo, other $674/mo</t>
        </is>
      </c>
    </row>
    <row r="47">
      <c r="A47" s="6" t="inlineStr">
        <is>
          <t>Majestic Commercenter</t>
        </is>
      </c>
      <c r="B47" s="6" t="inlineStr">
        <is>
          <t>455-D-CU</t>
        </is>
      </c>
      <c r="C47" s="6" t="inlineStr">
        <is>
          <t>Tritz Pallet</t>
        </is>
      </c>
      <c r="D47" s="6" t="inlineStr">
        <is>
          <t>Lease</t>
        </is>
      </c>
      <c r="E47" s="22" t="n">
        <v>15833</v>
      </c>
      <c r="F47" s="22" t="n">
        <v>189996</v>
      </c>
      <c r="G47" s="16" t="n">
        <v>3.8</v>
      </c>
      <c r="H47" s="5" t="inlineStr">
        <is>
          <t>11/1/2019</t>
        </is>
      </c>
      <c r="I47" s="5" t="inlineStr">
        <is>
          <t>2/28/2025</t>
        </is>
      </c>
      <c r="J47" s="5" t="inlineStr">
        <is>
          <t>64 mo</t>
        </is>
      </c>
      <c r="K47" s="22" t="n">
        <v>2983</v>
      </c>
      <c r="L47" s="6" t="inlineStr">
        <is>
          <t>—</t>
        </is>
      </c>
      <c r="M47" s="6" t="inlineStr">
        <is>
          <t>50,000 SF; +tax $10,414/mo, other $674/mo</t>
        </is>
      </c>
    </row>
    <row r="48">
      <c r="A48" s="11" t="inlineStr">
        <is>
          <t>Majestic Commercenter</t>
        </is>
      </c>
      <c r="B48" s="12" t="inlineStr">
        <is>
          <t>TOTALS</t>
        </is>
      </c>
      <c r="C48" s="12" t="inlineStr">
        <is>
          <t>Total scheduled monthly rent</t>
        </is>
      </c>
      <c r="D48" s="13" t="n"/>
      <c r="E48" s="23">
        <f>SUM(E44:E47)</f>
        <v/>
      </c>
      <c r="F48" s="23">
        <f>SUM(F44:F47)</f>
        <v/>
      </c>
      <c r="G48" s="13" t="n"/>
      <c r="H48" s="13" t="n"/>
      <c r="I48" s="13" t="n"/>
      <c r="J48" s="13" t="n"/>
      <c r="K48" s="23">
        <f>SUM(K44:K47)</f>
        <v/>
      </c>
      <c r="L48" s="13" t="n"/>
      <c r="M48" s="15" t="inlineStr">
        <is>
          <t>Printed roll totals: monthly $58,958 / annual $707,496; avg rent $3.54 PSF; avg recoverable expense $0.16 PSF other + $2.50 tax + $0.72 CAM.</t>
        </is>
      </c>
    </row>
    <row r="49">
      <c r="A49" s="10" t="inlineStr">
        <is>
          <t>3254 Fraser St (R0084233/R0084262) — St. Paul Fire &amp; Marine  |  Rent Roll as of 6/30/2024 (Colliers); 119,200 SF, 0 vacant</t>
        </is>
      </c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1" t="n"/>
    </row>
    <row r="50">
      <c r="A50" s="6" t="inlineStr">
        <is>
          <t>3254 Fraser St</t>
        </is>
      </c>
      <c r="B50" s="6" t="inlineStr">
        <is>
          <t>8501-A-CU</t>
        </is>
      </c>
      <c r="C50" s="6" t="inlineStr">
        <is>
          <t>Safelite Fulfillment, Inc.</t>
        </is>
      </c>
      <c r="D50" s="6" t="inlineStr">
        <is>
          <t>Lease</t>
        </is>
      </c>
      <c r="E50" s="22" t="n">
        <v>26137.5</v>
      </c>
      <c r="F50" s="22" t="n">
        <v>313650</v>
      </c>
      <c r="G50" s="16" t="n">
        <v>6.15</v>
      </c>
      <c r="H50" s="5" t="inlineStr">
        <is>
          <t>4/1/2011</t>
        </is>
      </c>
      <c r="I50" s="5" t="inlineStr">
        <is>
          <t>5/31/2026</t>
        </is>
      </c>
      <c r="J50" s="5" t="inlineStr">
        <is>
          <t>181 mo</t>
        </is>
      </c>
      <c r="K50" s="22" t="n">
        <v>3806</v>
      </c>
      <c r="L50" s="6" t="inlineStr">
        <is>
          <t>—</t>
        </is>
      </c>
      <c r="M50" s="6" t="inlineStr">
        <is>
          <t>51,000 SF; step 6/1/25 $26,775; +RE tax $14,412/mo, other $785/mo</t>
        </is>
      </c>
    </row>
    <row r="51">
      <c r="A51" s="6" t="inlineStr">
        <is>
          <t>3254 Fraser St</t>
        </is>
      </c>
      <c r="B51" s="6" t="inlineStr">
        <is>
          <t>8501-B-CU</t>
        </is>
      </c>
      <c r="C51" s="6" t="inlineStr">
        <is>
          <t>ThyssenKrupp Materials NA Inc.</t>
        </is>
      </c>
      <c r="D51" s="6" t="inlineStr">
        <is>
          <t>Lease</t>
        </is>
      </c>
      <c r="E51" s="22" t="n">
        <v>19452.33</v>
      </c>
      <c r="F51" s="22" t="n">
        <v>233427.96</v>
      </c>
      <c r="G51" s="16" t="n">
        <v>6.7</v>
      </c>
      <c r="H51" s="5" t="inlineStr">
        <is>
          <t>11/1/2018</t>
        </is>
      </c>
      <c r="I51" s="5" t="inlineStr">
        <is>
          <t>1/31/2029</t>
        </is>
      </c>
      <c r="J51" s="5" t="inlineStr">
        <is>
          <t>123 mo</t>
        </is>
      </c>
      <c r="K51" s="22" t="n">
        <v>2600</v>
      </c>
      <c r="L51" s="6" t="inlineStr">
        <is>
          <t>—</t>
        </is>
      </c>
      <c r="M51" s="6" t="inlineStr">
        <is>
          <t>34,840 SF; steps 2/1/25 $20,091.07 → 2/1/28 $22,094.37; +tax $9,846/mo, other $536/mo</t>
        </is>
      </c>
    </row>
    <row r="52">
      <c r="A52" s="6" t="inlineStr">
        <is>
          <t>3254 Fraser St</t>
        </is>
      </c>
      <c r="B52" s="6" t="inlineStr">
        <is>
          <t>8501-C-CU</t>
        </is>
      </c>
      <c r="C52" s="6" t="inlineStr">
        <is>
          <t>2M Company Inc</t>
        </is>
      </c>
      <c r="D52" s="6" t="inlineStr">
        <is>
          <t>Lease</t>
        </is>
      </c>
      <c r="E52" s="22" t="n">
        <v>16263</v>
      </c>
      <c r="F52" s="22" t="n">
        <v>195156</v>
      </c>
      <c r="G52" s="16" t="n">
        <v>5.85</v>
      </c>
      <c r="H52" s="5" t="inlineStr">
        <is>
          <t>4/1/2018</t>
        </is>
      </c>
      <c r="I52" s="5" t="inlineStr">
        <is>
          <t>6/30/2025</t>
        </is>
      </c>
      <c r="J52" s="5" t="inlineStr">
        <is>
          <t>87 mo</t>
        </is>
      </c>
      <c r="K52" s="22" t="n">
        <v>2489</v>
      </c>
      <c r="L52" s="6" t="inlineStr">
        <is>
          <t>—</t>
        </is>
      </c>
      <c r="M52" s="6" t="inlineStr">
        <is>
          <t>33,360 SF; rent from 7/1/24 (printed $5.75 PSF reflects pre-7/2024 rent $15,985); +tax $9,427/mo, other $514/mo</t>
        </is>
      </c>
    </row>
    <row r="53">
      <c r="A53" s="6" t="inlineStr">
        <is>
          <t>3254 Fraser St</t>
        </is>
      </c>
      <c r="B53" s="6" t="inlineStr">
        <is>
          <t>8501-LOT-CU</t>
        </is>
      </c>
      <c r="C53" s="6" t="inlineStr">
        <is>
          <t>2M Company Inc (lot)</t>
        </is>
      </c>
      <c r="D53" s="6" t="inlineStr">
        <is>
          <t>Lease</t>
        </is>
      </c>
      <c r="E53" s="22" t="n">
        <v>0</v>
      </c>
      <c r="F53" s="22" t="n">
        <v>0</v>
      </c>
      <c r="G53" s="16" t="n"/>
      <c r="H53" s="5" t="inlineStr">
        <is>
          <t>4/1/2018</t>
        </is>
      </c>
      <c r="I53" s="5" t="inlineStr">
        <is>
          <t>6/30/2025</t>
        </is>
      </c>
      <c r="J53" s="5" t="inlineStr">
        <is>
          <t>—</t>
        </is>
      </c>
      <c r="K53" s="9" t="n"/>
      <c r="L53" s="6" t="inlineStr">
        <is>
          <t>—</t>
        </is>
      </c>
      <c r="M53" s="6" t="inlineStr">
        <is>
          <t>Yard/lot lease, no separate rent shown</t>
        </is>
      </c>
    </row>
    <row r="54">
      <c r="A54" s="11" t="inlineStr">
        <is>
          <t>3254 Fraser St</t>
        </is>
      </c>
      <c r="B54" s="12" t="inlineStr">
        <is>
          <t>TOTALS</t>
        </is>
      </c>
      <c r="C54" s="12" t="inlineStr">
        <is>
          <t>Total scheduled monthly rent</t>
        </is>
      </c>
      <c r="D54" s="13" t="n"/>
      <c r="E54" s="23">
        <f>SUM(E50:E53)</f>
        <v/>
      </c>
      <c r="F54" s="23">
        <f>SUM(F50:F53)</f>
        <v/>
      </c>
      <c r="G54" s="13" t="n"/>
      <c r="H54" s="13" t="n"/>
      <c r="I54" s="13" t="n"/>
      <c r="J54" s="13" t="n"/>
      <c r="K54" s="23">
        <f>SUM(K50:K53)</f>
        <v/>
      </c>
      <c r="L54" s="13" t="n"/>
      <c r="M54" s="15" t="inlineStr">
        <is>
          <t>Monthly total $61,852.83 matches Dec-2024 income-statement base rent. FY2024 annualized base $742,234; prorated annual per roll $738,898.</t>
        </is>
      </c>
    </row>
    <row r="55">
      <c r="A55" s="10" t="inlineStr">
        <is>
          <t>3650 Fraser St (R0084233/R0084262) — St. Paul Fire &amp; Marine  |  Rent Roll as of 6/30/2024 (Colliers); 121,787 SF, 0 vacant</t>
        </is>
      </c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1" t="n"/>
    </row>
    <row r="56">
      <c r="A56" s="6" t="inlineStr">
        <is>
          <t>3650 Fraser St</t>
        </is>
      </c>
      <c r="B56" s="6" t="inlineStr">
        <is>
          <t>8502-A-CU</t>
        </is>
      </c>
      <c r="C56" s="6" t="inlineStr">
        <is>
          <t>Petco Animal Supplies, Inc.</t>
        </is>
      </c>
      <c r="D56" s="6" t="inlineStr">
        <is>
          <t>Lease</t>
        </is>
      </c>
      <c r="E56" s="22" t="n">
        <v>21370.61</v>
      </c>
      <c r="F56" s="22" t="n">
        <v>256447.32</v>
      </c>
      <c r="G56" s="16" t="n">
        <v>6.33</v>
      </c>
      <c r="H56" s="5" t="inlineStr">
        <is>
          <t>5/1/2005</t>
        </is>
      </c>
      <c r="I56" s="5" t="inlineStr">
        <is>
          <t>8/31/2025</t>
        </is>
      </c>
      <c r="J56" s="5" t="inlineStr">
        <is>
          <t>244 mo</t>
        </is>
      </c>
      <c r="K56" s="22" t="n">
        <v>2921</v>
      </c>
      <c r="L56" s="6" t="inlineStr">
        <is>
          <t>—</t>
        </is>
      </c>
      <c r="M56" s="6" t="inlineStr">
        <is>
          <t>40,513 SF; step 9/1/24 $22,012.06; +RE tax $11,375/mo, other $625/mo</t>
        </is>
      </c>
    </row>
    <row r="57">
      <c r="A57" s="6" t="inlineStr">
        <is>
          <t>3650 Fraser St</t>
        </is>
      </c>
      <c r="B57" s="6" t="inlineStr">
        <is>
          <t>8502-B-CU</t>
        </is>
      </c>
      <c r="C57" s="6" t="inlineStr">
        <is>
          <t>Emser Tile LLC</t>
        </is>
      </c>
      <c r="D57" s="6" t="inlineStr">
        <is>
          <t>Lease</t>
        </is>
      </c>
      <c r="E57" s="22" t="n">
        <v>15188.38</v>
      </c>
      <c r="F57" s="22" t="n">
        <v>182260.56</v>
      </c>
      <c r="G57" s="16" t="n">
        <v>7.47</v>
      </c>
      <c r="H57" s="5" t="inlineStr">
        <is>
          <t>11/1/2009</t>
        </is>
      </c>
      <c r="I57" s="5" t="inlineStr">
        <is>
          <t>1/31/2028</t>
        </is>
      </c>
      <c r="J57" s="5" t="inlineStr">
        <is>
          <t>219 mo</t>
        </is>
      </c>
      <c r="K57" s="22" t="n">
        <v>1759</v>
      </c>
      <c r="L57" s="6" t="inlineStr">
        <is>
          <t>—</t>
        </is>
      </c>
      <c r="M57" s="6" t="inlineStr">
        <is>
          <t>24,399 SF; steps 2/1/25 $15,635.69 → 2/1/27 $16,591.32; +tax $6,851/mo, other $376/mo</t>
        </is>
      </c>
    </row>
    <row r="58">
      <c r="A58" s="6" t="inlineStr">
        <is>
          <t>3650 Fraser St</t>
        </is>
      </c>
      <c r="B58" s="6" t="inlineStr">
        <is>
          <t>8502-C-CU</t>
        </is>
      </c>
      <c r="C58" s="6" t="inlineStr">
        <is>
          <t>Turbo Air Inc</t>
        </is>
      </c>
      <c r="D58" s="6" t="inlineStr">
        <is>
          <t>Lease</t>
        </is>
      </c>
      <c r="E58" s="22" t="n">
        <v>14913.17</v>
      </c>
      <c r="F58" s="22" t="n">
        <v>178958.04</v>
      </c>
      <c r="G58" s="16" t="n">
        <v>6.59</v>
      </c>
      <c r="H58" s="5" t="inlineStr">
        <is>
          <t>6/1/2014</t>
        </is>
      </c>
      <c r="I58" s="5" t="inlineStr">
        <is>
          <t>7/31/2029</t>
        </is>
      </c>
      <c r="J58" s="5" t="inlineStr">
        <is>
          <t>182 mo (extended)</t>
        </is>
      </c>
      <c r="K58" s="22" t="n">
        <v>1958</v>
      </c>
      <c r="L58" s="6" t="inlineStr">
        <is>
          <t>—</t>
        </is>
      </c>
      <c r="M58" s="6" t="inlineStr">
        <is>
          <t>27,156 SF; extended from 7/31/2024; steps 8/1/24 $15,727.85 → 8/1/28 $18,058.74; +tax $7,625/mo, other $419/mo</t>
        </is>
      </c>
    </row>
    <row r="59">
      <c r="A59" s="6" t="inlineStr">
        <is>
          <t>3650 Fraser St</t>
        </is>
      </c>
      <c r="B59" s="6" t="inlineStr">
        <is>
          <t>8502-D-CU</t>
        </is>
      </c>
      <c r="C59" s="6" t="inlineStr">
        <is>
          <t>Assa Abloy Service Centers Inc</t>
        </is>
      </c>
      <c r="D59" s="6" t="inlineStr">
        <is>
          <t>Lease</t>
        </is>
      </c>
      <c r="E59" s="22" t="n">
        <v>15330.05</v>
      </c>
      <c r="F59" s="22" t="n">
        <v>183960.6</v>
      </c>
      <c r="G59" s="16" t="n">
        <v>6.19</v>
      </c>
      <c r="H59" s="5" t="inlineStr">
        <is>
          <t>4/1/2014</t>
        </is>
      </c>
      <c r="I59" s="5" t="inlineStr">
        <is>
          <t>6/30/2029</t>
        </is>
      </c>
      <c r="J59" s="5" t="inlineStr">
        <is>
          <t>183 mo (extended)</t>
        </is>
      </c>
      <c r="K59" s="22" t="n">
        <v>2143</v>
      </c>
      <c r="L59" s="6" t="inlineStr">
        <is>
          <t>—</t>
        </is>
      </c>
      <c r="M59" s="6" t="inlineStr">
        <is>
          <t>29,719 SF; extended from 6/30/2024; steps 7/1/24 $16,716.94 → 7/1/28 $18,995.39; +tax $8,344/mo, other $459/mo</t>
        </is>
      </c>
    </row>
    <row r="60">
      <c r="A60" s="11" t="inlineStr">
        <is>
          <t>3650 Fraser St</t>
        </is>
      </c>
      <c r="B60" s="12" t="inlineStr">
        <is>
          <t>TOTALS</t>
        </is>
      </c>
      <c r="C60" s="12" t="inlineStr">
        <is>
          <t>Total scheduled monthly rent</t>
        </is>
      </c>
      <c r="D60" s="13" t="n"/>
      <c r="E60" s="23">
        <f>SUM(E56:E59)</f>
        <v/>
      </c>
      <c r="F60" s="23">
        <f>SUM(F56:F59)</f>
        <v/>
      </c>
      <c r="G60" s="13" t="n"/>
      <c r="H60" s="13" t="n"/>
      <c r="I60" s="13" t="n"/>
      <c r="J60" s="13" t="n"/>
      <c r="K60" s="23">
        <f>SUM(K56:K59)</f>
        <v/>
      </c>
      <c r="L60" s="13" t="n"/>
      <c r="M60" s="15" t="inlineStr">
        <is>
          <t>Rents shown at 6/30/2024 step level; Dec-2024 income-statement base rent was $69,645.23/mo after 2024 steps took effect.</t>
        </is>
      </c>
    </row>
    <row r="61">
      <c r="A61" s="10" t="inlineStr">
        <is>
          <t>14501 E. 35th Pl (R0084237) — St. Paul Fire &amp; Marine  |  From Denver Industrial Portfolio rent rolls (Bldg 20); 156,838 SF</t>
        </is>
      </c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1" t="n"/>
    </row>
    <row r="62">
      <c r="A62" s="6" t="inlineStr">
        <is>
          <t>14501 E. 35th Pl</t>
        </is>
      </c>
      <c r="B62" s="6" t="inlineStr">
        <is>
          <t>14501-100 (whole)</t>
        </is>
      </c>
      <c r="C62" s="6" t="inlineStr">
        <is>
          <t>Mountain States Logistics (Symbia Logistics)</t>
        </is>
      </c>
      <c r="D62" s="6" t="inlineStr">
        <is>
          <t>Lease (expired)</t>
        </is>
      </c>
      <c r="E62" s="22" t="n">
        <v>58160.76</v>
      </c>
      <c r="F62" s="22" t="n">
        <v>697929.12</v>
      </c>
      <c r="G62" s="16" t="n">
        <v>4.45</v>
      </c>
      <c r="H62" s="5" t="inlineStr">
        <is>
          <t>3/1/2017</t>
        </is>
      </c>
      <c r="I62" s="5" t="inlineStr">
        <is>
          <t>3/31/2024</t>
        </is>
      </c>
      <c r="J62" s="5" t="inlineStr">
        <is>
          <t>85 mo</t>
        </is>
      </c>
      <c r="K62" s="22" t="n">
        <v>4100</v>
      </c>
      <c r="L62" s="6" t="n">
        <v>46870</v>
      </c>
      <c r="M62" s="6" t="inlineStr">
        <is>
          <t>156,838 SF; Dec-2023 roll; vacated at expiration. Monthly recoveries incl. RE tax $40,324 &amp; HVAC/R&amp;M billback $51,556.75; admin fee fixed $20,340/yr</t>
        </is>
      </c>
    </row>
    <row r="63">
      <c r="A63" s="6" t="inlineStr">
        <is>
          <t>14501 E. 35th Pl</t>
        </is>
      </c>
      <c r="B63" s="6" t="inlineStr">
        <is>
          <t>14501-300</t>
        </is>
      </c>
      <c r="C63" s="6" t="inlineStr">
        <is>
          <t>Colorado Industrial Packaging</t>
        </is>
      </c>
      <c r="D63" s="6" t="inlineStr">
        <is>
          <t>Lease</t>
        </is>
      </c>
      <c r="E63" s="22" t="n">
        <v>0</v>
      </c>
      <c r="F63" s="22" t="n">
        <v>0</v>
      </c>
      <c r="G63" s="16" t="n"/>
      <c r="H63" s="5" t="inlineStr">
        <is>
          <t>6/1/2024</t>
        </is>
      </c>
      <c r="I63" s="5" t="inlineStr">
        <is>
          <t>8/31/2029</t>
        </is>
      </c>
      <c r="J63" s="5" t="inlineStr">
        <is>
          <t>63 mo / 1×60-mo opt @FMR</t>
        </is>
      </c>
      <c r="K63" s="22" t="n">
        <v>1844.84</v>
      </c>
      <c r="L63" s="6" t="n">
        <v>33129</v>
      </c>
      <c r="M63" s="6" t="inlineStr">
        <is>
          <t>32,556 SF; base rent abated to 8/31/24, $6.90 PSF from 9/1/24 ($18,720/mo), steps to $8.20 PSF 6/1/29; +tax $8,763/mo; audit right 90 days</t>
        </is>
      </c>
    </row>
    <row r="64">
      <c r="A64" s="6" t="inlineStr">
        <is>
          <t>14501 E. 35th Pl</t>
        </is>
      </c>
      <c r="B64" s="6" t="inlineStr">
        <is>
          <t>14501-100 &amp; -400</t>
        </is>
      </c>
      <c r="C64" s="6" t="inlineStr">
        <is>
          <t>** VACANT **</t>
        </is>
      </c>
      <c r="D64" s="6" t="inlineStr">
        <is>
          <t>—</t>
        </is>
      </c>
      <c r="E64" s="22" t="n">
        <v>0</v>
      </c>
      <c r="F64" s="22" t="n">
        <v>0</v>
      </c>
      <c r="G64" s="16" t="n"/>
      <c r="H64" s="5" t="inlineStr">
        <is>
          <t>—</t>
        </is>
      </c>
      <c r="I64" s="5" t="inlineStr">
        <is>
          <t>—</t>
        </is>
      </c>
      <c r="J64" s="5" t="inlineStr">
        <is>
          <t>—</t>
        </is>
      </c>
      <c r="K64" s="9" t="n"/>
      <c r="L64" s="6" t="inlineStr">
        <is>
          <t>—</t>
        </is>
      </c>
      <c r="M64" s="6" t="inlineStr">
        <is>
          <t>78,694 + 45,588 = 124,282 SF vacant at 6/30/2024 after re-demising</t>
        </is>
      </c>
    </row>
    <row r="65">
      <c r="A65" s="10" t="inlineStr">
        <is>
          <t>1803 E 58th Ave (R0103791) — Arakouzo LLP  |  Owner rent-roll submissions 2019-2022</t>
        </is>
      </c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1" t="n"/>
    </row>
    <row r="66">
      <c r="A66" s="6" t="inlineStr">
        <is>
          <t>1803 E 58th Ave</t>
        </is>
      </c>
      <c r="B66" s="6" t="inlineStr">
        <is>
          <t>Whole bldg</t>
        </is>
      </c>
      <c r="C66" s="6" t="inlineStr">
        <is>
          <t>Harlan Bakeries</t>
        </is>
      </c>
      <c r="D66" s="6" t="inlineStr">
        <is>
          <t>NNN</t>
        </is>
      </c>
      <c r="E66" s="22" t="n">
        <v>20200.37</v>
      </c>
      <c r="F66" s="22" t="n">
        <v>242404.4</v>
      </c>
      <c r="G66" s="16" t="n">
        <v>7.83</v>
      </c>
      <c r="H66" s="5" t="inlineStr">
        <is>
          <t>2017</t>
        </is>
      </c>
      <c r="I66" s="5" t="inlineStr">
        <is>
          <t>2027</t>
        </is>
      </c>
      <c r="J66" s="5" t="inlineStr">
        <is>
          <t>~10 yr</t>
        </is>
      </c>
      <c r="K66" s="9" t="n"/>
      <c r="L66" s="6" t="inlineStr">
        <is>
          <t>—</t>
        </is>
      </c>
      <c r="M66" s="6" t="inlineStr">
        <is>
          <t>30,965 SF. Annual base rent history: 2019 $223,980; 2020 $230,689; 2021 $236,521.04; 2022 $242,404.40 (monthly shown = 2022/12)</t>
        </is>
      </c>
    </row>
    <row r="67">
      <c r="A67" s="10" t="inlineStr">
        <is>
          <t>14200 E. 33rd Pl (R0084249) — St. Paul Fire &amp; Marine  |  Rent Roll as of 6/30/2024 (Colliers); 117,329 SF, 0 vacant</t>
        </is>
      </c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1" t="n"/>
    </row>
    <row r="68">
      <c r="A68" s="6" t="inlineStr">
        <is>
          <t>14200 E. 33rd Pl</t>
        </is>
      </c>
      <c r="B68" s="6" t="inlineStr">
        <is>
          <t>8500-A-CU</t>
        </is>
      </c>
      <c r="C68" s="6" t="inlineStr">
        <is>
          <t>Talley Inc.</t>
        </is>
      </c>
      <c r="D68" s="6" t="inlineStr">
        <is>
          <t>Lease</t>
        </is>
      </c>
      <c r="E68" s="22" t="n">
        <v>15913.34</v>
      </c>
      <c r="F68" s="22" t="n">
        <v>190960.08</v>
      </c>
      <c r="G68" s="16" t="n">
        <v>7.78</v>
      </c>
      <c r="H68" s="5" t="inlineStr">
        <is>
          <t>5/1/2013</t>
        </is>
      </c>
      <c r="I68" s="5" t="inlineStr">
        <is>
          <t>7/31/2025</t>
        </is>
      </c>
      <c r="J68" s="5" t="inlineStr">
        <is>
          <t>147 mo</t>
        </is>
      </c>
      <c r="K68" s="22" t="n">
        <v>1521</v>
      </c>
      <c r="L68" s="6" t="inlineStr">
        <is>
          <t>—</t>
        </is>
      </c>
      <c r="M68" s="6" t="inlineStr">
        <is>
          <t>24,545 SF; step 8/1/24 $16,383.79; +RE tax $6,710/mo, other $378/mo</t>
        </is>
      </c>
    </row>
    <row r="69">
      <c r="A69" s="6" t="inlineStr">
        <is>
          <t>14200 E. 33rd Pl</t>
        </is>
      </c>
      <c r="B69" s="6" t="inlineStr">
        <is>
          <t>8500-A1-CU</t>
        </is>
      </c>
      <c r="C69" s="6" t="inlineStr">
        <is>
          <t>Bay Industries Incorporated</t>
        </is>
      </c>
      <c r="D69" s="6" t="inlineStr">
        <is>
          <t>Lease</t>
        </is>
      </c>
      <c r="E69" s="22" t="n">
        <v>9628.379999999999</v>
      </c>
      <c r="F69" s="22" t="n">
        <v>115540.56</v>
      </c>
      <c r="G69" s="16" t="n">
        <v>5.75</v>
      </c>
      <c r="H69" s="5" t="inlineStr">
        <is>
          <t>7/1/2012</t>
        </is>
      </c>
      <c r="I69" s="5" t="inlineStr">
        <is>
          <t>8/31/2028</t>
        </is>
      </c>
      <c r="J69" s="5" t="inlineStr">
        <is>
          <t>194 mo</t>
        </is>
      </c>
      <c r="K69" s="22" t="n">
        <v>1245</v>
      </c>
      <c r="L69" s="6" t="inlineStr">
        <is>
          <t>—</t>
        </is>
      </c>
      <c r="M69" s="6" t="inlineStr">
        <is>
          <t>20,094 SF; steps 9/1/24 $9,913.04 → 9/1/27 $10,834.02; +tax $5,493/mo, other $309/mo</t>
        </is>
      </c>
    </row>
    <row r="70">
      <c r="A70" s="6" t="inlineStr">
        <is>
          <t>14200 E. 33rd Pl</t>
        </is>
      </c>
      <c r="B70" s="6" t="inlineStr">
        <is>
          <t>8500-A2-CU</t>
        </is>
      </c>
      <c r="C70" s="6" t="inlineStr">
        <is>
          <t>Bay Insulation Supply</t>
        </is>
      </c>
      <c r="D70" s="6" t="inlineStr">
        <is>
          <t>Lease</t>
        </is>
      </c>
      <c r="E70" s="22" t="n">
        <v>9628.379999999999</v>
      </c>
      <c r="F70" s="22" t="n">
        <v>115540.56</v>
      </c>
      <c r="G70" s="16" t="n">
        <v>5.75</v>
      </c>
      <c r="H70" s="5" t="inlineStr">
        <is>
          <t>7/1/2012</t>
        </is>
      </c>
      <c r="I70" s="5" t="inlineStr">
        <is>
          <t>8/31/2028</t>
        </is>
      </c>
      <c r="J70" s="5" t="inlineStr">
        <is>
          <t>194 mo</t>
        </is>
      </c>
      <c r="K70" s="22" t="n">
        <v>1245</v>
      </c>
      <c r="L70" s="6" t="inlineStr">
        <is>
          <t>—</t>
        </is>
      </c>
      <c r="M70" s="6" t="inlineStr">
        <is>
          <t>20,094 SF; steps 9/1/24 $9,913.04 → 9/1/27 $10,834.02; +tax $5,493/mo, other $309/mo</t>
        </is>
      </c>
    </row>
    <row r="71">
      <c r="A71" s="6" t="inlineStr">
        <is>
          <t>14200 E. 33rd Pl</t>
        </is>
      </c>
      <c r="B71" s="6" t="inlineStr">
        <is>
          <t>8500-B-CU</t>
        </is>
      </c>
      <c r="C71" s="6" t="inlineStr">
        <is>
          <t>Bay Industries</t>
        </is>
      </c>
      <c r="D71" s="6" t="inlineStr">
        <is>
          <t>Lease</t>
        </is>
      </c>
      <c r="E71" s="22" t="n">
        <v>10457.49</v>
      </c>
      <c r="F71" s="22" t="n">
        <v>125489.88</v>
      </c>
      <c r="G71" s="16" t="n">
        <v>5.44</v>
      </c>
      <c r="H71" s="5" t="inlineStr">
        <is>
          <t>6/1/2013</t>
        </is>
      </c>
      <c r="I71" s="5" t="inlineStr">
        <is>
          <t>8/31/2026</t>
        </is>
      </c>
      <c r="J71" s="5" t="inlineStr">
        <is>
          <t>159 mo</t>
        </is>
      </c>
      <c r="K71" s="22" t="n">
        <v>1430</v>
      </c>
      <c r="L71" s="6" t="inlineStr">
        <is>
          <t>—</t>
        </is>
      </c>
      <c r="M71" s="6" t="inlineStr">
        <is>
          <t>23,068 SF; steps 9/1/24 $10,745.84, 9/1/25 $11,034.19; +tax $6,306/mo, other $355/mo</t>
        </is>
      </c>
    </row>
    <row r="72">
      <c r="A72" s="6" t="inlineStr">
        <is>
          <t>14200 E. 33rd Pl</t>
        </is>
      </c>
      <c r="B72" s="6" t="inlineStr">
        <is>
          <t>8500-C-CU</t>
        </is>
      </c>
      <c r="C72" s="6" t="inlineStr">
        <is>
          <t>True North Management Services</t>
        </is>
      </c>
      <c r="D72" s="6" t="inlineStr">
        <is>
          <t>Lease</t>
        </is>
      </c>
      <c r="E72" s="22" t="n">
        <v>16855.57</v>
      </c>
      <c r="F72" s="22" t="n">
        <v>202266.84</v>
      </c>
      <c r="G72" s="16" t="n">
        <v>6.85</v>
      </c>
      <c r="H72" s="5" t="inlineStr">
        <is>
          <t>12/1/2022</t>
        </is>
      </c>
      <c r="I72" s="5" t="inlineStr">
        <is>
          <t>2/29/2028</t>
        </is>
      </c>
      <c r="J72" s="5" t="inlineStr">
        <is>
          <t>63 mo</t>
        </is>
      </c>
      <c r="K72" s="22" t="n">
        <v>1830</v>
      </c>
      <c r="L72" s="6" t="inlineStr">
        <is>
          <t>—</t>
        </is>
      </c>
      <c r="M72" s="6" t="inlineStr">
        <is>
          <t>29,528 SF; steps 3/1/25 $17,347.70 → 3/1/27 $18,405.79; +tax $8,072/mo, other $455/mo</t>
        </is>
      </c>
    </row>
    <row r="73">
      <c r="A73" s="11" t="inlineStr">
        <is>
          <t>14200 E. 33rd Pl</t>
        </is>
      </c>
      <c r="B73" s="12" t="inlineStr">
        <is>
          <t>TOTALS</t>
        </is>
      </c>
      <c r="C73" s="12" t="inlineStr">
        <is>
          <t>Total scheduled monthly rent</t>
        </is>
      </c>
      <c r="D73" s="13" t="n"/>
      <c r="E73" s="23">
        <f>SUM(E68:E72)</f>
        <v/>
      </c>
      <c r="F73" s="23">
        <f>SUM(F68:F72)</f>
        <v/>
      </c>
      <c r="G73" s="13" t="n"/>
      <c r="H73" s="13" t="n"/>
      <c r="I73" s="13" t="n"/>
      <c r="J73" s="13" t="n"/>
      <c r="K73" s="23">
        <f>SUM(K68:K72)</f>
        <v/>
      </c>
      <c r="L73" s="13" t="n"/>
      <c r="M73" s="15" t="inlineStr">
        <is>
          <t>Rents at 6/30/2024 step level (sum $62,483.16); Dec-2024 income-statement current base rent $63,811.28 after 8-9/2024 steps.</t>
        </is>
      </c>
    </row>
    <row r="74">
      <c r="A74" s="10" t="inlineStr">
        <is>
          <t>3250 Abilene St (R0084250 / bt42569)  |  Rent Roll as of 6/30/2024; 231,842 SF, 69.7% vacant</t>
        </is>
      </c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1" t="n"/>
    </row>
    <row r="75">
      <c r="A75" s="6" t="inlineStr">
        <is>
          <t>3250 Abilene St</t>
        </is>
      </c>
      <c r="B75" s="6" t="inlineStr">
        <is>
          <t>D</t>
        </is>
      </c>
      <c r="C75" s="6" t="inlineStr">
        <is>
          <t>Flexpak, LLC</t>
        </is>
      </c>
      <c r="D75" s="6" t="inlineStr">
        <is>
          <t>Prorata Share</t>
        </is>
      </c>
      <c r="E75" s="22" t="n">
        <v>26853.03</v>
      </c>
      <c r="F75" s="22" t="n">
        <v>322236.36</v>
      </c>
      <c r="G75" s="16" t="n">
        <v>4.59</v>
      </c>
      <c r="H75" s="5" t="inlineStr">
        <is>
          <t>2/14/2020</t>
        </is>
      </c>
      <c r="I75" s="5" t="inlineStr">
        <is>
          <t>5/31/2030</t>
        </is>
      </c>
      <c r="J75" s="5" t="inlineStr">
        <is>
          <t>124 mo</t>
        </is>
      </c>
      <c r="K75" s="9" t="n"/>
      <c r="L75" s="32" t="n">
        <v>119772.32</v>
      </c>
      <c r="M75" s="6" t="inlineStr">
        <is>
          <t>70,204 SF; recoveries $4.15/SF/yr; total charges $8.74/SF</t>
        </is>
      </c>
    </row>
    <row r="76">
      <c r="A76" s="6" t="inlineStr">
        <is>
          <t>3250 Abilene St</t>
        </is>
      </c>
      <c r="B76" s="6" t="inlineStr">
        <is>
          <t>A (2 units)</t>
        </is>
      </c>
      <c r="C76" s="6" t="inlineStr">
        <is>
          <t>** VACANT **</t>
        </is>
      </c>
      <c r="D76" s="6" t="inlineStr">
        <is>
          <t>—</t>
        </is>
      </c>
      <c r="E76" s="22" t="n">
        <v>0</v>
      </c>
      <c r="F76" s="22" t="n">
        <v>0</v>
      </c>
      <c r="G76" s="16" t="n"/>
      <c r="H76" s="5" t="inlineStr">
        <is>
          <t>—</t>
        </is>
      </c>
      <c r="I76" s="5" t="inlineStr">
        <is>
          <t>—</t>
        </is>
      </c>
      <c r="J76" s="5" t="inlineStr">
        <is>
          <t>—</t>
        </is>
      </c>
      <c r="K76" s="9" t="n"/>
      <c r="L76" s="6" t="inlineStr">
        <is>
          <t>—</t>
        </is>
      </c>
      <c r="M76" s="6" t="inlineStr">
        <is>
          <t>161,638 SF vacant (2 units of 80,819 SF); 69.72% of 231,842 SF total</t>
        </is>
      </c>
    </row>
    <row r="77">
      <c r="A77" s="11" t="inlineStr">
        <is>
          <t>3250 Abilene St</t>
        </is>
      </c>
      <c r="B77" s="12" t="inlineStr">
        <is>
          <t>TOTALS</t>
        </is>
      </c>
      <c r="C77" s="12" t="inlineStr">
        <is>
          <t>Total scheduled monthly rent</t>
        </is>
      </c>
      <c r="D77" s="13" t="n"/>
      <c r="E77" s="23">
        <f>SUM(E75:E76)</f>
        <v/>
      </c>
      <c r="F77" s="23">
        <f>SUM(F75:F76)</f>
        <v/>
      </c>
      <c r="G77" s="13" t="n"/>
      <c r="H77" s="13" t="n"/>
      <c r="I77" s="13" t="n"/>
      <c r="J77" s="13" t="n"/>
      <c r="K77" s="23">
        <f>SUM(K75:K76)</f>
        <v/>
      </c>
      <c r="L77" s="13" t="n"/>
      <c r="M77" s="15" t="inlineStr">
        <is>
          <t>Roll summary: occupied 70,204 SF (30.28%), base rent $322,236.36/yr ($4.59 PSF).</t>
        </is>
      </c>
    </row>
    <row r="78">
      <c r="A78" s="10" t="inlineStr">
        <is>
          <t>14509 E. 33rd Pl (R0084253 / bt46265)  |  Commercial Rent Roll as of 1/1/2024 (RCM); 151,485 SF, 100% occupied</t>
        </is>
      </c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1" t="n"/>
    </row>
    <row r="79">
      <c r="A79" s="6" t="inlineStr">
        <is>
          <t>14509 E. 33rd Pl</t>
        </is>
      </c>
      <c r="B79" s="6" t="inlineStr">
        <is>
          <t>00509A</t>
        </is>
      </c>
      <c r="C79" s="6" t="inlineStr">
        <is>
          <t>Reliance Steel &amp; Aluminum Co.</t>
        </is>
      </c>
      <c r="D79" s="6" t="inlineStr">
        <is>
          <t>NNN CAP</t>
        </is>
      </c>
      <c r="E79" s="22" t="n">
        <v>15878.69</v>
      </c>
      <c r="F79" s="22" t="n">
        <v>190544.28</v>
      </c>
      <c r="G79" s="16" t="n">
        <v>6.83</v>
      </c>
      <c r="H79" s="5" t="inlineStr">
        <is>
          <t>2/1/2009</t>
        </is>
      </c>
      <c r="I79" s="5" t="inlineStr">
        <is>
          <t>3/31/2025</t>
        </is>
      </c>
      <c r="J79" s="5" t="inlineStr">
        <is>
          <t>194 mo (renewed 4/2020, 60 mo)</t>
        </is>
      </c>
      <c r="K79" s="22" t="n">
        <v>1672.81</v>
      </c>
      <c r="L79" s="32" t="n">
        <v>18204</v>
      </c>
      <c r="M79" s="6" t="inlineStr">
        <is>
          <t>27,900 SF (18.42% GLA); step 4/1/24 $16,355.05 ($7.03); recoveries $10,076.86/mo incl. tax $7,372.45</t>
        </is>
      </c>
    </row>
    <row r="80">
      <c r="A80" s="6" t="inlineStr">
        <is>
          <t>14509 E. 33rd Pl</t>
        </is>
      </c>
      <c r="B80" s="6" t="inlineStr">
        <is>
          <t>00509C</t>
        </is>
      </c>
      <c r="C80" s="6" t="inlineStr">
        <is>
          <t>All Packaging Company LLC</t>
        </is>
      </c>
      <c r="D80" s="6" t="inlineStr">
        <is>
          <t>Prorata Share</t>
        </is>
      </c>
      <c r="E80" s="22" t="n">
        <v>21193.38</v>
      </c>
      <c r="F80" s="22" t="n">
        <v>254320.56</v>
      </c>
      <c r="G80" s="16" t="n">
        <v>5.3</v>
      </c>
      <c r="H80" s="5" t="inlineStr">
        <is>
          <t>9/1/2009</t>
        </is>
      </c>
      <c r="I80" s="5" t="inlineStr">
        <is>
          <t>4/30/2025</t>
        </is>
      </c>
      <c r="J80" s="5" t="inlineStr">
        <is>
          <t>188 mo (renewed 5/2020, 60 mo)</t>
        </is>
      </c>
      <c r="K80" s="22" t="n">
        <v>2881.39</v>
      </c>
      <c r="L80" s="32" t="n">
        <v>7000</v>
      </c>
      <c r="M80" s="6" t="inlineStr">
        <is>
          <t>47,985 SF (31.68%); step 5/1/24 $21,833.18 ($5.46); recoveries $18,247.98/mo incl. tax $12,679.82</t>
        </is>
      </c>
    </row>
    <row r="81">
      <c r="A81" s="6" t="inlineStr">
        <is>
          <t>14509 E. 33rd Pl</t>
        </is>
      </c>
      <c r="B81" s="6" t="inlineStr">
        <is>
          <t>00509E</t>
        </is>
      </c>
      <c r="C81" s="6" t="inlineStr">
        <is>
          <t>Intelligent Designs 2000 Corporation</t>
        </is>
      </c>
      <c r="D81" s="6" t="inlineStr">
        <is>
          <t>Prorata Share</t>
        </is>
      </c>
      <c r="E81" s="22" t="n">
        <v>9465.75</v>
      </c>
      <c r="F81" s="22" t="n">
        <v>113589</v>
      </c>
      <c r="G81" s="16" t="n">
        <v>6.01</v>
      </c>
      <c r="H81" s="5" t="inlineStr">
        <is>
          <t>12/13/2012</t>
        </is>
      </c>
      <c r="I81" s="5" t="inlineStr">
        <is>
          <t>3/31/2025</t>
        </is>
      </c>
      <c r="J81" s="5" t="inlineStr">
        <is>
          <t>148 mo (renewed 4/2020, 60 mo)</t>
        </is>
      </c>
      <c r="K81" s="22" t="n">
        <v>1134.9</v>
      </c>
      <c r="L81" s="32" t="n">
        <v>10000</v>
      </c>
      <c r="M81" s="6" t="inlineStr">
        <is>
          <t>18,900 SF (12.48%); step 4/1/24 $9,749.72 ($6.19); recoveries $7,222.28/mo incl. tax $4,994.24</t>
        </is>
      </c>
    </row>
    <row r="82">
      <c r="A82" s="6" t="inlineStr">
        <is>
          <t>14509 E. 33rd Pl</t>
        </is>
      </c>
      <c r="B82" s="6" t="inlineStr">
        <is>
          <t>00509G</t>
        </is>
      </c>
      <c r="C82" s="6" t="inlineStr">
        <is>
          <t>Uzin UTZ North America, Inc.</t>
        </is>
      </c>
      <c r="D82" s="6" t="inlineStr">
        <is>
          <t>Prorata Share</t>
        </is>
      </c>
      <c r="E82" s="22" t="n">
        <v>20578.8</v>
      </c>
      <c r="F82" s="22" t="n">
        <v>246945.6</v>
      </c>
      <c r="G82" s="16" t="n">
        <v>6.47</v>
      </c>
      <c r="H82" s="5" t="inlineStr">
        <is>
          <t>9/1/2008</t>
        </is>
      </c>
      <c r="I82" s="5" t="inlineStr">
        <is>
          <t>4/30/2029</t>
        </is>
      </c>
      <c r="J82" s="5" t="inlineStr">
        <is>
          <t>248 mo (renewed 5/1/2024, 60 mo)</t>
        </is>
      </c>
      <c r="K82" s="22" t="n">
        <v>2291.36</v>
      </c>
      <c r="L82" s="32" t="n">
        <v>40669.68</v>
      </c>
      <c r="M82" s="6" t="inlineStr">
        <is>
          <t>38,159 SF (25.19%); renewal steps 5/1/24 $23,054.40 ($7.25) → 5/1/28 $26,455.45 ($8.32); recoveries $14,662.38/mo incl. tax $10,083.24</t>
        </is>
      </c>
    </row>
    <row r="83">
      <c r="A83" s="6" t="inlineStr">
        <is>
          <t>14509 E. 33rd Pl</t>
        </is>
      </c>
      <c r="B83" s="6" t="inlineStr">
        <is>
          <t>00509H</t>
        </is>
      </c>
      <c r="C83" s="6" t="inlineStr">
        <is>
          <t>Rosenberger Site Solutions, LLC</t>
        </is>
      </c>
      <c r="D83" s="6" t="inlineStr">
        <is>
          <t>Prorata Share</t>
        </is>
      </c>
      <c r="E83" s="22" t="n">
        <v>11402.72</v>
      </c>
      <c r="F83" s="22" t="n">
        <v>136832.64</v>
      </c>
      <c r="G83" s="16" t="n">
        <v>7.38</v>
      </c>
      <c r="H83" s="5" t="inlineStr">
        <is>
          <t>8/1/2018</t>
        </is>
      </c>
      <c r="I83" s="5" t="inlineStr">
        <is>
          <t>8/31/2024</t>
        </is>
      </c>
      <c r="J83" s="5" t="inlineStr">
        <is>
          <t>73 mo (no options)</t>
        </is>
      </c>
      <c r="K83" s="22" t="n">
        <v>1079.1</v>
      </c>
      <c r="L83" s="32" t="n">
        <v>13380.42</v>
      </c>
      <c r="M83" s="6" t="inlineStr">
        <is>
          <t>18,541 SF (12.24%); recoveries $7,107.79/mo incl. tax $4,899.38</t>
        </is>
      </c>
    </row>
    <row r="84">
      <c r="A84" s="11" t="inlineStr">
        <is>
          <t>14509 E. 33rd Pl</t>
        </is>
      </c>
      <c r="B84" s="12" t="inlineStr">
        <is>
          <t>TOTALS</t>
        </is>
      </c>
      <c r="C84" s="12" t="inlineStr">
        <is>
          <t>Total scheduled monthly rent</t>
        </is>
      </c>
      <c r="D84" s="13" t="n"/>
      <c r="E84" s="23">
        <f>SUM(E79:E83)</f>
        <v/>
      </c>
      <c r="F84" s="23">
        <f>SUM(F79:F83)</f>
        <v/>
      </c>
      <c r="G84" s="13" t="n"/>
      <c r="H84" s="13" t="n"/>
      <c r="I84" s="13" t="n"/>
      <c r="J84" s="13" t="n"/>
      <c r="K84" s="23">
        <f>SUM(K79:K83)</f>
        <v/>
      </c>
      <c r="L84" s="13" t="n"/>
      <c r="M84" s="15" t="inlineStr">
        <is>
          <t>Printed roll totals: monthly $78,519.34 / annual $942,232.08 ($6.22 avg PSF); recoveries $57,317.29/mo ($687,807.48/yr).</t>
        </is>
      </c>
    </row>
    <row r="85">
      <c r="A85" s="10" t="inlineStr">
        <is>
          <t>14501 E. Moncrieff Pl (R0084268) — Peterson Moncrieff LLC  |  Rent Roll as of 7/1/2024; 0% vacant</t>
        </is>
      </c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1" t="n"/>
    </row>
    <row r="86">
      <c r="A86" s="6" t="inlineStr">
        <is>
          <t>14501 E. Moncrieff Pl</t>
        </is>
      </c>
      <c r="B86" s="6" t="inlineStr">
        <is>
          <t>5455-1-CU</t>
        </is>
      </c>
      <c r="C86" s="6" t="inlineStr">
        <is>
          <t>Highland Cabinetry, Inc.</t>
        </is>
      </c>
      <c r="D86" s="6" t="inlineStr">
        <is>
          <t>NNN</t>
        </is>
      </c>
      <c r="E86" s="22" t="n">
        <v>21060</v>
      </c>
      <c r="F86" s="22" t="n">
        <v>252720</v>
      </c>
      <c r="G86" s="16" t="n">
        <v>4.75</v>
      </c>
      <c r="H86" s="5" t="inlineStr">
        <is>
          <t>6/1/2019</t>
        </is>
      </c>
      <c r="I86" s="5" t="inlineStr">
        <is>
          <t>8/31/2029</t>
        </is>
      </c>
      <c r="J86" s="5" t="inlineStr">
        <is>
          <t>123 mo</t>
        </is>
      </c>
      <c r="K86" s="22" t="n">
        <v>4117</v>
      </c>
      <c r="L86" s="6" t="inlineStr">
        <is>
          <t>—</t>
        </is>
      </c>
      <c r="M86" s="6" t="inlineStr">
        <is>
          <t>53,200 SF per roll (52,606 SF per 1st Net income approach); +RE tax $10,285/mo, ins/other $1,039/mo; year-end total w/ recoveries $438,012</t>
        </is>
      </c>
    </row>
  </sheetData>
  <mergeCells count="15">
    <mergeCell ref="A1:M1"/>
    <mergeCell ref="A5:M5"/>
    <mergeCell ref="A27:M27"/>
    <mergeCell ref="A67:M67"/>
    <mergeCell ref="A61:M61"/>
    <mergeCell ref="A74:M74"/>
    <mergeCell ref="A18:M18"/>
    <mergeCell ref="A78:M78"/>
    <mergeCell ref="A21:M21"/>
    <mergeCell ref="A55:M55"/>
    <mergeCell ref="A65:M65"/>
    <mergeCell ref="A43:M43"/>
    <mergeCell ref="A2:M2"/>
    <mergeCell ref="A49:M49"/>
    <mergeCell ref="A85:M8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1">
      <c r="A11" s="6" t="inlineStr">
        <is>
          <t>460-550 E 76th Ave (R0070622-27)</t>
        </is>
      </c>
      <c r="B11" s="5" t="inlineStr">
        <is>
          <t>2025</t>
        </is>
      </c>
      <c r="C11" s="9" t="n">
        <v>47464870</v>
      </c>
      <c r="D11" s="22" t="n">
        <v>143.43</v>
      </c>
      <c r="E11" s="9" t="n">
        <v>32000000</v>
      </c>
      <c r="F11" s="22" t="n">
        <v>96.7</v>
      </c>
      <c r="G11" s="9" t="n"/>
      <c r="H11" s="6" t="inlineStr">
        <is>
          <t>500_E_76TH_AVE.pdf</t>
        </is>
      </c>
    </row>
    <row r="12" ht="28" customHeight="1">
      <c r="A12" s="6" t="inlineStr">
        <is>
          <t>20901 E 32nd Pkwy (R0083953)</t>
        </is>
      </c>
      <c r="B12" s="5" t="inlineStr">
        <is>
          <t>2023</t>
        </is>
      </c>
      <c r="C12" s="9" t="n">
        <v>12539259</v>
      </c>
      <c r="D12" s="22" t="n">
        <v>62.7</v>
      </c>
      <c r="E12" s="9" t="n">
        <v>11306000</v>
      </c>
      <c r="F12" s="22" t="n">
        <v>56.53</v>
      </c>
      <c r="G12" s="9" t="n"/>
      <c r="H12" s="6" t="inlineStr">
        <is>
          <t>R0083953.pdf</t>
        </is>
      </c>
    </row>
    <row r="13">
      <c r="A13" s="6" t="inlineStr">
        <is>
          <t>1803 E 58th Ave (R0103791)</t>
        </is>
      </c>
      <c r="B13" s="5" t="inlineStr">
        <is>
          <t>2023</t>
        </is>
      </c>
      <c r="C13" s="9" t="n"/>
      <c r="D13" s="22" t="n"/>
      <c r="E13" s="9" t="n">
        <v>2899541</v>
      </c>
      <c r="F13" s="22" t="n">
        <v>93.64</v>
      </c>
      <c r="G13" s="9" t="n"/>
      <c r="H13" s="6" t="inlineStr">
        <is>
          <t>R0103791.pdf (county value not stated in package)</t>
        </is>
      </c>
    </row>
    <row r="14">
      <c r="A14" s="6" t="inlineStr">
        <is>
          <t>14501 E Moncrieff Pl (R0084268)</t>
        </is>
      </c>
      <c r="B14" s="5" t="inlineStr">
        <is>
          <t>2025</t>
        </is>
      </c>
      <c r="C14" s="9" t="n">
        <v>6596403</v>
      </c>
      <c r="D14" s="22" t="n">
        <v>124</v>
      </c>
      <c r="E14" s="9" t="n">
        <v>3840000</v>
      </c>
      <c r="F14" s="22" t="n">
        <v>72.18000000000001</v>
      </c>
      <c r="G14" s="9" t="n"/>
      <c r="H14" s="6" t="inlineStr">
        <is>
          <t>R0084268.pdf (letter $3,840,000; analysis $3,838,140)</t>
        </is>
      </c>
    </row>
    <row r="15" ht="30" customHeight="1">
      <c r="A15" s="6" t="inlineStr">
        <is>
          <t>2420 Uravan St (R0086203)</t>
        </is>
      </c>
      <c r="B15" s="5" t="inlineStr">
        <is>
          <t>2025</t>
        </is>
      </c>
      <c r="C15" s="9" t="n">
        <v>2808794</v>
      </c>
      <c r="D15" s="22" t="n">
        <v>175.55</v>
      </c>
      <c r="E15" s="9" t="n">
        <v>1573700</v>
      </c>
      <c r="F15" s="22" t="n">
        <v>98.36</v>
      </c>
      <c r="G15" s="9" t="n">
        <v>2139300</v>
      </c>
      <c r="H15" s="6" t="inlineStr">
        <is>
          <t>R0086203.pdf</t>
        </is>
      </c>
    </row>
    <row r="17">
      <c r="A17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  E 76th Ave: protest letter cites county value $44,788,554 &amp; owner opinion $32,000,000; 1st Net protest list shows $47,464,870 county / $21,725,000 1st Net value — all reproduced as printed.</t>
        </is>
      </c>
      <c r="B17" s="20" t="n"/>
      <c r="C17" s="20" t="n"/>
      <c r="D17" s="20" t="n"/>
      <c r="E17" s="20" t="n"/>
      <c r="F17" s="20" t="n"/>
      <c r="G17" s="20" t="n"/>
      <c r="H17" s="21" t="n"/>
    </row>
    <row r="19">
      <c r="A19" s="17" t="inlineStr">
        <is>
          <t>B. Income-Approach Proformas</t>
        </is>
      </c>
      <c r="B19" s="20" t="n"/>
      <c r="C19" s="20" t="n"/>
      <c r="D19" s="20" t="n"/>
      <c r="E19" s="20" t="n"/>
      <c r="F19" s="20" t="n"/>
      <c r="G19" s="20" t="n"/>
      <c r="H19" s="21" t="n"/>
    </row>
    <row r="20">
      <c r="A20" s="4" t="inlineStr">
        <is>
          <t>Property</t>
        </is>
      </c>
      <c r="B20" s="4" t="inlineStr">
        <is>
          <t>PGI</t>
        </is>
      </c>
      <c r="C20" s="4" t="inlineStr">
        <is>
          <t>Vacancy</t>
        </is>
      </c>
      <c r="D20" s="4" t="inlineStr">
        <is>
          <t>EGI</t>
        </is>
      </c>
      <c r="E20" s="4" t="inlineStr">
        <is>
          <t>Operating Exp</t>
        </is>
      </c>
      <c r="F20" s="4" t="inlineStr">
        <is>
          <t>NOI</t>
        </is>
      </c>
      <c r="G20" s="4" t="inlineStr">
        <is>
          <t>Cap Rate</t>
        </is>
      </c>
      <c r="H20" s="4" t="inlineStr">
        <is>
          <t>Indicated Value</t>
        </is>
      </c>
    </row>
    <row r="21">
      <c r="A21" s="6" t="inlineStr">
        <is>
          <t>7205 Gilpin Way</t>
        </is>
      </c>
      <c r="B21" s="9" t="n">
        <v>359394</v>
      </c>
      <c r="C21" s="9" t="n">
        <v>-17970</v>
      </c>
      <c r="D21" s="9" t="n">
        <v>341424</v>
      </c>
      <c r="E21" s="9" t="n">
        <v>-27314</v>
      </c>
      <c r="F21" s="14" t="n">
        <v>314110</v>
      </c>
      <c r="G21" s="19" t="n">
        <v>0.065</v>
      </c>
      <c r="H21" s="14" t="n">
        <v>4832500</v>
      </c>
    </row>
    <row r="22" ht="28" customHeight="1">
      <c r="A22" s="6" t="inlineStr">
        <is>
          <t>17608 E. 24th Dr</t>
        </is>
      </c>
      <c r="B22" s="9" t="n">
        <v>209100</v>
      </c>
      <c r="C22" s="9" t="n">
        <v>-10455</v>
      </c>
      <c r="D22" s="9" t="n">
        <v>198645</v>
      </c>
      <c r="E22" s="9" t="n">
        <v>-15892</v>
      </c>
      <c r="F22" s="14" t="n">
        <v>182753</v>
      </c>
      <c r="G22" s="19" t="n">
        <v>0.06</v>
      </c>
      <c r="H22" s="14" t="n">
        <v>3050000</v>
      </c>
    </row>
    <row r="23">
      <c r="A23" s="6" t="inlineStr">
        <is>
          <t>12260 Pennsylvania St</t>
        </is>
      </c>
      <c r="B23" s="9" t="n">
        <v>237290</v>
      </c>
      <c r="C23" s="9" t="n">
        <v>-16610</v>
      </c>
      <c r="D23" s="9" t="n">
        <v>220680</v>
      </c>
      <c r="E23" s="9" t="n">
        <v>-22068</v>
      </c>
      <c r="F23" s="14" t="n">
        <v>198612</v>
      </c>
      <c r="G23" s="19" t="n">
        <v>0.07000000000000001</v>
      </c>
      <c r="H23" s="14" t="n">
        <v>2837000</v>
      </c>
    </row>
    <row r="24">
      <c r="A24" s="6" t="inlineStr">
        <is>
          <t>6770 E. 56th Ave</t>
        </is>
      </c>
      <c r="B24" s="9" t="n">
        <v>115824</v>
      </c>
      <c r="C24" s="9" t="n">
        <v>-5791</v>
      </c>
      <c r="D24" s="9" t="n">
        <v>110033</v>
      </c>
      <c r="E24" s="9" t="n">
        <v>-5502</v>
      </c>
      <c r="F24" s="14" t="n">
        <v>104531</v>
      </c>
      <c r="G24" s="19" t="n">
        <v>0.07000000000000001</v>
      </c>
      <c r="H24" s="14" t="n">
        <v>1493302</v>
      </c>
    </row>
    <row r="25">
      <c r="A25" s="6" t="inlineStr">
        <is>
          <t>5970 Marion Drive (mkt)</t>
        </is>
      </c>
      <c r="B25" s="9" t="n">
        <v>172800</v>
      </c>
      <c r="C25" s="9" t="n">
        <v>-8640</v>
      </c>
      <c r="D25" s="9" t="n">
        <v>164160</v>
      </c>
      <c r="E25" s="9" t="n">
        <v>-4223</v>
      </c>
      <c r="F25" s="14" t="n">
        <v>159937</v>
      </c>
      <c r="G25" s="19" t="n">
        <v>0.065</v>
      </c>
      <c r="H25" s="14" t="n">
        <v>2460577</v>
      </c>
    </row>
    <row r="26">
      <c r="A26" s="6" t="inlineStr">
        <is>
          <t>I-25 Corp Center (2024 actual)</t>
        </is>
      </c>
      <c r="B26" s="9" t="n">
        <v>2750538</v>
      </c>
      <c r="C26" s="9" t="inlineStr">
        <is>
          <t>—</t>
        </is>
      </c>
      <c r="D26" s="9" t="n">
        <v>2750538</v>
      </c>
      <c r="E26" s="9" t="n">
        <v>-1279108</v>
      </c>
      <c r="F26" s="14" t="n">
        <v>1471430</v>
      </c>
      <c r="G26" s="19" t="n">
        <v>0.065</v>
      </c>
      <c r="H26" s="14" t="n">
        <v>22637387</v>
      </c>
    </row>
    <row r="27">
      <c r="A27" s="6" t="inlineStr">
        <is>
          <t>I-25 Corp Center (stabilized)</t>
        </is>
      </c>
      <c r="B27" s="9" t="n">
        <v>2442300</v>
      </c>
      <c r="C27" s="9" t="n">
        <v>-122115</v>
      </c>
      <c r="D27" s="9" t="n">
        <v>2320185</v>
      </c>
      <c r="E27" s="9" t="n">
        <v>-185615</v>
      </c>
      <c r="F27" s="14" t="n">
        <v>2134570</v>
      </c>
      <c r="G27" s="19" t="n">
        <v>0.065</v>
      </c>
      <c r="H27" s="14" t="n">
        <v>32839546</v>
      </c>
    </row>
    <row r="28">
      <c r="A28" s="6" t="inlineStr">
        <is>
          <t>Majestic Commercenter (2024)</t>
        </is>
      </c>
      <c r="B28" s="9" t="n">
        <v>1361973</v>
      </c>
      <c r="C28" s="9" t="inlineStr">
        <is>
          <t>—</t>
        </is>
      </c>
      <c r="D28" s="9" t="n">
        <v>1361973</v>
      </c>
      <c r="E28" s="9" t="n">
        <v>-627099</v>
      </c>
      <c r="F28" s="14" t="n">
        <v>734874</v>
      </c>
      <c r="G28" s="19" t="n">
        <v>0.065</v>
      </c>
      <c r="H28" s="14" t="n">
        <v>11305758</v>
      </c>
    </row>
    <row r="29">
      <c r="A29" s="6" t="inlineStr">
        <is>
          <t>1803 E 58th (2021-22 actuals)</t>
        </is>
      </c>
      <c r="B29" s="9" t="inlineStr">
        <is>
          <t>—</t>
        </is>
      </c>
      <c r="C29" s="9" t="inlineStr">
        <is>
          <t>—</t>
        </is>
      </c>
      <c r="D29" s="9" t="n">
        <v>303912</v>
      </c>
      <c r="E29" s="9" t="n">
        <v>-13737</v>
      </c>
      <c r="F29" s="14" t="n">
        <v>290175</v>
      </c>
      <c r="G29" s="19" t="n">
        <v>0.100076</v>
      </c>
      <c r="H29" s="14" t="n">
        <v>2899541</v>
      </c>
    </row>
    <row r="30">
      <c r="A30" s="6" t="inlineStr">
        <is>
          <t>14501 Moncrieff (contract rent)</t>
        </is>
      </c>
      <c r="B30" s="9" t="n">
        <v>249879</v>
      </c>
      <c r="C30" s="9" t="n">
        <v>-12494</v>
      </c>
      <c r="D30" s="9" t="n">
        <v>237385</v>
      </c>
      <c r="E30" s="9" t="n">
        <v>-18991</v>
      </c>
      <c r="F30" s="14" t="n">
        <v>218394</v>
      </c>
      <c r="G30" s="19" t="n">
        <v>0.065</v>
      </c>
      <c r="H30" s="14" t="n">
        <v>3359905</v>
      </c>
    </row>
    <row r="31">
      <c r="A31" s="6" t="inlineStr">
        <is>
          <t>2420 Uravan (proforma)</t>
        </is>
      </c>
      <c r="B31" s="9" t="n">
        <v>136000</v>
      </c>
      <c r="C31" s="9" t="n">
        <v>-13600</v>
      </c>
      <c r="D31" s="9" t="n">
        <v>122400</v>
      </c>
      <c r="E31" s="9" t="n">
        <v>-12240</v>
      </c>
      <c r="F31" s="14" t="n">
        <v>110160</v>
      </c>
      <c r="G31" s="19" t="n">
        <v>0.07000000000000001</v>
      </c>
      <c r="H31" s="14" t="n">
        <v>1573700</v>
      </c>
    </row>
    <row r="33">
      <c r="A33" s="18" t="inlineStr">
        <is>
          <t>Proforma vacancy/EGI figures as reported by each preparer (Ryan, Property Tax Advisors, 1st Net, or owner's analysis). 5970 Marion figures are from the owner's income-approach block in the 2024 P&amp;L workbook (PGI $172,800, 95% occ, NOI $159,938, 6.5% cap → $2,460,577; assigned $2,527,915). I-25 Corp Center (1st Net): 2024-actual approach caps net rental income $1,471,430 at 6.5% → $22,637,387; stabilized approach ($7.38 face rent, 5% vac, $0.08 exp) → $32,839,546 less lease-up costs $1,023,935 → FINAL indicated $31,815,611; sales grid selected $32,343,372. Majestic (1st Net): 2024 net income $734,874 at 6.5% → $11,305,758 (2024 mill levy 0.130073). 1803 E 58th (Property Tax Advisors): EGI = annualized 2021-22 actual income; overall rate 10.0076% = 7.00% cap + 3.01% effective tax rate. 14501 Moncrieff (1st Net): contract-rent NOI $218,394 at 6.5% → $3,359,905, plus PV of below-market rent ($103,450/yr × 4.62288 PW, 6 yrs @8%) $478,236 → final $3,838,140. 2420 Uravan (Ryan): $8.50 face rent, 10% vacancy, 10% EGI expenses, 7.0% cap.</t>
        </is>
      </c>
      <c r="B33" s="20" t="n"/>
      <c r="C33" s="20" t="n"/>
      <c r="D33" s="20" t="n"/>
      <c r="E33" s="20" t="n"/>
      <c r="F33" s="20" t="n"/>
      <c r="G33" s="20" t="n"/>
      <c r="H33" s="21" t="n"/>
    </row>
  </sheetData>
  <mergeCells count="6">
    <mergeCell ref="A4:H4"/>
    <mergeCell ref="A2:H2"/>
    <mergeCell ref="A19:H19"/>
    <mergeCell ref="A33:H33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>
      <c r="A9" s="11" t="inlineStr">
        <is>
          <t>9345/9335 Elm Ct (TARA) — FY2023</t>
        </is>
      </c>
      <c r="B9" s="22" t="n">
        <v>211025.04</v>
      </c>
      <c r="C9" s="22" t="n">
        <v>16850.27</v>
      </c>
      <c r="D9" s="23">
        <f>B9-C9</f>
        <v/>
      </c>
      <c r="E9" s="6" t="inlineStr">
        <is>
          <t>R0048725 2023-24 P&amp;L (accrual; incl. mortgage interest)</t>
        </is>
      </c>
    </row>
    <row r="10" ht="28" customHeight="1">
      <c r="A10" s="11" t="inlineStr">
        <is>
          <t>9345/9335 Elm Ct (TARA) — FY2024</t>
        </is>
      </c>
      <c r="B10" s="22" t="n">
        <v>217426.64</v>
      </c>
      <c r="C10" s="22" t="n">
        <v>32673.88</v>
      </c>
      <c r="D10" s="23">
        <f>B10-C10</f>
        <v/>
      </c>
      <c r="E10" s="6" t="inlineStr">
        <is>
          <t>R0048725 P&amp;L (accrual; incl. $5,162.81 other interest expense)</t>
        </is>
      </c>
    </row>
    <row r="11">
      <c r="A11" s="11" t="inlineStr">
        <is>
          <t>I-25 Corp Center (460-550 E 76th) — FY2024</t>
        </is>
      </c>
      <c r="B11" s="22" t="n">
        <v>2750538.25</v>
      </c>
      <c r="C11" s="22" t="n">
        <v>2601154.02</v>
      </c>
      <c r="D11" s="23">
        <f>B11-C11</f>
        <v/>
      </c>
      <c r="E11" s="6" t="inlineStr">
        <is>
          <t>Income stmt 12/31/24 (accrual; incl. interest, principal, TI/leasing &amp; capex)</t>
        </is>
      </c>
    </row>
    <row r="12">
      <c r="A12" s="11" t="inlineStr">
        <is>
          <t>Majestic Commercenter (20901 E 32nd) — FY2024</t>
        </is>
      </c>
      <c r="B12" s="22" t="n">
        <v>1361972.79</v>
      </c>
      <c r="C12" s="22" t="n">
        <v>684100.1800000001</v>
      </c>
      <c r="D12" s="23">
        <f>B12-C12</f>
        <v/>
      </c>
      <c r="E12" s="6" t="inlineStr">
        <is>
          <t>Income stmt 12/31/24 (incl. lease commissions $71,251)</t>
        </is>
      </c>
    </row>
    <row r="13">
      <c r="A13" s="11" t="inlineStr">
        <is>
          <t>3254 Fraser St — FY2023</t>
        </is>
      </c>
      <c r="B13" s="22" t="n">
        <v>1219707.89</v>
      </c>
      <c r="C13" s="22" t="n">
        <v>569974.73</v>
      </c>
      <c r="D13" s="23">
        <f>B13-C13</f>
        <v/>
      </c>
      <c r="E13" s="6" t="inlineStr">
        <is>
          <t>Income stmt (expense incl. step-rent amort. &amp; capex $10,573)</t>
        </is>
      </c>
    </row>
    <row r="14">
      <c r="A14" s="11" t="inlineStr">
        <is>
          <t>3254 Fraser St — FY2024</t>
        </is>
      </c>
      <c r="B14" s="22" t="n">
        <v>1346677.13</v>
      </c>
      <c r="C14" s="22" t="n">
        <v>751187.25</v>
      </c>
      <c r="D14" s="23">
        <f>B14-C14</f>
        <v/>
      </c>
      <c r="E14" s="6" t="inlineStr">
        <is>
          <t>Income stmt (expense incl. capex $235,187; tax consulting $42,664)</t>
        </is>
      </c>
    </row>
    <row r="15">
      <c r="A15" s="11" t="inlineStr">
        <is>
          <t>3650 Fraser St — FY2023</t>
        </is>
      </c>
      <c r="B15" s="22" t="n">
        <v>1319987.26</v>
      </c>
      <c r="C15" s="22" t="n">
        <v>557022.5600000001</v>
      </c>
      <c r="D15" s="23">
        <f>B15-C15</f>
        <v/>
      </c>
      <c r="E15" s="6" t="inlineStr">
        <is>
          <t>Income stmt (expense incl. capex $23,478)</t>
        </is>
      </c>
    </row>
    <row r="16">
      <c r="A16" s="11" t="inlineStr">
        <is>
          <t>3650 Fraser St — FY2024</t>
        </is>
      </c>
      <c r="B16" s="22" t="n">
        <v>1448378.72</v>
      </c>
      <c r="C16" s="22" t="n">
        <v>865480.8100000001</v>
      </c>
      <c r="D16" s="23">
        <f>B16-C16</f>
        <v/>
      </c>
      <c r="E16" s="6" t="inlineStr">
        <is>
          <t>Income stmt (expense incl. capex $258,452; tax consulting $48,338)</t>
        </is>
      </c>
    </row>
    <row r="17">
      <c r="A17" s="11" t="inlineStr">
        <is>
          <t>14501 E 35th Pl — FY2023</t>
        </is>
      </c>
      <c r="B17" s="22" t="n">
        <v>1286230.12</v>
      </c>
      <c r="C17" s="22" t="n">
        <v>694108.6</v>
      </c>
      <c r="D17" s="23">
        <f>B17-C17</f>
        <v/>
      </c>
      <c r="E17" s="6" t="inlineStr">
        <is>
          <t>Yardi income stmt (accrual); net income $592,121.52</t>
        </is>
      </c>
    </row>
    <row r="18">
      <c r="A18" s="11" t="inlineStr">
        <is>
          <t>14501 E 35th Pl — FY2024</t>
        </is>
      </c>
      <c r="B18" s="22" t="n">
        <v>515250.99</v>
      </c>
      <c r="C18" s="22" t="n">
        <v>586301.91</v>
      </c>
      <c r="D18" s="23">
        <f>B18-C18</f>
        <v/>
      </c>
      <c r="E18" s="6" t="inlineStr">
        <is>
          <t>Yardi income stmt; MSL vacated 3/31/24 → net loss $(71,050.92)</t>
        </is>
      </c>
    </row>
    <row r="19">
      <c r="A19" s="11" t="inlineStr">
        <is>
          <t>1803 E 58th Ave (Arakouzo) — 2021</t>
        </is>
      </c>
      <c r="B19" s="22" t="n">
        <v>266063</v>
      </c>
      <c r="C19" s="22" t="n">
        <v>92144</v>
      </c>
      <c r="D19" s="23">
        <f>B19-C19</f>
        <v/>
      </c>
      <c r="E19" s="6" t="inlineStr">
        <is>
          <t>IRS Form 8825 (tax basis; incl. depreciation $643)</t>
        </is>
      </c>
    </row>
    <row r="20">
      <c r="A20" s="11" t="inlineStr">
        <is>
          <t>1803 E 58th Ave (Arakouzo) — 2022</t>
        </is>
      </c>
      <c r="B20" s="22" t="n">
        <v>379611</v>
      </c>
      <c r="C20" s="22" t="n">
        <v>103235</v>
      </c>
      <c r="D20" s="23">
        <f>B20-C20</f>
        <v/>
      </c>
      <c r="E20" s="6" t="inlineStr">
        <is>
          <t>IRS Form 8825 (tax basis; incl. depreciation $643)</t>
        </is>
      </c>
    </row>
    <row r="21">
      <c r="A21" s="11" t="inlineStr">
        <is>
          <t>14200 E 33rd Pl — FY2023</t>
        </is>
      </c>
      <c r="B21" s="22" t="n">
        <v>1171686.53</v>
      </c>
      <c r="C21" s="22" t="n">
        <v>570380.8100000001</v>
      </c>
      <c r="D21" s="23">
        <f>B21-C21</f>
        <v/>
      </c>
      <c r="E21" s="6" t="inlineStr">
        <is>
          <t>Income stmt (expense incl. capex $129,547; step-rent credit)</t>
        </is>
      </c>
    </row>
    <row r="22">
      <c r="A22" s="11" t="inlineStr">
        <is>
          <t>14200 E 33rd Pl — FY2024</t>
        </is>
      </c>
      <c r="B22" s="22" t="n">
        <v>1346707.89</v>
      </c>
      <c r="C22" s="22" t="n">
        <v>581292.78</v>
      </c>
      <c r="D22" s="23">
        <f>B22-C22</f>
        <v/>
      </c>
      <c r="E22" s="6" t="inlineStr">
        <is>
          <t>Income stmt (expense incl. roof capex $48,535; tax consulting $43,209)</t>
        </is>
      </c>
    </row>
    <row r="23">
      <c r="A23" s="11" t="inlineStr">
        <is>
          <t>3250 Abilene St — FY2024</t>
        </is>
      </c>
      <c r="B23" s="22" t="n">
        <v>797212</v>
      </c>
      <c r="C23" s="22" t="n">
        <v>1096249</v>
      </c>
      <c r="D23" s="23">
        <f>B23-C23</f>
        <v/>
      </c>
      <c r="E23" s="6" t="inlineStr">
        <is>
          <t>Yardi income stmt (accrual, Prior-Owner book; incl. D&amp;A $505,966) → net loss $(299,037)</t>
        </is>
      </c>
    </row>
    <row r="24">
      <c r="A24" s="11" t="inlineStr">
        <is>
          <t>14705 E 33rd Pl — FY2024</t>
        </is>
      </c>
      <c r="B24" s="22" t="n">
        <v>714461</v>
      </c>
      <c r="C24" s="22" t="n">
        <v>600106</v>
      </c>
      <c r="D24" s="23">
        <f>B24-C24</f>
        <v/>
      </c>
      <c r="E24" s="6" t="inlineStr">
        <is>
          <t>Yardi income stmt (accrual, Prior-Owner book; incl. D&amp;A $333,529) → net income $114,355</t>
        </is>
      </c>
    </row>
    <row r="26">
      <c r="A26" s="18" t="inlineStr">
        <is>
          <t>Net = Total Income − Total Expense as printed. Bases differ: 5970 Marion &amp; Broadview totals include financing/depreciation; I-25 Corp Center, Fraser and Majestic statements include debt service and/or capital expenditures as printed, so they are cash-flow figures, not NOI. TempTee reported operating expenses only. See 'Assessments &amp; Valuation' tab for stabilized NOI proformas.</t>
        </is>
      </c>
      <c r="B26" s="20" t="n"/>
      <c r="C26" s="20" t="n"/>
      <c r="D26" s="20" t="n"/>
      <c r="E26" s="21" t="n"/>
    </row>
  </sheetData>
  <mergeCells count="3">
    <mergeCell ref="A2:E2"/>
    <mergeCell ref="A1:E1"/>
    <mergeCell ref="A26:E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  <row r="66">
      <c r="A66" s="6" t="inlineStr">
        <is>
          <t>9345/9335 Elm Ct — FY2023</t>
        </is>
      </c>
      <c r="B66" s="25" t="inlineStr">
        <is>
          <t>Income</t>
        </is>
      </c>
      <c r="C66" s="6" t="inlineStr">
        <is>
          <t>40301 - Elm Ct Rental Income</t>
        </is>
      </c>
      <c r="D66" s="22" t="n">
        <v>211025.04</v>
      </c>
      <c r="E66" s="6" t="n"/>
    </row>
    <row r="67">
      <c r="A67" s="11" t="inlineStr">
        <is>
          <t>9345/9335 Elm Ct — FY2023</t>
        </is>
      </c>
      <c r="B67" s="26" t="inlineStr">
        <is>
          <t>Income</t>
        </is>
      </c>
      <c r="C67" s="12" t="inlineStr">
        <is>
          <t>TOTAL INCOME</t>
        </is>
      </c>
      <c r="D67" s="23">
        <f>SUM(D66:D66)</f>
        <v/>
      </c>
      <c r="E67" s="6" t="inlineStr">
        <is>
          <t>Printed total: $211,025.04.</t>
        </is>
      </c>
    </row>
    <row r="68">
      <c r="A68" s="6" t="inlineStr">
        <is>
          <t>9345/9335 Elm Ct — FY2023</t>
        </is>
      </c>
      <c r="B68" s="25" t="inlineStr">
        <is>
          <t>Expense</t>
        </is>
      </c>
      <c r="C68" s="6" t="inlineStr">
        <is>
          <t>60100 - Bank Service Charges</t>
        </is>
      </c>
      <c r="D68" s="22" t="n">
        <v>841</v>
      </c>
      <c r="E68" s="6" t="n"/>
    </row>
    <row r="69">
      <c r="A69" s="6" t="inlineStr">
        <is>
          <t>9345/9335 Elm Ct — FY2023</t>
        </is>
      </c>
      <c r="B69" s="25" t="inlineStr">
        <is>
          <t>Expense</t>
        </is>
      </c>
      <c r="C69" s="6" t="inlineStr">
        <is>
          <t>65015 - 9345 Elm Mortgage Interest</t>
        </is>
      </c>
      <c r="D69" s="22" t="n">
        <v>15436.77</v>
      </c>
      <c r="E69" s="6" t="n"/>
    </row>
    <row r="70">
      <c r="A70" s="6" t="inlineStr">
        <is>
          <t>9345/9335 Elm Ct — FY2023</t>
        </is>
      </c>
      <c r="B70" s="25" t="inlineStr">
        <is>
          <t>Expense</t>
        </is>
      </c>
      <c r="C70" s="6" t="inlineStr">
        <is>
          <t>65063 - Elm Repairs &amp; Maintenance</t>
        </is>
      </c>
      <c r="D70" s="22" t="n">
        <v>572.5</v>
      </c>
      <c r="E70" s="6" t="n"/>
    </row>
    <row r="71">
      <c r="A71" s="11" t="inlineStr">
        <is>
          <t>9345/9335 Elm Ct — FY2023</t>
        </is>
      </c>
      <c r="B71" s="26" t="inlineStr">
        <is>
          <t>Expense</t>
        </is>
      </c>
      <c r="C71" s="12" t="inlineStr">
        <is>
          <t>TOTAL EXPENSE</t>
        </is>
      </c>
      <c r="D71" s="23">
        <f>SUM(D68:D70)</f>
        <v/>
      </c>
      <c r="E71" s="6" t="inlineStr">
        <is>
          <t>Printed total: $16,850.27.</t>
        </is>
      </c>
    </row>
    <row r="72">
      <c r="A72" s="6" t="inlineStr">
        <is>
          <t>9345/9335 Elm Ct — FY2024</t>
        </is>
      </c>
      <c r="B72" s="25" t="inlineStr">
        <is>
          <t>Income</t>
        </is>
      </c>
      <c r="C72" s="6" t="inlineStr">
        <is>
          <t>40301 - Elm Ct Rental Income</t>
        </is>
      </c>
      <c r="D72" s="22" t="n">
        <v>217426.64</v>
      </c>
      <c r="E72" s="6" t="n"/>
    </row>
    <row r="73">
      <c r="A73" s="11" t="inlineStr">
        <is>
          <t>9345/9335 Elm Ct — FY2024</t>
        </is>
      </c>
      <c r="B73" s="26" t="inlineStr">
        <is>
          <t>Income</t>
        </is>
      </c>
      <c r="C73" s="12" t="inlineStr">
        <is>
          <t>TOTAL INCOME</t>
        </is>
      </c>
      <c r="D73" s="23">
        <f>SUM(D72:D72)</f>
        <v/>
      </c>
      <c r="E73" s="6" t="inlineStr">
        <is>
          <t>Printed total: $217,426.64.</t>
        </is>
      </c>
    </row>
    <row r="74">
      <c r="A74" s="6" t="inlineStr">
        <is>
          <t>9345/9335 Elm Ct — FY2024</t>
        </is>
      </c>
      <c r="B74" s="25" t="inlineStr">
        <is>
          <t>Expense</t>
        </is>
      </c>
      <c r="C74" s="6" t="inlineStr">
        <is>
          <t>60100 - Bank Service Charges</t>
        </is>
      </c>
      <c r="D74" s="22" t="n">
        <v>1063.6</v>
      </c>
      <c r="E74" s="6" t="inlineStr">
        <is>
          <t>incl. First Bank fees $69</t>
        </is>
      </c>
    </row>
    <row r="75">
      <c r="A75" s="6" t="inlineStr">
        <is>
          <t>9345/9335 Elm Ct — FY2024</t>
        </is>
      </c>
      <c r="B75" s="25" t="inlineStr">
        <is>
          <t>Expense</t>
        </is>
      </c>
      <c r="C75" s="6" t="inlineStr">
        <is>
          <t>60120 - Computer &amp; Internet</t>
        </is>
      </c>
      <c r="D75" s="22" t="n">
        <v>1896.91</v>
      </c>
      <c r="E75" s="6" t="n"/>
    </row>
    <row r="76">
      <c r="A76" s="6" t="inlineStr">
        <is>
          <t>9345/9335 Elm Ct — FY2024</t>
        </is>
      </c>
      <c r="B76" s="25" t="inlineStr">
        <is>
          <t>Expense</t>
        </is>
      </c>
      <c r="C76" s="6" t="inlineStr">
        <is>
          <t>64046 - Postage</t>
        </is>
      </c>
      <c r="D76" s="22" t="n">
        <v>327.57</v>
      </c>
      <c r="E76" s="6" t="n"/>
    </row>
    <row r="77">
      <c r="A77" s="6" t="inlineStr">
        <is>
          <t>9345/9335 Elm Ct — FY2024</t>
        </is>
      </c>
      <c r="B77" s="25" t="inlineStr">
        <is>
          <t>Expense</t>
        </is>
      </c>
      <c r="C77" s="6" t="inlineStr">
        <is>
          <t>65015 - 9345 Elm Mortgage Interest</t>
        </is>
      </c>
      <c r="D77" s="22" t="n">
        <v>12961.72</v>
      </c>
      <c r="E77" s="6" t="n"/>
    </row>
    <row r="78">
      <c r="A78" s="6" t="inlineStr">
        <is>
          <t>9345/9335 Elm Ct — FY2024</t>
        </is>
      </c>
      <c r="B78" s="25" t="inlineStr">
        <is>
          <t>Expense</t>
        </is>
      </c>
      <c r="C78" s="6" t="inlineStr">
        <is>
          <t>65040 - Professional &amp; Accounting Fees</t>
        </is>
      </c>
      <c r="D78" s="22" t="n">
        <v>1250</v>
      </c>
      <c r="E78" s="6" t="n"/>
    </row>
    <row r="79">
      <c r="A79" s="6" t="inlineStr">
        <is>
          <t>9345/9335 Elm Ct — FY2024</t>
        </is>
      </c>
      <c r="B79" s="25" t="inlineStr">
        <is>
          <t>Expense</t>
        </is>
      </c>
      <c r="C79" s="6" t="inlineStr">
        <is>
          <t>65063 - Elm Repairs &amp; Maintenance</t>
        </is>
      </c>
      <c r="D79" s="22" t="n">
        <v>10011.27</v>
      </c>
      <c r="E79" s="6" t="n"/>
    </row>
    <row r="80">
      <c r="A80" s="6" t="inlineStr">
        <is>
          <t>9345/9335 Elm Ct — FY2024</t>
        </is>
      </c>
      <c r="B80" s="25" t="inlineStr">
        <is>
          <t>Expense</t>
        </is>
      </c>
      <c r="C80" s="6" t="inlineStr">
        <is>
          <t>75010 - Interest Expense (other)</t>
        </is>
      </c>
      <c r="D80" s="22" t="n">
        <v>5162.81</v>
      </c>
      <c r="E80" s="6" t="n"/>
    </row>
    <row r="81">
      <c r="A81" s="11" t="inlineStr">
        <is>
          <t>9345/9335 Elm Ct — FY2024</t>
        </is>
      </c>
      <c r="B81" s="26" t="inlineStr">
        <is>
          <t>Expense</t>
        </is>
      </c>
      <c r="C81" s="12" t="inlineStr">
        <is>
          <t>TOTAL EXPENSE</t>
        </is>
      </c>
      <c r="D81" s="23">
        <f>SUM(D74:D80)</f>
        <v/>
      </c>
      <c r="E81" s="6" t="inlineStr">
        <is>
          <t>Printed total: $32,673.88.</t>
        </is>
      </c>
    </row>
    <row r="82">
      <c r="A82" s="6" t="inlineStr">
        <is>
          <t>I-25 Corp Center — FY2024</t>
        </is>
      </c>
      <c r="B82" s="25" t="inlineStr">
        <is>
          <t>Income</t>
        </is>
      </c>
      <c r="C82" s="6" t="inlineStr">
        <is>
          <t>Base Rent</t>
        </is>
      </c>
      <c r="D82" s="22" t="n">
        <v>1707354.9</v>
      </c>
      <c r="E82" s="6" t="n"/>
    </row>
    <row r="83">
      <c r="A83" s="6" t="inlineStr">
        <is>
          <t>I-25 Corp Center — FY2024</t>
        </is>
      </c>
      <c r="B83" s="25" t="inlineStr">
        <is>
          <t>Income</t>
        </is>
      </c>
      <c r="C83" s="6" t="inlineStr">
        <is>
          <t>Operating Exp. Recovery</t>
        </is>
      </c>
      <c r="D83" s="22" t="n">
        <v>240778.65</v>
      </c>
      <c r="E83" s="6" t="n"/>
    </row>
    <row r="84">
      <c r="A84" s="6" t="inlineStr">
        <is>
          <t>I-25 Corp Center — FY2024</t>
        </is>
      </c>
      <c r="B84" s="25" t="inlineStr">
        <is>
          <t>Income</t>
        </is>
      </c>
      <c r="C84" s="6" t="inlineStr">
        <is>
          <t>Tax Recovery</t>
        </is>
      </c>
      <c r="D84" s="22" t="n">
        <v>778902.12</v>
      </c>
      <c r="E84" s="6" t="n"/>
    </row>
    <row r="85">
      <c r="A85" s="6" t="inlineStr">
        <is>
          <t>I-25 Corp Center — FY2024</t>
        </is>
      </c>
      <c r="B85" s="25" t="inlineStr">
        <is>
          <t>Income</t>
        </is>
      </c>
      <c r="C85" s="6" t="inlineStr">
        <is>
          <t>Insurance Recovery</t>
        </is>
      </c>
      <c r="D85" s="22" t="n">
        <v>32364.45</v>
      </c>
      <c r="E85" s="6" t="n"/>
    </row>
    <row r="86">
      <c r="A86" s="6" t="inlineStr">
        <is>
          <t>I-25 Corp Center — FY2024</t>
        </is>
      </c>
      <c r="B86" s="25" t="inlineStr">
        <is>
          <t>Income</t>
        </is>
      </c>
      <c r="C86" s="6" t="inlineStr">
        <is>
          <t>Miscellaneous Income</t>
        </is>
      </c>
      <c r="D86" s="22" t="n">
        <v>-8861.870000000001</v>
      </c>
      <c r="E86" s="6" t="n"/>
    </row>
    <row r="87">
      <c r="A87" s="11" t="inlineStr">
        <is>
          <t>I-25 Corp Center — FY2024</t>
        </is>
      </c>
      <c r="B87" s="26" t="inlineStr">
        <is>
          <t>Income</t>
        </is>
      </c>
      <c r="C87" s="12" t="inlineStr">
        <is>
          <t>TOTAL INCOME</t>
        </is>
      </c>
      <c r="D87" s="23">
        <f>SUM(D82:D86)</f>
        <v/>
      </c>
      <c r="E87" s="6" t="inlineStr">
        <is>
          <t>Printed total: $2,750,538.25.</t>
        </is>
      </c>
    </row>
    <row r="88">
      <c r="A88" s="6" t="inlineStr">
        <is>
          <t>I-25 Corp Center — FY2024</t>
        </is>
      </c>
      <c r="B88" s="25" t="inlineStr">
        <is>
          <t>Expense</t>
        </is>
      </c>
      <c r="C88" s="6" t="inlineStr">
        <is>
          <t>Electricity (recov)</t>
        </is>
      </c>
      <c r="D88" s="22" t="n">
        <v>56500.13</v>
      </c>
      <c r="E88" s="6" t="n"/>
    </row>
    <row r="89">
      <c r="A89" s="6" t="inlineStr">
        <is>
          <t>I-25 Corp Center — FY2024</t>
        </is>
      </c>
      <c r="B89" s="25" t="inlineStr">
        <is>
          <t>Expense</t>
        </is>
      </c>
      <c r="C89" s="6" t="inlineStr">
        <is>
          <t>Storm Drainage (recov)</t>
        </is>
      </c>
      <c r="D89" s="22" t="n">
        <v>3730</v>
      </c>
      <c r="E89" s="6" t="n"/>
    </row>
    <row r="90">
      <c r="A90" s="6" t="inlineStr">
        <is>
          <t>I-25 Corp Center — FY2024</t>
        </is>
      </c>
      <c r="B90" s="25" t="inlineStr">
        <is>
          <t>Expense</t>
        </is>
      </c>
      <c r="C90" s="6" t="inlineStr">
        <is>
          <t>Water/Sewer (recov)</t>
        </is>
      </c>
      <c r="D90" s="22" t="n">
        <v>28627.1</v>
      </c>
      <c r="E90" s="6" t="n"/>
    </row>
    <row r="91">
      <c r="A91" s="6" t="inlineStr">
        <is>
          <t>I-25 Corp Center — FY2024</t>
        </is>
      </c>
      <c r="B91" s="25" t="inlineStr">
        <is>
          <t>Expense</t>
        </is>
      </c>
      <c r="C91" s="6" t="inlineStr">
        <is>
          <t>Extermination (recov)</t>
        </is>
      </c>
      <c r="D91" s="22" t="n">
        <v>4445</v>
      </c>
      <c r="E91" s="6" t="n"/>
    </row>
    <row r="92">
      <c r="A92" s="6" t="inlineStr">
        <is>
          <t>I-25 Corp Center — FY2024</t>
        </is>
      </c>
      <c r="B92" s="25" t="inlineStr">
        <is>
          <t>Expense</t>
        </is>
      </c>
      <c r="C92" s="6" t="inlineStr">
        <is>
          <t>Fire Protection/Security (recov)</t>
        </is>
      </c>
      <c r="D92" s="22" t="n">
        <v>23923.79</v>
      </c>
      <c r="E92" s="6" t="n"/>
    </row>
    <row r="93">
      <c r="A93" s="6" t="inlineStr">
        <is>
          <t>I-25 Corp Center — FY2024</t>
        </is>
      </c>
      <c r="B93" s="25" t="inlineStr">
        <is>
          <t>Expense</t>
        </is>
      </c>
      <c r="C93" s="6" t="inlineStr">
        <is>
          <t>R&amp;M - Electrical (recov)</t>
        </is>
      </c>
      <c r="D93" s="22" t="n">
        <v>11555.14</v>
      </c>
      <c r="E93" s="6" t="n"/>
    </row>
    <row r="94">
      <c r="A94" s="6" t="inlineStr">
        <is>
          <t>I-25 Corp Center — FY2024</t>
        </is>
      </c>
      <c r="B94" s="25" t="inlineStr">
        <is>
          <t>Expense</t>
        </is>
      </c>
      <c r="C94" s="6" t="inlineStr">
        <is>
          <t>R&amp;M - General Building (recov)</t>
        </is>
      </c>
      <c r="D94" s="22" t="n">
        <v>23540.76</v>
      </c>
      <c r="E94" s="6" t="n"/>
    </row>
    <row r="95">
      <c r="A95" s="6" t="inlineStr">
        <is>
          <t>I-25 Corp Center — FY2024</t>
        </is>
      </c>
      <c r="B95" s="25" t="inlineStr">
        <is>
          <t>Expense</t>
        </is>
      </c>
      <c r="C95" s="6" t="inlineStr">
        <is>
          <t>R&amp;M - Grounds/Janitorial (recov)</t>
        </is>
      </c>
      <c r="D95" s="22" t="n">
        <v>20824.66</v>
      </c>
      <c r="E95" s="6" t="n"/>
    </row>
    <row r="96">
      <c r="A96" s="6" t="inlineStr">
        <is>
          <t>I-25 Corp Center — FY2024</t>
        </is>
      </c>
      <c r="B96" s="25" t="inlineStr">
        <is>
          <t>Expense</t>
        </is>
      </c>
      <c r="C96" s="6" t="inlineStr">
        <is>
          <t>R&amp;M - Landscape/Sprinkler (recov)</t>
        </is>
      </c>
      <c r="D96" s="22" t="n">
        <v>19677.75</v>
      </c>
      <c r="E96" s="6" t="n"/>
    </row>
    <row r="97">
      <c r="A97" s="6" t="inlineStr">
        <is>
          <t>I-25 Corp Center — FY2024</t>
        </is>
      </c>
      <c r="B97" s="25" t="inlineStr">
        <is>
          <t>Expense</t>
        </is>
      </c>
      <c r="C97" s="6" t="inlineStr">
        <is>
          <t>R&amp;M - HVAC (recov)</t>
        </is>
      </c>
      <c r="D97" s="22" t="n">
        <v>14118.37</v>
      </c>
      <c r="E97" s="6" t="n"/>
    </row>
    <row r="98">
      <c r="A98" s="6" t="inlineStr">
        <is>
          <t>I-25 Corp Center — FY2024</t>
        </is>
      </c>
      <c r="B98" s="25" t="inlineStr">
        <is>
          <t>Expense</t>
        </is>
      </c>
      <c r="C98" s="6" t="inlineStr">
        <is>
          <t>R&amp;M - Parking Lot (recov)</t>
        </is>
      </c>
      <c r="D98" s="22" t="n">
        <v>19761.37</v>
      </c>
      <c r="E98" s="6" t="n"/>
    </row>
    <row r="99">
      <c r="A99" s="6" t="inlineStr">
        <is>
          <t>I-25 Corp Center — FY2024</t>
        </is>
      </c>
      <c r="B99" s="25" t="inlineStr">
        <is>
          <t>Expense</t>
        </is>
      </c>
      <c r="C99" s="6" t="inlineStr">
        <is>
          <t>R&amp;M - Prk Lot Sweeping (recov)</t>
        </is>
      </c>
      <c r="D99" s="22" t="n">
        <v>5850</v>
      </c>
      <c r="E99" s="6" t="n"/>
    </row>
    <row r="100">
      <c r="A100" s="6" t="inlineStr">
        <is>
          <t>I-25 Corp Center — FY2024</t>
        </is>
      </c>
      <c r="B100" s="25" t="inlineStr">
        <is>
          <t>Expense</t>
        </is>
      </c>
      <c r="C100" s="6" t="inlineStr">
        <is>
          <t>R&amp;M - Prk Lot Snow Removal (recov)</t>
        </is>
      </c>
      <c r="D100" s="22" t="n">
        <v>22947</v>
      </c>
      <c r="E100" s="6" t="n"/>
    </row>
    <row r="101">
      <c r="A101" s="6" t="inlineStr">
        <is>
          <t>I-25 Corp Center — FY2024</t>
        </is>
      </c>
      <c r="B101" s="25" t="inlineStr">
        <is>
          <t>Expense</t>
        </is>
      </c>
      <c r="C101" s="6" t="inlineStr">
        <is>
          <t>R&amp;M - Plumbing (recov)</t>
        </is>
      </c>
      <c r="D101" s="22" t="n">
        <v>475</v>
      </c>
      <c r="E101" s="6" t="n"/>
    </row>
    <row r="102">
      <c r="A102" s="6" t="inlineStr">
        <is>
          <t>I-25 Corp Center — FY2024</t>
        </is>
      </c>
      <c r="B102" s="25" t="inlineStr">
        <is>
          <t>Expense</t>
        </is>
      </c>
      <c r="C102" s="6" t="inlineStr">
        <is>
          <t>R&amp;M - Roof (recov)</t>
        </is>
      </c>
      <c r="D102" s="22" t="n">
        <v>7778.98</v>
      </c>
      <c r="E102" s="6" t="n"/>
    </row>
    <row r="103">
      <c r="A103" s="6" t="inlineStr">
        <is>
          <t>I-25 Corp Center — FY2024</t>
        </is>
      </c>
      <c r="B103" s="25" t="inlineStr">
        <is>
          <t>Expense</t>
        </is>
      </c>
      <c r="C103" s="6" t="inlineStr">
        <is>
          <t>Management Fees (recov)</t>
        </is>
      </c>
      <c r="D103" s="22" t="n">
        <v>84658.78</v>
      </c>
      <c r="E103" s="6" t="n"/>
    </row>
    <row r="104">
      <c r="A104" s="6" t="inlineStr">
        <is>
          <t>I-25 Corp Center — FY2024</t>
        </is>
      </c>
      <c r="B104" s="25" t="inlineStr">
        <is>
          <t>Expense</t>
        </is>
      </c>
      <c r="C104" s="6" t="inlineStr">
        <is>
          <t>Other Expense (recov)</t>
        </is>
      </c>
      <c r="D104" s="22" t="n">
        <v>69.14</v>
      </c>
      <c r="E104" s="6" t="n"/>
    </row>
    <row r="105">
      <c r="A105" s="6" t="inlineStr">
        <is>
          <t>I-25 Corp Center — FY2024</t>
        </is>
      </c>
      <c r="B105" s="25" t="inlineStr">
        <is>
          <t>Expense</t>
        </is>
      </c>
      <c r="C105" s="6" t="inlineStr">
        <is>
          <t>Other Direct Billable</t>
        </is>
      </c>
      <c r="D105" s="22" t="n">
        <v>-22482.64</v>
      </c>
      <c r="E105" s="6" t="n"/>
    </row>
    <row r="106">
      <c r="A106" s="6" t="inlineStr">
        <is>
          <t>I-25 Corp Center — FY2024</t>
        </is>
      </c>
      <c r="B106" s="25" t="inlineStr">
        <is>
          <t>Expense</t>
        </is>
      </c>
      <c r="C106" s="6" t="inlineStr">
        <is>
          <t>Real Estate Taxes</t>
        </is>
      </c>
      <c r="D106" s="22" t="n">
        <v>862190.26</v>
      </c>
      <c r="E106" s="6" t="n"/>
    </row>
    <row r="107">
      <c r="A107" s="6" t="inlineStr">
        <is>
          <t>I-25 Corp Center — FY2024</t>
        </is>
      </c>
      <c r="B107" s="25" t="inlineStr">
        <is>
          <t>Expense</t>
        </is>
      </c>
      <c r="C107" s="6" t="inlineStr">
        <is>
          <t>Insurance</t>
        </is>
      </c>
      <c r="D107" s="22" t="n">
        <v>81761</v>
      </c>
      <c r="E107" s="6" t="n"/>
    </row>
    <row r="108">
      <c r="A108" s="6" t="inlineStr">
        <is>
          <t>I-25 Corp Center — FY2024</t>
        </is>
      </c>
      <c r="B108" s="25" t="inlineStr">
        <is>
          <t>Expense</t>
        </is>
      </c>
      <c r="C108" s="6" t="inlineStr">
        <is>
          <t>Interest Expense</t>
        </is>
      </c>
      <c r="D108" s="22" t="n">
        <v>857474.03</v>
      </c>
      <c r="E108" s="6" t="inlineStr">
        <is>
          <t>G&amp;A</t>
        </is>
      </c>
    </row>
    <row r="109">
      <c r="A109" s="6" t="inlineStr">
        <is>
          <t>I-25 Corp Center — FY2024</t>
        </is>
      </c>
      <c r="B109" s="25" t="inlineStr">
        <is>
          <t>Expense</t>
        </is>
      </c>
      <c r="C109" s="6" t="inlineStr">
        <is>
          <t>Miscellaneous Expense</t>
        </is>
      </c>
      <c r="D109" s="22" t="n">
        <v>3407.5</v>
      </c>
      <c r="E109" s="6" t="inlineStr">
        <is>
          <t>G&amp;A</t>
        </is>
      </c>
    </row>
    <row r="110">
      <c r="A110" s="6" t="inlineStr">
        <is>
          <t>I-25 Corp Center — FY2024</t>
        </is>
      </c>
      <c r="B110" s="25" t="inlineStr">
        <is>
          <t>Expense</t>
        </is>
      </c>
      <c r="C110" s="6" t="inlineStr">
        <is>
          <t>Building (capital)</t>
        </is>
      </c>
      <c r="D110" s="22" t="n">
        <v>5749</v>
      </c>
      <c r="E110" s="6" t="n"/>
    </row>
    <row r="111">
      <c r="A111" s="6" t="inlineStr">
        <is>
          <t>I-25 Corp Center — FY2024</t>
        </is>
      </c>
      <c r="B111" s="25" t="inlineStr">
        <is>
          <t>Expense</t>
        </is>
      </c>
      <c r="C111" s="6" t="inlineStr">
        <is>
          <t>N/P Principal (Chase)</t>
        </is>
      </c>
      <c r="D111" s="22" t="n">
        <v>167912.77</v>
      </c>
      <c r="E111" s="6" t="n"/>
    </row>
    <row r="112">
      <c r="A112" s="6" t="inlineStr">
        <is>
          <t>I-25 Corp Center — FY2024</t>
        </is>
      </c>
      <c r="B112" s="25" t="inlineStr">
        <is>
          <t>Expense</t>
        </is>
      </c>
      <c r="C112" s="6" t="inlineStr">
        <is>
          <t>Tenant Finish</t>
        </is>
      </c>
      <c r="D112" s="22" t="n">
        <v>147300</v>
      </c>
      <c r="E112" s="6" t="n"/>
    </row>
    <row r="113">
      <c r="A113" s="6" t="inlineStr">
        <is>
          <t>I-25 Corp Center — FY2024</t>
        </is>
      </c>
      <c r="B113" s="25" t="inlineStr">
        <is>
          <t>Expense</t>
        </is>
      </c>
      <c r="C113" s="6" t="inlineStr">
        <is>
          <t>Lease Commission</t>
        </is>
      </c>
      <c r="D113" s="22" t="n">
        <v>149359.13</v>
      </c>
      <c r="E113" s="6" t="n"/>
    </row>
    <row r="114">
      <c r="A114" s="11" t="inlineStr">
        <is>
          <t>I-25 Corp Center — FY2024</t>
        </is>
      </c>
      <c r="B114" s="26" t="inlineStr">
        <is>
          <t>Expense</t>
        </is>
      </c>
      <c r="C114" s="12" t="inlineStr">
        <is>
          <t>TOTAL EXPENSE</t>
        </is>
      </c>
      <c r="D114" s="23">
        <f>SUM(D88:D113)</f>
        <v/>
      </c>
      <c r="E114" s="6" t="inlineStr">
        <is>
          <t>Printed total: $2,601,154.02.</t>
        </is>
      </c>
    </row>
    <row r="115">
      <c r="A115" s="6" t="inlineStr">
        <is>
          <t>Majestic Commercenter — FY2024</t>
        </is>
      </c>
      <c r="B115" s="25" t="inlineStr">
        <is>
          <t>Income</t>
        </is>
      </c>
      <c r="C115" s="6" t="inlineStr">
        <is>
          <t>Base Rent</t>
        </is>
      </c>
      <c r="D115" s="22" t="n">
        <v>698747.99</v>
      </c>
      <c r="E115" s="6" t="n"/>
    </row>
    <row r="116">
      <c r="A116" s="6" t="inlineStr">
        <is>
          <t>Majestic Commercenter — FY2024</t>
        </is>
      </c>
      <c r="B116" s="25" t="inlineStr">
        <is>
          <t>Income</t>
        </is>
      </c>
      <c r="C116" s="6" t="inlineStr">
        <is>
          <t>Operating Exp. Recovery</t>
        </is>
      </c>
      <c r="D116" s="22" t="n">
        <v>143868</v>
      </c>
      <c r="E116" s="6" t="n"/>
    </row>
    <row r="117">
      <c r="A117" s="6" t="inlineStr">
        <is>
          <t>Majestic Commercenter — FY2024</t>
        </is>
      </c>
      <c r="B117" s="25" t="inlineStr">
        <is>
          <t>Income</t>
        </is>
      </c>
      <c r="C117" s="6" t="inlineStr">
        <is>
          <t>Tax Recovery</t>
        </is>
      </c>
      <c r="D117" s="22" t="n">
        <v>499872</v>
      </c>
      <c r="E117" s="6" t="n"/>
    </row>
    <row r="118">
      <c r="A118" s="6" t="inlineStr">
        <is>
          <t>Majestic Commercenter — FY2024</t>
        </is>
      </c>
      <c r="B118" s="25" t="inlineStr">
        <is>
          <t>Income</t>
        </is>
      </c>
      <c r="C118" s="6" t="inlineStr">
        <is>
          <t>Insurance Recovery</t>
        </is>
      </c>
      <c r="D118" s="22" t="n">
        <v>32352</v>
      </c>
      <c r="E118" s="6" t="n"/>
    </row>
    <row r="119">
      <c r="A119" s="6" t="inlineStr">
        <is>
          <t>Majestic Commercenter — FY2024</t>
        </is>
      </c>
      <c r="B119" s="25" t="inlineStr">
        <is>
          <t>Income</t>
        </is>
      </c>
      <c r="C119" s="6" t="inlineStr">
        <is>
          <t>Prior-Year Reconciliations</t>
        </is>
      </c>
      <c r="D119" s="22" t="n">
        <v>-12867.2</v>
      </c>
      <c r="E119" s="6" t="n"/>
    </row>
    <row r="120">
      <c r="A120" s="11" t="inlineStr">
        <is>
          <t>Majestic Commercenter — FY2024</t>
        </is>
      </c>
      <c r="B120" s="26" t="inlineStr">
        <is>
          <t>Income</t>
        </is>
      </c>
      <c r="C120" s="12" t="inlineStr">
        <is>
          <t>TOTAL INCOME</t>
        </is>
      </c>
      <c r="D120" s="23">
        <f>SUM(D115:D119)</f>
        <v/>
      </c>
      <c r="E120" s="6" t="inlineStr">
        <is>
          <t>Printed total: $1,361,972.79.</t>
        </is>
      </c>
    </row>
    <row r="121">
      <c r="A121" s="6" t="inlineStr">
        <is>
          <t>Majestic Commercenter — FY2024</t>
        </is>
      </c>
      <c r="B121" s="25" t="inlineStr">
        <is>
          <t>Expense</t>
        </is>
      </c>
      <c r="C121" s="6" t="inlineStr">
        <is>
          <t>Water/Sewer (recov)</t>
        </is>
      </c>
      <c r="D121" s="22" t="n">
        <v>24928.96</v>
      </c>
      <c r="E121" s="6" t="n"/>
    </row>
    <row r="122">
      <c r="A122" s="6" t="inlineStr">
        <is>
          <t>Majestic Commercenter — FY2024</t>
        </is>
      </c>
      <c r="B122" s="25" t="inlineStr">
        <is>
          <t>Expense</t>
        </is>
      </c>
      <c r="C122" s="6" t="inlineStr">
        <is>
          <t>Extermination (recov)</t>
        </is>
      </c>
      <c r="D122" s="22" t="n">
        <v>2310</v>
      </c>
      <c r="E122" s="6" t="n"/>
    </row>
    <row r="123">
      <c r="A123" s="6" t="inlineStr">
        <is>
          <t>Majestic Commercenter — FY2024</t>
        </is>
      </c>
      <c r="B123" s="25" t="inlineStr">
        <is>
          <t>Expense</t>
        </is>
      </c>
      <c r="C123" s="6" t="inlineStr">
        <is>
          <t>Fire Protection/Security (recov)</t>
        </is>
      </c>
      <c r="D123" s="22" t="n">
        <v>4079.61</v>
      </c>
      <c r="E123" s="6" t="n"/>
    </row>
    <row r="124">
      <c r="A124" s="6" t="inlineStr">
        <is>
          <t>Majestic Commercenter — FY2024</t>
        </is>
      </c>
      <c r="B124" s="25" t="inlineStr">
        <is>
          <t>Expense</t>
        </is>
      </c>
      <c r="C124" s="6" t="inlineStr">
        <is>
          <t>R&amp;M - Electrical (recov)</t>
        </is>
      </c>
      <c r="D124" s="22" t="n">
        <v>4433.48</v>
      </c>
      <c r="E124" s="6" t="n"/>
    </row>
    <row r="125">
      <c r="A125" s="6" t="inlineStr">
        <is>
          <t>Majestic Commercenter — FY2024</t>
        </is>
      </c>
      <c r="B125" s="25" t="inlineStr">
        <is>
          <t>Expense</t>
        </is>
      </c>
      <c r="C125" s="6" t="inlineStr">
        <is>
          <t>R&amp;M - General Building (recov)</t>
        </is>
      </c>
      <c r="D125" s="22" t="n">
        <v>310</v>
      </c>
      <c r="E125" s="6" t="n"/>
    </row>
    <row r="126">
      <c r="A126" s="6" t="inlineStr">
        <is>
          <t>Majestic Commercenter — FY2024</t>
        </is>
      </c>
      <c r="B126" s="25" t="inlineStr">
        <is>
          <t>Expense</t>
        </is>
      </c>
      <c r="C126" s="6" t="inlineStr">
        <is>
          <t>R&amp;M - Landscape/Sprinkler (recov)</t>
        </is>
      </c>
      <c r="D126" s="22" t="n">
        <v>10960.97</v>
      </c>
      <c r="E126" s="6" t="n"/>
    </row>
    <row r="127">
      <c r="A127" s="6" t="inlineStr">
        <is>
          <t>Majestic Commercenter — FY2024</t>
        </is>
      </c>
      <c r="B127" s="25" t="inlineStr">
        <is>
          <t>Expense</t>
        </is>
      </c>
      <c r="C127" s="6" t="inlineStr">
        <is>
          <t>R&amp;M - HVAC (recov)</t>
        </is>
      </c>
      <c r="D127" s="22" t="n">
        <v>5126.45</v>
      </c>
      <c r="E127" s="6" t="n"/>
    </row>
    <row r="128">
      <c r="A128" s="6" t="inlineStr">
        <is>
          <t>Majestic Commercenter — FY2024</t>
        </is>
      </c>
      <c r="B128" s="25" t="inlineStr">
        <is>
          <t>Expense</t>
        </is>
      </c>
      <c r="C128" s="6" t="inlineStr">
        <is>
          <t>R&amp;M - Parking Lot (recov)</t>
        </is>
      </c>
      <c r="D128" s="22" t="n">
        <v>14956.6</v>
      </c>
      <c r="E128" s="6" t="n"/>
    </row>
    <row r="129">
      <c r="A129" s="6" t="inlineStr">
        <is>
          <t>Majestic Commercenter — FY2024</t>
        </is>
      </c>
      <c r="B129" s="25" t="inlineStr">
        <is>
          <t>Expense</t>
        </is>
      </c>
      <c r="C129" s="6" t="inlineStr">
        <is>
          <t>R&amp;M - Prk Lot Sweeping (recov)</t>
        </is>
      </c>
      <c r="D129" s="22" t="n">
        <v>75</v>
      </c>
      <c r="E129" s="6" t="n"/>
    </row>
    <row r="130">
      <c r="A130" s="6" t="inlineStr">
        <is>
          <t>Majestic Commercenter — FY2024</t>
        </is>
      </c>
      <c r="B130" s="25" t="inlineStr">
        <is>
          <t>Expense</t>
        </is>
      </c>
      <c r="C130" s="6" t="inlineStr">
        <is>
          <t>R&amp;M - Prk Lot Snow Removal (recov)</t>
        </is>
      </c>
      <c r="D130" s="22" t="n">
        <v>12925.25</v>
      </c>
      <c r="E130" s="6" t="n"/>
    </row>
    <row r="131">
      <c r="A131" s="6" t="inlineStr">
        <is>
          <t>Majestic Commercenter — FY2024</t>
        </is>
      </c>
      <c r="B131" s="25" t="inlineStr">
        <is>
          <t>Expense</t>
        </is>
      </c>
      <c r="C131" s="6" t="inlineStr">
        <is>
          <t>Management Fees (recov)</t>
        </is>
      </c>
      <c r="D131" s="22" t="n">
        <v>43037.28</v>
      </c>
      <c r="E131" s="6" t="n"/>
    </row>
    <row r="132">
      <c r="A132" s="6" t="inlineStr">
        <is>
          <t>Majestic Commercenter — FY2024</t>
        </is>
      </c>
      <c r="B132" s="25" t="inlineStr">
        <is>
          <t>Expense</t>
        </is>
      </c>
      <c r="C132" s="6" t="inlineStr">
        <is>
          <t>Real Estate Taxes</t>
        </is>
      </c>
      <c r="D132" s="22" t="n">
        <v>423808.38</v>
      </c>
      <c r="E132" s="6" t="n"/>
    </row>
    <row r="133">
      <c r="A133" s="6" t="inlineStr">
        <is>
          <t>Majestic Commercenter — FY2024</t>
        </is>
      </c>
      <c r="B133" s="25" t="inlineStr">
        <is>
          <t>Expense</t>
        </is>
      </c>
      <c r="C133" s="6" t="inlineStr">
        <is>
          <t>Insurance</t>
        </is>
      </c>
      <c r="D133" s="22" t="n">
        <v>65797</v>
      </c>
      <c r="E133" s="6" t="n"/>
    </row>
    <row r="134">
      <c r="A134" s="6" t="inlineStr">
        <is>
          <t>Majestic Commercenter — FY2024</t>
        </is>
      </c>
      <c r="B134" s="25" t="inlineStr">
        <is>
          <t>Expense</t>
        </is>
      </c>
      <c r="C134" s="6" t="inlineStr">
        <is>
          <t>Miscellaneous Expense</t>
        </is>
      </c>
      <c r="D134" s="22" t="n">
        <v>100</v>
      </c>
      <c r="E134" s="6" t="inlineStr">
        <is>
          <t>G&amp;A</t>
        </is>
      </c>
    </row>
    <row r="135">
      <c r="A135" s="6" t="inlineStr">
        <is>
          <t>Majestic Commercenter — FY2024</t>
        </is>
      </c>
      <c r="B135" s="25" t="inlineStr">
        <is>
          <t>Expense</t>
        </is>
      </c>
      <c r="C135" s="6" t="inlineStr">
        <is>
          <t>Lease Commission</t>
        </is>
      </c>
      <c r="D135" s="22" t="n">
        <v>71251.2</v>
      </c>
      <c r="E135" s="6" t="n"/>
    </row>
    <row r="136">
      <c r="A136" s="11" t="inlineStr">
        <is>
          <t>Majestic Commercenter — FY2024</t>
        </is>
      </c>
      <c r="B136" s="26" t="inlineStr">
        <is>
          <t>Expense</t>
        </is>
      </c>
      <c r="C136" s="12" t="inlineStr">
        <is>
          <t>TOTAL EXPENSE</t>
        </is>
      </c>
      <c r="D136" s="23">
        <f>SUM(D121:D135)</f>
        <v/>
      </c>
      <c r="E136" s="6" t="inlineStr">
        <is>
          <t>Printed total: $684,100.18.</t>
        </is>
      </c>
    </row>
    <row r="137">
      <c r="A137" s="6" t="inlineStr">
        <is>
          <t>3254 Fraser St — FY2023</t>
        </is>
      </c>
      <c r="B137" s="25" t="inlineStr">
        <is>
          <t>Income</t>
        </is>
      </c>
      <c r="C137" s="6" t="inlineStr">
        <is>
          <t>Base Rent</t>
        </is>
      </c>
      <c r="D137" s="22" t="n">
        <v>682842.54</v>
      </c>
      <c r="E137" s="6" t="n"/>
    </row>
    <row r="138">
      <c r="A138" s="6" t="inlineStr">
        <is>
          <t>3254 Fraser St — FY2023</t>
        </is>
      </c>
      <c r="B138" s="25" t="inlineStr">
        <is>
          <t>Income</t>
        </is>
      </c>
      <c r="C138" s="6" t="inlineStr">
        <is>
          <t>Operating Expense Recovery</t>
        </is>
      </c>
      <c r="D138" s="22" t="n">
        <v>100596</v>
      </c>
      <c r="E138" s="6" t="n"/>
    </row>
    <row r="139">
      <c r="A139" s="6" t="inlineStr">
        <is>
          <t>3254 Fraser St — FY2023</t>
        </is>
      </c>
      <c r="B139" s="25" t="inlineStr">
        <is>
          <t>Income</t>
        </is>
      </c>
      <c r="C139" s="6" t="inlineStr">
        <is>
          <t>Operating Expense Recovery - 3301</t>
        </is>
      </c>
      <c r="D139" s="22" t="n">
        <v>11100</v>
      </c>
      <c r="E139" s="6" t="n"/>
    </row>
    <row r="140">
      <c r="A140" s="6" t="inlineStr">
        <is>
          <t>3254 Fraser St — FY2023</t>
        </is>
      </c>
      <c r="B140" s="25" t="inlineStr">
        <is>
          <t>Income</t>
        </is>
      </c>
      <c r="C140" s="6" t="inlineStr">
        <is>
          <t>Insurance Recovery</t>
        </is>
      </c>
      <c r="D140" s="22" t="n">
        <v>13884</v>
      </c>
      <c r="E140" s="6" t="n"/>
    </row>
    <row r="141">
      <c r="A141" s="6" t="inlineStr">
        <is>
          <t>3254 Fraser St — FY2023</t>
        </is>
      </c>
      <c r="B141" s="25" t="inlineStr">
        <is>
          <t>Income</t>
        </is>
      </c>
      <c r="C141" s="6" t="inlineStr">
        <is>
          <t>Tax Recovery</t>
        </is>
      </c>
      <c r="D141" s="22" t="n">
        <v>404173</v>
      </c>
      <c r="E141" s="6" t="n"/>
    </row>
    <row r="142">
      <c r="A142" s="6" t="inlineStr">
        <is>
          <t>3254 Fraser St — FY2023</t>
        </is>
      </c>
      <c r="B142" s="25" t="inlineStr">
        <is>
          <t>Income</t>
        </is>
      </c>
      <c r="C142" s="6" t="inlineStr">
        <is>
          <t>PY CAM Reconciliation</t>
        </is>
      </c>
      <c r="D142" s="22" t="n">
        <v>6929.26</v>
      </c>
      <c r="E142" s="6" t="n"/>
    </row>
    <row r="143">
      <c r="A143" s="6" t="inlineStr">
        <is>
          <t>3254 Fraser St — FY2023</t>
        </is>
      </c>
      <c r="B143" s="25" t="inlineStr">
        <is>
          <t>Income</t>
        </is>
      </c>
      <c r="C143" s="6" t="inlineStr">
        <is>
          <t>Interest Income</t>
        </is>
      </c>
      <c r="D143" s="22" t="n">
        <v>183.09</v>
      </c>
      <c r="E143" s="6" t="n"/>
    </row>
    <row r="144">
      <c r="A144" s="11" t="inlineStr">
        <is>
          <t>3254 Fraser St — FY2023</t>
        </is>
      </c>
      <c r="B144" s="26" t="inlineStr">
        <is>
          <t>Income</t>
        </is>
      </c>
      <c r="C144" s="12" t="inlineStr">
        <is>
          <t>TOTAL INCOME</t>
        </is>
      </c>
      <c r="D144" s="23">
        <f>SUM(D137:D143)</f>
        <v/>
      </c>
      <c r="E144" s="6" t="inlineStr">
        <is>
          <t>Printed total: $1,219,707.89.</t>
        </is>
      </c>
    </row>
    <row r="145">
      <c r="A145" s="6" t="inlineStr">
        <is>
          <t>3254 Fraser St — FY2023</t>
        </is>
      </c>
      <c r="B145" s="25" t="inlineStr">
        <is>
          <t>Expense</t>
        </is>
      </c>
      <c r="C145" s="6" t="inlineStr">
        <is>
          <t>Electricity (recov)</t>
        </is>
      </c>
      <c r="D145" s="22" t="n">
        <v>622.9299999999999</v>
      </c>
      <c r="E145" s="6" t="n"/>
    </row>
    <row r="146">
      <c r="A146" s="6" t="inlineStr">
        <is>
          <t>3254 Fraser St — FY2023</t>
        </is>
      </c>
      <c r="B146" s="25" t="inlineStr">
        <is>
          <t>Expense</t>
        </is>
      </c>
      <c r="C146" s="6" t="inlineStr">
        <is>
          <t>Water/Sewer (recov)</t>
        </is>
      </c>
      <c r="D146" s="22" t="n">
        <v>17210.76</v>
      </c>
      <c r="E146" s="6" t="n"/>
    </row>
    <row r="147">
      <c r="A147" s="6" t="inlineStr">
        <is>
          <t>3254 Fraser St — FY2023</t>
        </is>
      </c>
      <c r="B147" s="25" t="inlineStr">
        <is>
          <t>Expense</t>
        </is>
      </c>
      <c r="C147" s="6" t="inlineStr">
        <is>
          <t>Fire Safety Contract</t>
        </is>
      </c>
      <c r="D147" s="22" t="n">
        <v>488.34</v>
      </c>
      <c r="E147" s="6" t="n"/>
    </row>
    <row r="148">
      <c r="A148" s="6" t="inlineStr">
        <is>
          <t>3254 Fraser St — FY2023</t>
        </is>
      </c>
      <c r="B148" s="25" t="inlineStr">
        <is>
          <t>Expense</t>
        </is>
      </c>
      <c r="C148" s="6" t="inlineStr">
        <is>
          <t>Fire Safety Repairs</t>
        </is>
      </c>
      <c r="D148" s="22" t="n">
        <v>6691.95</v>
      </c>
      <c r="E148" s="6" t="n"/>
    </row>
    <row r="149">
      <c r="A149" s="6" t="inlineStr">
        <is>
          <t>3254 Fraser St — FY2023</t>
        </is>
      </c>
      <c r="B149" s="25" t="inlineStr">
        <is>
          <t>Expense</t>
        </is>
      </c>
      <c r="C149" s="6" t="inlineStr">
        <is>
          <t>Fire Safety Other</t>
        </is>
      </c>
      <c r="D149" s="22" t="n">
        <v>515</v>
      </c>
      <c r="E149" s="6" t="n"/>
    </row>
    <row r="150">
      <c r="A150" s="6" t="inlineStr">
        <is>
          <t>3254 Fraser St — FY2023</t>
        </is>
      </c>
      <c r="B150" s="25" t="inlineStr">
        <is>
          <t>Expense</t>
        </is>
      </c>
      <c r="C150" s="6" t="inlineStr">
        <is>
          <t>Trash Removal Contract (recov)</t>
        </is>
      </c>
      <c r="D150" s="22" t="n">
        <v>185</v>
      </c>
      <c r="E150" s="6" t="n"/>
    </row>
    <row r="151">
      <c r="A151" s="6" t="inlineStr">
        <is>
          <t>3254 Fraser St — FY2023</t>
        </is>
      </c>
      <c r="B151" s="25" t="inlineStr">
        <is>
          <t>Expense</t>
        </is>
      </c>
      <c r="C151" s="6" t="inlineStr">
        <is>
          <t>R&amp;M - General Building (recov)</t>
        </is>
      </c>
      <c r="D151" s="22" t="n">
        <v>1300</v>
      </c>
      <c r="E151" s="6" t="n"/>
    </row>
    <row r="152">
      <c r="A152" s="6" t="inlineStr">
        <is>
          <t>3254 Fraser St — FY2023</t>
        </is>
      </c>
      <c r="B152" s="25" t="inlineStr">
        <is>
          <t>Expense</t>
        </is>
      </c>
      <c r="C152" s="6" t="inlineStr">
        <is>
          <t>Landscape Contract</t>
        </is>
      </c>
      <c r="D152" s="22" t="n">
        <v>8190</v>
      </c>
      <c r="E152" s="6" t="n"/>
    </row>
    <row r="153">
      <c r="A153" s="6" t="inlineStr">
        <is>
          <t>3254 Fraser St — FY2023</t>
        </is>
      </c>
      <c r="B153" s="25" t="inlineStr">
        <is>
          <t>Expense</t>
        </is>
      </c>
      <c r="C153" s="6" t="inlineStr">
        <is>
          <t>R&amp;M - Landscape</t>
        </is>
      </c>
      <c r="D153" s="22" t="n">
        <v>7341.03</v>
      </c>
      <c r="E153" s="6" t="n"/>
    </row>
    <row r="154">
      <c r="A154" s="6" t="inlineStr">
        <is>
          <t>3254 Fraser St — FY2023</t>
        </is>
      </c>
      <c r="B154" s="25" t="inlineStr">
        <is>
          <t>Expense</t>
        </is>
      </c>
      <c r="C154" s="6" t="inlineStr">
        <is>
          <t>R&amp;M - Parking Lot (recov)</t>
        </is>
      </c>
      <c r="D154" s="22" t="n">
        <v>4760</v>
      </c>
      <c r="E154" s="6" t="n"/>
    </row>
    <row r="155">
      <c r="A155" s="6" t="inlineStr">
        <is>
          <t>3254 Fraser St — FY2023</t>
        </is>
      </c>
      <c r="B155" s="25" t="inlineStr">
        <is>
          <t>Expense</t>
        </is>
      </c>
      <c r="C155" s="6" t="inlineStr">
        <is>
          <t>R&amp;M - Prk Lot Sweeping (recov)</t>
        </is>
      </c>
      <c r="D155" s="22" t="n">
        <v>1465</v>
      </c>
      <c r="E155" s="6" t="n"/>
    </row>
    <row r="156">
      <c r="A156" s="6" t="inlineStr">
        <is>
          <t>3254 Fraser St — FY2023</t>
        </is>
      </c>
      <c r="B156" s="25" t="inlineStr">
        <is>
          <t>Expense</t>
        </is>
      </c>
      <c r="C156" s="6" t="inlineStr">
        <is>
          <t>R&amp;M - Prk Lot Snow Removal (recov)</t>
        </is>
      </c>
      <c r="D156" s="22" t="n">
        <v>12306</v>
      </c>
      <c r="E156" s="6" t="n"/>
    </row>
    <row r="157">
      <c r="A157" s="6" t="inlineStr">
        <is>
          <t>3254 Fraser St — FY2023</t>
        </is>
      </c>
      <c r="B157" s="25" t="inlineStr">
        <is>
          <t>Expense</t>
        </is>
      </c>
      <c r="C157" s="6" t="inlineStr">
        <is>
          <t>R&amp;M - Roof (recov)</t>
        </is>
      </c>
      <c r="D157" s="22" t="n">
        <v>7126.12</v>
      </c>
      <c r="E157" s="6" t="n"/>
    </row>
    <row r="158">
      <c r="A158" s="6" t="inlineStr">
        <is>
          <t>3254 Fraser St — FY2023</t>
        </is>
      </c>
      <c r="B158" s="25" t="inlineStr">
        <is>
          <t>Expense</t>
        </is>
      </c>
      <c r="C158" s="6" t="inlineStr">
        <is>
          <t>Trash Removal (recov)</t>
        </is>
      </c>
      <c r="D158" s="22" t="n">
        <v>145</v>
      </c>
      <c r="E158" s="6" t="n"/>
    </row>
    <row r="159">
      <c r="A159" s="6" t="inlineStr">
        <is>
          <t>3254 Fraser St — FY2023</t>
        </is>
      </c>
      <c r="B159" s="25" t="inlineStr">
        <is>
          <t>Expense</t>
        </is>
      </c>
      <c r="C159" s="6" t="inlineStr">
        <is>
          <t>Management Fees (recov)</t>
        </is>
      </c>
      <c r="D159" s="22" t="n">
        <v>30519.97</v>
      </c>
      <c r="E159" s="6" t="n"/>
    </row>
    <row r="160">
      <c r="A160" s="6" t="inlineStr">
        <is>
          <t>3254 Fraser St — FY2023</t>
        </is>
      </c>
      <c r="B160" s="25" t="inlineStr">
        <is>
          <t>Expense</t>
        </is>
      </c>
      <c r="C160" s="6" t="inlineStr">
        <is>
          <t>Other Expense (recov)</t>
        </is>
      </c>
      <c r="D160" s="22" t="n">
        <v>100</v>
      </c>
      <c r="E160" s="6" t="n"/>
    </row>
    <row r="161">
      <c r="A161" s="6" t="inlineStr">
        <is>
          <t>3254 Fraser St — FY2023</t>
        </is>
      </c>
      <c r="B161" s="25" t="inlineStr">
        <is>
          <t>Expense</t>
        </is>
      </c>
      <c r="C161" s="6" t="inlineStr">
        <is>
          <t>Vacant Lot Expense (non-recov)</t>
        </is>
      </c>
      <c r="D161" s="22" t="n">
        <v>13376.42</v>
      </c>
      <c r="E161" s="6" t="n"/>
    </row>
    <row r="162">
      <c r="A162" s="6" t="inlineStr">
        <is>
          <t>3254 Fraser St — FY2023</t>
        </is>
      </c>
      <c r="B162" s="25" t="inlineStr">
        <is>
          <t>Expense</t>
        </is>
      </c>
      <c r="C162" s="6" t="inlineStr">
        <is>
          <t>Insurance</t>
        </is>
      </c>
      <c r="D162" s="22" t="n">
        <v>17617.11</v>
      </c>
      <c r="E162" s="6" t="n"/>
    </row>
    <row r="163">
      <c r="A163" s="6" t="inlineStr">
        <is>
          <t>3254 Fraser St — FY2023</t>
        </is>
      </c>
      <c r="B163" s="25" t="inlineStr">
        <is>
          <t>Expense</t>
        </is>
      </c>
      <c r="C163" s="6" t="inlineStr">
        <is>
          <t>Real Estate Taxes</t>
        </is>
      </c>
      <c r="D163" s="22" t="n">
        <v>404173</v>
      </c>
      <c r="E163" s="6" t="n"/>
    </row>
    <row r="164">
      <c r="A164" s="6" t="inlineStr">
        <is>
          <t>3254 Fraser St — FY2023</t>
        </is>
      </c>
      <c r="B164" s="25" t="inlineStr">
        <is>
          <t>Expense</t>
        </is>
      </c>
      <c r="C164" s="6" t="inlineStr">
        <is>
          <t>Real Estate Taxes - Prior-Yr Adj</t>
        </is>
      </c>
      <c r="D164" s="22" t="n">
        <v>-11797.64</v>
      </c>
      <c r="E164" s="6" t="n"/>
    </row>
    <row r="165">
      <c r="A165" s="6" t="inlineStr">
        <is>
          <t>3254 Fraser St — FY2023</t>
        </is>
      </c>
      <c r="B165" s="25" t="inlineStr">
        <is>
          <t>Expense</t>
        </is>
      </c>
      <c r="C165" s="6" t="inlineStr">
        <is>
          <t>Step Rent Amortization</t>
        </is>
      </c>
      <c r="D165" s="22" t="n">
        <v>35915.7</v>
      </c>
      <c r="E165" s="6" t="inlineStr">
        <is>
          <t>G&amp;A</t>
        </is>
      </c>
    </row>
    <row r="166">
      <c r="A166" s="6" t="inlineStr">
        <is>
          <t>3254 Fraser St — FY2023</t>
        </is>
      </c>
      <c r="B166" s="25" t="inlineStr">
        <is>
          <t>Expense</t>
        </is>
      </c>
      <c r="C166" s="6" t="inlineStr">
        <is>
          <t>Consultation Fees - General</t>
        </is>
      </c>
      <c r="D166" s="22" t="n">
        <v>1150.44</v>
      </c>
      <c r="E166" s="6" t="n"/>
    </row>
    <row r="167">
      <c r="A167" s="6" t="inlineStr">
        <is>
          <t>3254 Fraser St — FY2023</t>
        </is>
      </c>
      <c r="B167" s="25" t="inlineStr">
        <is>
          <t>Expense</t>
        </is>
      </c>
      <c r="C167" s="6" t="inlineStr">
        <is>
          <t>Tenant Improvement (capital)</t>
        </is>
      </c>
      <c r="D167" s="22" t="n">
        <v>10572.6</v>
      </c>
      <c r="E167" s="6" t="n"/>
    </row>
    <row r="168">
      <c r="A168" s="11" t="inlineStr">
        <is>
          <t>3254 Fraser St — FY2023</t>
        </is>
      </c>
      <c r="B168" s="26" t="inlineStr">
        <is>
          <t>Expense</t>
        </is>
      </c>
      <c r="C168" s="12" t="inlineStr">
        <is>
          <t>TOTAL EXPENSE</t>
        </is>
      </c>
      <c r="D168" s="23">
        <f>SUM(D145:D167)</f>
        <v/>
      </c>
      <c r="E168" s="6" t="inlineStr">
        <is>
          <t>Printed total: $569,974.73.</t>
        </is>
      </c>
    </row>
    <row r="169">
      <c r="A169" s="6" t="inlineStr">
        <is>
          <t>3254 Fraser St — FY2024</t>
        </is>
      </c>
      <c r="B169" s="25" t="inlineStr">
        <is>
          <t>Income</t>
        </is>
      </c>
      <c r="C169" s="6" t="inlineStr">
        <is>
          <t>Base Rent</t>
        </is>
      </c>
      <c r="D169" s="22" t="n">
        <v>717926.13</v>
      </c>
      <c r="E169" s="6" t="n"/>
    </row>
    <row r="170">
      <c r="A170" s="6" t="inlineStr">
        <is>
          <t>3254 Fraser St — FY2024</t>
        </is>
      </c>
      <c r="B170" s="25" t="inlineStr">
        <is>
          <t>Income</t>
        </is>
      </c>
      <c r="C170" s="6" t="inlineStr">
        <is>
          <t>Operating Expense Recovery</t>
        </is>
      </c>
      <c r="D170" s="22" t="n">
        <v>106740</v>
      </c>
      <c r="E170" s="6" t="n"/>
    </row>
    <row r="171">
      <c r="A171" s="6" t="inlineStr">
        <is>
          <t>3254 Fraser St — FY2024</t>
        </is>
      </c>
      <c r="B171" s="25" t="inlineStr">
        <is>
          <t>Income</t>
        </is>
      </c>
      <c r="C171" s="6" t="inlineStr">
        <is>
          <t>Operating Expense Recovery - 3301</t>
        </is>
      </c>
      <c r="D171" s="22" t="n">
        <v>11400</v>
      </c>
      <c r="E171" s="6" t="n"/>
    </row>
    <row r="172">
      <c r="A172" s="6" t="inlineStr">
        <is>
          <t>3254 Fraser St — FY2024</t>
        </is>
      </c>
      <c r="B172" s="25" t="inlineStr">
        <is>
          <t>Income</t>
        </is>
      </c>
      <c r="C172" s="6" t="inlineStr">
        <is>
          <t>Insurance Recovery</t>
        </is>
      </c>
      <c r="D172" s="22" t="n">
        <v>22020</v>
      </c>
      <c r="E172" s="6" t="n"/>
    </row>
    <row r="173">
      <c r="A173" s="6" t="inlineStr">
        <is>
          <t>3254 Fraser St — FY2024</t>
        </is>
      </c>
      <c r="B173" s="25" t="inlineStr">
        <is>
          <t>Income</t>
        </is>
      </c>
      <c r="C173" s="6" t="inlineStr">
        <is>
          <t>Tax Recovery</t>
        </is>
      </c>
      <c r="D173" s="22" t="n">
        <v>404220</v>
      </c>
      <c r="E173" s="6" t="n"/>
    </row>
    <row r="174">
      <c r="A174" s="6" t="inlineStr">
        <is>
          <t>3254 Fraser St — FY2024</t>
        </is>
      </c>
      <c r="B174" s="25" t="inlineStr">
        <is>
          <t>Income</t>
        </is>
      </c>
      <c r="C174" s="6" t="inlineStr">
        <is>
          <t>PY CAM Reconciliation</t>
        </is>
      </c>
      <c r="D174" s="22" t="n">
        <v>101792.04</v>
      </c>
      <c r="E174" s="6" t="n"/>
    </row>
    <row r="175">
      <c r="A175" s="6" t="inlineStr">
        <is>
          <t>3254 Fraser St — FY2024</t>
        </is>
      </c>
      <c r="B175" s="25" t="inlineStr">
        <is>
          <t>Income</t>
        </is>
      </c>
      <c r="C175" s="6" t="inlineStr">
        <is>
          <t>Bad Debt Allowance</t>
        </is>
      </c>
      <c r="D175" s="22" t="n">
        <v>-18750</v>
      </c>
      <c r="E175" s="6" t="n"/>
    </row>
    <row r="176">
      <c r="A176" s="6" t="inlineStr">
        <is>
          <t>3254 Fraser St — FY2024</t>
        </is>
      </c>
      <c r="B176" s="25" t="inlineStr">
        <is>
          <t>Income</t>
        </is>
      </c>
      <c r="C176" s="6" t="inlineStr">
        <is>
          <t>Interest Income</t>
        </is>
      </c>
      <c r="D176" s="22" t="n">
        <v>1328.96</v>
      </c>
      <c r="E176" s="6" t="n"/>
    </row>
    <row r="177">
      <c r="A177" s="11" t="inlineStr">
        <is>
          <t>3254 Fraser St — FY2024</t>
        </is>
      </c>
      <c r="B177" s="26" t="inlineStr">
        <is>
          <t>Income</t>
        </is>
      </c>
      <c r="C177" s="12" t="inlineStr">
        <is>
          <t>TOTAL INCOME</t>
        </is>
      </c>
      <c r="D177" s="23">
        <f>SUM(D169:D176)</f>
        <v/>
      </c>
      <c r="E177" s="6" t="inlineStr">
        <is>
          <t>Printed total: $1,346,677.13.</t>
        </is>
      </c>
    </row>
    <row r="178">
      <c r="A178" s="6" t="inlineStr">
        <is>
          <t>3254 Fraser St — FY2024</t>
        </is>
      </c>
      <c r="B178" s="25" t="inlineStr">
        <is>
          <t>Expense</t>
        </is>
      </c>
      <c r="C178" s="6" t="inlineStr">
        <is>
          <t>Electricity (recov)</t>
        </is>
      </c>
      <c r="D178" s="22" t="n">
        <v>693.74</v>
      </c>
      <c r="E178" s="6" t="n"/>
    </row>
    <row r="179">
      <c r="A179" s="6" t="inlineStr">
        <is>
          <t>3254 Fraser St — FY2024</t>
        </is>
      </c>
      <c r="B179" s="25" t="inlineStr">
        <is>
          <t>Expense</t>
        </is>
      </c>
      <c r="C179" s="6" t="inlineStr">
        <is>
          <t>Water/Sewer (recov)</t>
        </is>
      </c>
      <c r="D179" s="22" t="n">
        <v>19369.95</v>
      </c>
      <c r="E179" s="6" t="n"/>
    </row>
    <row r="180">
      <c r="A180" s="6" t="inlineStr">
        <is>
          <t>3254 Fraser St — FY2024</t>
        </is>
      </c>
      <c r="B180" s="25" t="inlineStr">
        <is>
          <t>Expense</t>
        </is>
      </c>
      <c r="C180" s="6" t="inlineStr">
        <is>
          <t>Fire Safety Contract</t>
        </is>
      </c>
      <c r="D180" s="22" t="n">
        <v>499.92</v>
      </c>
      <c r="E180" s="6" t="n"/>
    </row>
    <row r="181">
      <c r="A181" s="6" t="inlineStr">
        <is>
          <t>3254 Fraser St — FY2024</t>
        </is>
      </c>
      <c r="B181" s="25" t="inlineStr">
        <is>
          <t>Expense</t>
        </is>
      </c>
      <c r="C181" s="6" t="inlineStr">
        <is>
          <t>Fire Safety Repairs</t>
        </is>
      </c>
      <c r="D181" s="22" t="n">
        <v>6360.79</v>
      </c>
      <c r="E181" s="6" t="n"/>
    </row>
    <row r="182">
      <c r="A182" s="6" t="inlineStr">
        <is>
          <t>3254 Fraser St — FY2024</t>
        </is>
      </c>
      <c r="B182" s="25" t="inlineStr">
        <is>
          <t>Expense</t>
        </is>
      </c>
      <c r="C182" s="6" t="inlineStr">
        <is>
          <t>Fire Safety Other</t>
        </is>
      </c>
      <c r="D182" s="22" t="n">
        <v>665</v>
      </c>
      <c r="E182" s="6" t="n"/>
    </row>
    <row r="183">
      <c r="A183" s="6" t="inlineStr">
        <is>
          <t>3254 Fraser St — FY2024</t>
        </is>
      </c>
      <c r="B183" s="25" t="inlineStr">
        <is>
          <t>Expense</t>
        </is>
      </c>
      <c r="C183" s="6" t="inlineStr">
        <is>
          <t>R&amp;M - Electrical (recov)</t>
        </is>
      </c>
      <c r="D183" s="22" t="n">
        <v>706.73</v>
      </c>
      <c r="E183" s="6" t="n"/>
    </row>
    <row r="184">
      <c r="A184" s="6" t="inlineStr">
        <is>
          <t>3254 Fraser St — FY2024</t>
        </is>
      </c>
      <c r="B184" s="25" t="inlineStr">
        <is>
          <t>Expense</t>
        </is>
      </c>
      <c r="C184" s="6" t="inlineStr">
        <is>
          <t>R&amp;M - General Building (recov)</t>
        </is>
      </c>
      <c r="D184" s="22" t="n">
        <v>4114</v>
      </c>
      <c r="E184" s="6" t="n"/>
    </row>
    <row r="185">
      <c r="A185" s="6" t="inlineStr">
        <is>
          <t>3254 Fraser St — FY2024</t>
        </is>
      </c>
      <c r="B185" s="25" t="inlineStr">
        <is>
          <t>Expense</t>
        </is>
      </c>
      <c r="C185" s="6" t="inlineStr">
        <is>
          <t>Landscape Contract</t>
        </is>
      </c>
      <c r="D185" s="22" t="n">
        <v>8514</v>
      </c>
      <c r="E185" s="6" t="n"/>
    </row>
    <row r="186">
      <c r="A186" s="6" t="inlineStr">
        <is>
          <t>3254 Fraser St — FY2024</t>
        </is>
      </c>
      <c r="B186" s="25" t="inlineStr">
        <is>
          <t>Expense</t>
        </is>
      </c>
      <c r="C186" s="6" t="inlineStr">
        <is>
          <t>R&amp;M - Landscape</t>
        </is>
      </c>
      <c r="D186" s="22" t="n">
        <v>1490.37</v>
      </c>
      <c r="E186" s="6" t="n"/>
    </row>
    <row r="187">
      <c r="A187" s="6" t="inlineStr">
        <is>
          <t>3254 Fraser St — FY2024</t>
        </is>
      </c>
      <c r="B187" s="25" t="inlineStr">
        <is>
          <t>Expense</t>
        </is>
      </c>
      <c r="C187" s="6" t="inlineStr">
        <is>
          <t>R&amp;M - Parking Lot (recov)</t>
        </is>
      </c>
      <c r="D187" s="22" t="n">
        <v>630</v>
      </c>
      <c r="E187" s="6" t="n"/>
    </row>
    <row r="188">
      <c r="A188" s="6" t="inlineStr">
        <is>
          <t>3254 Fraser St — FY2024</t>
        </is>
      </c>
      <c r="B188" s="25" t="inlineStr">
        <is>
          <t>Expense</t>
        </is>
      </c>
      <c r="C188" s="6" t="inlineStr">
        <is>
          <t>R&amp;M - Prk Lot Sweeping (recov)</t>
        </is>
      </c>
      <c r="D188" s="22" t="n">
        <v>1560</v>
      </c>
      <c r="E188" s="6" t="n"/>
    </row>
    <row r="189">
      <c r="A189" s="6" t="inlineStr">
        <is>
          <t>3254 Fraser St — FY2024</t>
        </is>
      </c>
      <c r="B189" s="25" t="inlineStr">
        <is>
          <t>Expense</t>
        </is>
      </c>
      <c r="C189" s="6" t="inlineStr">
        <is>
          <t>R&amp;M - Prk Lot Snow Removal (recov)</t>
        </is>
      </c>
      <c r="D189" s="22" t="n">
        <v>16477</v>
      </c>
      <c r="E189" s="6" t="n"/>
    </row>
    <row r="190">
      <c r="A190" s="6" t="inlineStr">
        <is>
          <t>3254 Fraser St — FY2024</t>
        </is>
      </c>
      <c r="B190" s="25" t="inlineStr">
        <is>
          <t>Expense</t>
        </is>
      </c>
      <c r="C190" s="6" t="inlineStr">
        <is>
          <t>R&amp;M - Painting (recov)</t>
        </is>
      </c>
      <c r="D190" s="22" t="n">
        <v>475</v>
      </c>
      <c r="E190" s="6" t="n"/>
    </row>
    <row r="191">
      <c r="A191" s="6" t="inlineStr">
        <is>
          <t>3254 Fraser St — FY2024</t>
        </is>
      </c>
      <c r="B191" s="25" t="inlineStr">
        <is>
          <t>Expense</t>
        </is>
      </c>
      <c r="C191" s="6" t="inlineStr">
        <is>
          <t>R&amp;M - Roof (recov)</t>
        </is>
      </c>
      <c r="D191" s="22" t="n">
        <v>13659.8</v>
      </c>
      <c r="E191" s="6" t="n"/>
    </row>
    <row r="192">
      <c r="A192" s="6" t="inlineStr">
        <is>
          <t>3254 Fraser St — FY2024</t>
        </is>
      </c>
      <c r="B192" s="25" t="inlineStr">
        <is>
          <t>Expense</t>
        </is>
      </c>
      <c r="C192" s="6" t="inlineStr">
        <is>
          <t>Management Fees (recov)</t>
        </is>
      </c>
      <c r="D192" s="22" t="n">
        <v>31907.5</v>
      </c>
      <c r="E192" s="6" t="n"/>
    </row>
    <row r="193">
      <c r="A193" s="6" t="inlineStr">
        <is>
          <t>3254 Fraser St — FY2024</t>
        </is>
      </c>
      <c r="B193" s="25" t="inlineStr">
        <is>
          <t>Expense</t>
        </is>
      </c>
      <c r="C193" s="6" t="inlineStr">
        <is>
          <t>Other Expense (recov)</t>
        </is>
      </c>
      <c r="D193" s="22" t="n">
        <v>100</v>
      </c>
      <c r="E193" s="6" t="n"/>
    </row>
    <row r="194">
      <c r="A194" s="6" t="inlineStr">
        <is>
          <t>3254 Fraser St — FY2024</t>
        </is>
      </c>
      <c r="B194" s="25" t="inlineStr">
        <is>
          <t>Expense</t>
        </is>
      </c>
      <c r="C194" s="6" t="inlineStr">
        <is>
          <t>Vacant Lot Expense (non-recov)</t>
        </is>
      </c>
      <c r="D194" s="22" t="n">
        <v>7165.06</v>
      </c>
      <c r="E194" s="6" t="n"/>
    </row>
    <row r="195">
      <c r="A195" s="6" t="inlineStr">
        <is>
          <t>3254 Fraser St — FY2024</t>
        </is>
      </c>
      <c r="B195" s="25" t="inlineStr">
        <is>
          <t>Expense</t>
        </is>
      </c>
      <c r="C195" s="6" t="inlineStr">
        <is>
          <t>Insurance</t>
        </is>
      </c>
      <c r="D195" s="22" t="n">
        <v>23743.77</v>
      </c>
      <c r="E195" s="6" t="n"/>
    </row>
    <row r="196">
      <c r="A196" s="6" t="inlineStr">
        <is>
          <t>3254 Fraser St — FY2024</t>
        </is>
      </c>
      <c r="B196" s="25" t="inlineStr">
        <is>
          <t>Expense</t>
        </is>
      </c>
      <c r="C196" s="6" t="inlineStr">
        <is>
          <t>Real Estate Taxes</t>
        </is>
      </c>
      <c r="D196" s="22" t="n">
        <v>357648.94</v>
      </c>
      <c r="E196" s="6" t="n"/>
    </row>
    <row r="197">
      <c r="A197" s="6" t="inlineStr">
        <is>
          <t>3254 Fraser St — FY2024</t>
        </is>
      </c>
      <c r="B197" s="25" t="inlineStr">
        <is>
          <t>Expense</t>
        </is>
      </c>
      <c r="C197" s="6" t="inlineStr">
        <is>
          <t>Real Estate Taxes - Prior-Yr Adj</t>
        </is>
      </c>
      <c r="D197" s="22" t="n">
        <v>-23279.04</v>
      </c>
      <c r="E197" s="6" t="n"/>
    </row>
    <row r="198">
      <c r="A198" s="6" t="inlineStr">
        <is>
          <t>3254 Fraser St — FY2024</t>
        </is>
      </c>
      <c r="B198" s="25" t="inlineStr">
        <is>
          <t>Expense</t>
        </is>
      </c>
      <c r="C198" s="6" t="inlineStr">
        <is>
          <t>Tax Consulting</t>
        </is>
      </c>
      <c r="D198" s="22" t="n">
        <v>42663.51</v>
      </c>
      <c r="E198" s="6" t="n"/>
    </row>
    <row r="199">
      <c r="A199" s="6" t="inlineStr">
        <is>
          <t>3254 Fraser St — FY2024</t>
        </is>
      </c>
      <c r="B199" s="25" t="inlineStr">
        <is>
          <t>Expense</t>
        </is>
      </c>
      <c r="C199" s="6" t="inlineStr">
        <is>
          <t>Step Rent Amortization</t>
        </is>
      </c>
      <c r="D199" s="22" t="n">
        <v>-316.23</v>
      </c>
      <c r="E199" s="6" t="inlineStr">
        <is>
          <t>G&amp;A</t>
        </is>
      </c>
    </row>
    <row r="200">
      <c r="A200" s="6" t="inlineStr">
        <is>
          <t>3254 Fraser St — FY2024</t>
        </is>
      </c>
      <c r="B200" s="25" t="inlineStr">
        <is>
          <t>Expense</t>
        </is>
      </c>
      <c r="C200" s="6" t="inlineStr">
        <is>
          <t>Consultation Fees - General</t>
        </is>
      </c>
      <c r="D200" s="22" t="n">
        <v>1150.44</v>
      </c>
      <c r="E200" s="6" t="n"/>
    </row>
    <row r="201">
      <c r="A201" s="6" t="inlineStr">
        <is>
          <t>3254 Fraser St — FY2024</t>
        </is>
      </c>
      <c r="B201" s="25" t="inlineStr">
        <is>
          <t>Expense</t>
        </is>
      </c>
      <c r="C201" s="6" t="inlineStr">
        <is>
          <t>Building (capital)</t>
        </is>
      </c>
      <c r="D201" s="22" t="n">
        <v>161240</v>
      </c>
      <c r="E201" s="6" t="n"/>
    </row>
    <row r="202">
      <c r="A202" s="6" t="inlineStr">
        <is>
          <t>3254 Fraser St — FY2024</t>
        </is>
      </c>
      <c r="B202" s="25" t="inlineStr">
        <is>
          <t>Expense</t>
        </is>
      </c>
      <c r="C202" s="6" t="inlineStr">
        <is>
          <t>Tenant Improvement (capital)</t>
        </is>
      </c>
      <c r="D202" s="22" t="n">
        <v>35304</v>
      </c>
      <c r="E202" s="6" t="n"/>
    </row>
    <row r="203">
      <c r="A203" s="6" t="inlineStr">
        <is>
          <t>3254 Fraser St — FY2024</t>
        </is>
      </c>
      <c r="B203" s="25" t="inlineStr">
        <is>
          <t>Expense</t>
        </is>
      </c>
      <c r="C203" s="6" t="inlineStr">
        <is>
          <t>Roof (capital)</t>
        </is>
      </c>
      <c r="D203" s="22" t="n">
        <v>38643</v>
      </c>
      <c r="E203" s="6" t="n"/>
    </row>
    <row r="204">
      <c r="A204" s="11" t="inlineStr">
        <is>
          <t>3254 Fraser St — FY2024</t>
        </is>
      </c>
      <c r="B204" s="26" t="inlineStr">
        <is>
          <t>Expense</t>
        </is>
      </c>
      <c r="C204" s="12" t="inlineStr">
        <is>
          <t>TOTAL EXPENSE</t>
        </is>
      </c>
      <c r="D204" s="23">
        <f>SUM(D178:D203)</f>
        <v/>
      </c>
      <c r="E204" s="6" t="inlineStr">
        <is>
          <t>Printed total: $751,187.25.</t>
        </is>
      </c>
    </row>
    <row r="205">
      <c r="A205" s="6" t="inlineStr">
        <is>
          <t>3650 Fraser St — FY2023</t>
        </is>
      </c>
      <c r="B205" s="25" t="inlineStr">
        <is>
          <t>Income</t>
        </is>
      </c>
      <c r="C205" s="6" t="inlineStr">
        <is>
          <t>Base Rent</t>
        </is>
      </c>
      <c r="D205" s="22" t="n">
        <v>783130.39</v>
      </c>
      <c r="E205" s="6" t="n"/>
    </row>
    <row r="206">
      <c r="A206" s="6" t="inlineStr">
        <is>
          <t>3650 Fraser St — FY2023</t>
        </is>
      </c>
      <c r="B206" s="25" t="inlineStr">
        <is>
          <t>Income</t>
        </is>
      </c>
      <c r="C206" s="6" t="inlineStr">
        <is>
          <t>Operating Exp. Recovery</t>
        </is>
      </c>
      <c r="D206" s="22" t="n">
        <v>97620</v>
      </c>
      <c r="E206" s="6" t="n"/>
    </row>
    <row r="207">
      <c r="A207" s="6" t="inlineStr">
        <is>
          <t>3650 Fraser St — FY2023</t>
        </is>
      </c>
      <c r="B207" s="25" t="inlineStr">
        <is>
          <t>Income</t>
        </is>
      </c>
      <c r="C207" s="6" t="inlineStr">
        <is>
          <t>Insurance Recovery</t>
        </is>
      </c>
      <c r="D207" s="22" t="n">
        <v>14196</v>
      </c>
      <c r="E207" s="6" t="n"/>
    </row>
    <row r="208">
      <c r="A208" s="6" t="inlineStr">
        <is>
          <t>3650 Fraser St — FY2023</t>
        </is>
      </c>
      <c r="B208" s="25" t="inlineStr">
        <is>
          <t>Income</t>
        </is>
      </c>
      <c r="C208" s="6" t="inlineStr">
        <is>
          <t>Tax Recovery</t>
        </is>
      </c>
      <c r="D208" s="22" t="n">
        <v>410313</v>
      </c>
      <c r="E208" s="6" t="n"/>
    </row>
    <row r="209">
      <c r="A209" s="6" t="inlineStr">
        <is>
          <t>3650 Fraser St — FY2023</t>
        </is>
      </c>
      <c r="B209" s="25" t="inlineStr">
        <is>
          <t>Income</t>
        </is>
      </c>
      <c r="C209" s="6" t="inlineStr">
        <is>
          <t>PY CAM Reconciliation</t>
        </is>
      </c>
      <c r="D209" s="22" t="n">
        <v>14581.28</v>
      </c>
      <c r="E209" s="6" t="n"/>
    </row>
    <row r="210">
      <c r="A210" s="6" t="inlineStr">
        <is>
          <t>3650 Fraser St — FY2023</t>
        </is>
      </c>
      <c r="B210" s="25" t="inlineStr">
        <is>
          <t>Income</t>
        </is>
      </c>
      <c r="C210" s="6" t="inlineStr">
        <is>
          <t>Interest Income</t>
        </is>
      </c>
      <c r="D210" s="22" t="n">
        <v>146.59</v>
      </c>
      <c r="E210" s="6" t="n"/>
    </row>
    <row r="211">
      <c r="A211" s="11" t="inlineStr">
        <is>
          <t>3650 Fraser St — FY2023</t>
        </is>
      </c>
      <c r="B211" s="26" t="inlineStr">
        <is>
          <t>Income</t>
        </is>
      </c>
      <c r="C211" s="12" t="inlineStr">
        <is>
          <t>TOTAL INCOME</t>
        </is>
      </c>
      <c r="D211" s="23">
        <f>SUM(D205:D210)</f>
        <v/>
      </c>
      <c r="E211" s="6" t="inlineStr">
        <is>
          <t>Printed total: $1,319,987.26.</t>
        </is>
      </c>
    </row>
    <row r="212">
      <c r="A212" s="6" t="inlineStr">
        <is>
          <t>3650 Fraser St — FY2023</t>
        </is>
      </c>
      <c r="B212" s="25" t="inlineStr">
        <is>
          <t>Expense</t>
        </is>
      </c>
      <c r="C212" s="6" t="inlineStr">
        <is>
          <t>Electricity (recov)</t>
        </is>
      </c>
      <c r="D212" s="22" t="n">
        <v>6226.85</v>
      </c>
      <c r="E212" s="6" t="n"/>
    </row>
    <row r="213">
      <c r="A213" s="6" t="inlineStr">
        <is>
          <t>3650 Fraser St — FY2023</t>
        </is>
      </c>
      <c r="B213" s="25" t="inlineStr">
        <is>
          <t>Expense</t>
        </is>
      </c>
      <c r="C213" s="6" t="inlineStr">
        <is>
          <t>Water/Sewer (recov)</t>
        </is>
      </c>
      <c r="D213" s="22" t="n">
        <v>21223.73</v>
      </c>
      <c r="E213" s="6" t="n"/>
    </row>
    <row r="214">
      <c r="A214" s="6" t="inlineStr">
        <is>
          <t>3650 Fraser St — FY2023</t>
        </is>
      </c>
      <c r="B214" s="25" t="inlineStr">
        <is>
          <t>Expense</t>
        </is>
      </c>
      <c r="C214" s="6" t="inlineStr">
        <is>
          <t>Fire Safety Contract</t>
        </is>
      </c>
      <c r="D214" s="22" t="n">
        <v>488.34</v>
      </c>
      <c r="E214" s="6" t="n"/>
    </row>
    <row r="215">
      <c r="A215" s="6" t="inlineStr">
        <is>
          <t>3650 Fraser St — FY2023</t>
        </is>
      </c>
      <c r="B215" s="25" t="inlineStr">
        <is>
          <t>Expense</t>
        </is>
      </c>
      <c r="C215" s="6" t="inlineStr">
        <is>
          <t>Fire Safety Repairs</t>
        </is>
      </c>
      <c r="D215" s="22" t="n">
        <v>4881.03</v>
      </c>
      <c r="E215" s="6" t="n"/>
    </row>
    <row r="216">
      <c r="A216" s="6" t="inlineStr">
        <is>
          <t>3650 Fraser St — FY2023</t>
        </is>
      </c>
      <c r="B216" s="25" t="inlineStr">
        <is>
          <t>Expense</t>
        </is>
      </c>
      <c r="C216" s="6" t="inlineStr">
        <is>
          <t>Fire Safety Other</t>
        </is>
      </c>
      <c r="D216" s="22" t="n">
        <v>665</v>
      </c>
      <c r="E216" s="6" t="n"/>
    </row>
    <row r="217">
      <c r="A217" s="6" t="inlineStr">
        <is>
          <t>3650 Fraser St — FY2023</t>
        </is>
      </c>
      <c r="B217" s="25" t="inlineStr">
        <is>
          <t>Expense</t>
        </is>
      </c>
      <c r="C217" s="6" t="inlineStr">
        <is>
          <t>Trash Removal Contract (recov)</t>
        </is>
      </c>
      <c r="D217" s="22" t="n">
        <v>755</v>
      </c>
      <c r="E217" s="6" t="n"/>
    </row>
    <row r="218">
      <c r="A218" s="6" t="inlineStr">
        <is>
          <t>3650 Fraser St — FY2023</t>
        </is>
      </c>
      <c r="B218" s="25" t="inlineStr">
        <is>
          <t>Expense</t>
        </is>
      </c>
      <c r="C218" s="6" t="inlineStr">
        <is>
          <t>R&amp;M - Electrical (recov)</t>
        </is>
      </c>
      <c r="D218" s="22" t="n">
        <v>1381.61</v>
      </c>
      <c r="E218" s="6" t="n"/>
    </row>
    <row r="219">
      <c r="A219" s="6" t="inlineStr">
        <is>
          <t>3650 Fraser St — FY2023</t>
        </is>
      </c>
      <c r="B219" s="25" t="inlineStr">
        <is>
          <t>Expense</t>
        </is>
      </c>
      <c r="C219" s="6" t="inlineStr">
        <is>
          <t>Landscape Contract</t>
        </is>
      </c>
      <c r="D219" s="22" t="n">
        <v>6960</v>
      </c>
      <c r="E219" s="6" t="n"/>
    </row>
    <row r="220">
      <c r="A220" s="6" t="inlineStr">
        <is>
          <t>3650 Fraser St — FY2023</t>
        </is>
      </c>
      <c r="B220" s="25" t="inlineStr">
        <is>
          <t>Expense</t>
        </is>
      </c>
      <c r="C220" s="6" t="inlineStr">
        <is>
          <t>R&amp;M - Landscape</t>
        </is>
      </c>
      <c r="D220" s="22" t="n">
        <v>4641.04</v>
      </c>
      <c r="E220" s="6" t="n"/>
    </row>
    <row r="221">
      <c r="A221" s="6" t="inlineStr">
        <is>
          <t>3650 Fraser St — FY2023</t>
        </is>
      </c>
      <c r="B221" s="25" t="inlineStr">
        <is>
          <t>Expense</t>
        </is>
      </c>
      <c r="C221" s="6" t="inlineStr">
        <is>
          <t>HVAC Contract</t>
        </is>
      </c>
      <c r="D221" s="22" t="n">
        <v>3072</v>
      </c>
      <c r="E221" s="6" t="n"/>
    </row>
    <row r="222">
      <c r="A222" s="6" t="inlineStr">
        <is>
          <t>3650 Fraser St — FY2023</t>
        </is>
      </c>
      <c r="B222" s="25" t="inlineStr">
        <is>
          <t>Expense</t>
        </is>
      </c>
      <c r="C222" s="6" t="inlineStr">
        <is>
          <t>R&amp;M - HVAC</t>
        </is>
      </c>
      <c r="D222" s="22" t="n">
        <v>2289.53</v>
      </c>
      <c r="E222" s="6" t="n"/>
    </row>
    <row r="223">
      <c r="A223" s="6" t="inlineStr">
        <is>
          <t>3650 Fraser St — FY2023</t>
        </is>
      </c>
      <c r="B223" s="25" t="inlineStr">
        <is>
          <t>Expense</t>
        </is>
      </c>
      <c r="C223" s="6" t="inlineStr">
        <is>
          <t>R&amp;M - Parking Lot (recov)</t>
        </is>
      </c>
      <c r="D223" s="22" t="n">
        <v>3079.93</v>
      </c>
      <c r="E223" s="6" t="n"/>
    </row>
    <row r="224">
      <c r="A224" s="6" t="inlineStr">
        <is>
          <t>3650 Fraser St — FY2023</t>
        </is>
      </c>
      <c r="B224" s="25" t="inlineStr">
        <is>
          <t>Expense</t>
        </is>
      </c>
      <c r="C224" s="6" t="inlineStr">
        <is>
          <t>R&amp;M - Prk Lot Sweeping (recov)</t>
        </is>
      </c>
      <c r="D224" s="22" t="n">
        <v>1310</v>
      </c>
      <c r="E224" s="6" t="n"/>
    </row>
    <row r="225">
      <c r="A225" s="6" t="inlineStr">
        <is>
          <t>3650 Fraser St — FY2023</t>
        </is>
      </c>
      <c r="B225" s="25" t="inlineStr">
        <is>
          <t>Expense</t>
        </is>
      </c>
      <c r="C225" s="6" t="inlineStr">
        <is>
          <t>R&amp;M - Prk Lot Snow Removal (recov)</t>
        </is>
      </c>
      <c r="D225" s="22" t="n">
        <v>12307.5</v>
      </c>
      <c r="E225" s="6" t="n"/>
    </row>
    <row r="226">
      <c r="A226" s="6" t="inlineStr">
        <is>
          <t>3650 Fraser St — FY2023</t>
        </is>
      </c>
      <c r="B226" s="25" t="inlineStr">
        <is>
          <t>Expense</t>
        </is>
      </c>
      <c r="C226" s="6" t="inlineStr">
        <is>
          <t>R&amp;M - Painting (recov)</t>
        </is>
      </c>
      <c r="D226" s="22" t="n">
        <v>450</v>
      </c>
      <c r="E226" s="6" t="n"/>
    </row>
    <row r="227">
      <c r="A227" s="6" t="inlineStr">
        <is>
          <t>3650 Fraser St — FY2023</t>
        </is>
      </c>
      <c r="B227" s="25" t="inlineStr">
        <is>
          <t>Expense</t>
        </is>
      </c>
      <c r="C227" s="6" t="inlineStr">
        <is>
          <t>R&amp;M - Roof (recov)</t>
        </is>
      </c>
      <c r="D227" s="22" t="n">
        <v>1337.75</v>
      </c>
      <c r="E227" s="6" t="n"/>
    </row>
    <row r="228">
      <c r="A228" s="6" t="inlineStr">
        <is>
          <t>3650 Fraser St — FY2023</t>
        </is>
      </c>
      <c r="B228" s="25" t="inlineStr">
        <is>
          <t>Expense</t>
        </is>
      </c>
      <c r="C228" s="6" t="inlineStr">
        <is>
          <t>Management Fees (recov)</t>
        </is>
      </c>
      <c r="D228" s="22" t="n">
        <v>33020.31</v>
      </c>
      <c r="E228" s="6" t="n"/>
    </row>
    <row r="229">
      <c r="A229" s="6" t="inlineStr">
        <is>
          <t>3650 Fraser St — FY2023</t>
        </is>
      </c>
      <c r="B229" s="25" t="inlineStr">
        <is>
          <t>Expense</t>
        </is>
      </c>
      <c r="C229" s="6" t="inlineStr">
        <is>
          <t>Other Expense (recov)</t>
        </is>
      </c>
      <c r="D229" s="22" t="n">
        <v>100</v>
      </c>
      <c r="E229" s="6" t="n"/>
    </row>
    <row r="230">
      <c r="A230" s="6" t="inlineStr">
        <is>
          <t>3650 Fraser St — FY2023</t>
        </is>
      </c>
      <c r="B230" s="25" t="inlineStr">
        <is>
          <t>Expense</t>
        </is>
      </c>
      <c r="C230" s="6" t="inlineStr">
        <is>
          <t>Insurance</t>
        </is>
      </c>
      <c r="D230" s="22" t="n">
        <v>17999.44</v>
      </c>
      <c r="E230" s="6" t="n"/>
    </row>
    <row r="231">
      <c r="A231" s="6" t="inlineStr">
        <is>
          <t>3650 Fraser St — FY2023</t>
        </is>
      </c>
      <c r="B231" s="25" t="inlineStr">
        <is>
          <t>Expense</t>
        </is>
      </c>
      <c r="C231" s="6" t="inlineStr">
        <is>
          <t>Real Estate Taxes</t>
        </is>
      </c>
      <c r="D231" s="22" t="n">
        <v>410301</v>
      </c>
      <c r="E231" s="6" t="n"/>
    </row>
    <row r="232">
      <c r="A232" s="6" t="inlineStr">
        <is>
          <t>3650 Fraser St — FY2023</t>
        </is>
      </c>
      <c r="B232" s="25" t="inlineStr">
        <is>
          <t>Expense</t>
        </is>
      </c>
      <c r="C232" s="6" t="inlineStr">
        <is>
          <t>Real Estate Taxes - Prior-Yr Adj</t>
        </is>
      </c>
      <c r="D232" s="22" t="n">
        <v>-11874.62</v>
      </c>
      <c r="E232" s="6" t="n"/>
    </row>
    <row r="233">
      <c r="A233" s="6" t="inlineStr">
        <is>
          <t>3650 Fraser St — FY2023</t>
        </is>
      </c>
      <c r="B233" s="25" t="inlineStr">
        <is>
          <t>Expense</t>
        </is>
      </c>
      <c r="C233" s="6" t="inlineStr">
        <is>
          <t>Step Rent Amortization</t>
        </is>
      </c>
      <c r="D233" s="22" t="n">
        <v>11753.78</v>
      </c>
      <c r="E233" s="6" t="inlineStr">
        <is>
          <t>G&amp;A</t>
        </is>
      </c>
    </row>
    <row r="234">
      <c r="A234" s="6" t="inlineStr">
        <is>
          <t>3650 Fraser St — FY2023</t>
        </is>
      </c>
      <c r="B234" s="25" t="inlineStr">
        <is>
          <t>Expense</t>
        </is>
      </c>
      <c r="C234" s="6" t="inlineStr">
        <is>
          <t>Consultation Fees - General</t>
        </is>
      </c>
      <c r="D234" s="22" t="n">
        <v>1175.41</v>
      </c>
      <c r="E234" s="6" t="n"/>
    </row>
    <row r="235">
      <c r="A235" s="6" t="inlineStr">
        <is>
          <t>3650 Fraser St — FY2023</t>
        </is>
      </c>
      <c r="B235" s="25" t="inlineStr">
        <is>
          <t>Expense</t>
        </is>
      </c>
      <c r="C235" s="6" t="inlineStr">
        <is>
          <t>Lease Commission (capital)</t>
        </is>
      </c>
      <c r="D235" s="22" t="n">
        <v>23477.93</v>
      </c>
      <c r="E235" s="6" t="n"/>
    </row>
    <row r="236">
      <c r="A236" s="11" t="inlineStr">
        <is>
          <t>3650 Fraser St — FY2023</t>
        </is>
      </c>
      <c r="B236" s="26" t="inlineStr">
        <is>
          <t>Expense</t>
        </is>
      </c>
      <c r="C236" s="12" t="inlineStr">
        <is>
          <t>TOTAL EXPENSE</t>
        </is>
      </c>
      <c r="D236" s="23">
        <f>SUM(D212:D235)</f>
        <v/>
      </c>
      <c r="E236" s="6" t="inlineStr">
        <is>
          <t>Printed total: $557,022.56.</t>
        </is>
      </c>
    </row>
    <row r="237">
      <c r="A237" s="6" t="inlineStr">
        <is>
          <t>3650 Fraser St — FY2024</t>
        </is>
      </c>
      <c r="B237" s="25" t="inlineStr">
        <is>
          <t>Income</t>
        </is>
      </c>
      <c r="C237" s="6" t="inlineStr">
        <is>
          <t>Base Rent</t>
        </is>
      </c>
      <c r="D237" s="22" t="n">
        <v>816139.74</v>
      </c>
      <c r="E237" s="6" t="n"/>
    </row>
    <row r="238">
      <c r="A238" s="6" t="inlineStr">
        <is>
          <t>3650 Fraser St — FY2024</t>
        </is>
      </c>
      <c r="B238" s="25" t="inlineStr">
        <is>
          <t>Income</t>
        </is>
      </c>
      <c r="C238" s="6" t="inlineStr">
        <is>
          <t>Operating Exp. Recovery</t>
        </is>
      </c>
      <c r="D238" s="22" t="n">
        <v>105372</v>
      </c>
      <c r="E238" s="6" t="n"/>
    </row>
    <row r="239">
      <c r="A239" s="6" t="inlineStr">
        <is>
          <t>3650 Fraser St — FY2024</t>
        </is>
      </c>
      <c r="B239" s="25" t="inlineStr">
        <is>
          <t>Income</t>
        </is>
      </c>
      <c r="C239" s="6" t="inlineStr">
        <is>
          <t>Insurance Recovery</t>
        </is>
      </c>
      <c r="D239" s="22" t="n">
        <v>22548</v>
      </c>
      <c r="E239" s="6" t="n"/>
    </row>
    <row r="240">
      <c r="A240" s="6" t="inlineStr">
        <is>
          <t>3650 Fraser St — FY2024</t>
        </is>
      </c>
      <c r="B240" s="25" t="inlineStr">
        <is>
          <t>Income</t>
        </is>
      </c>
      <c r="C240" s="6" t="inlineStr">
        <is>
          <t>Tax Recovery</t>
        </is>
      </c>
      <c r="D240" s="22" t="n">
        <v>410340</v>
      </c>
      <c r="E240" s="6" t="n"/>
    </row>
    <row r="241">
      <c r="A241" s="6" t="inlineStr">
        <is>
          <t>3650 Fraser St — FY2024</t>
        </is>
      </c>
      <c r="B241" s="25" t="inlineStr">
        <is>
          <t>Income</t>
        </is>
      </c>
      <c r="C241" s="6" t="inlineStr">
        <is>
          <t>PY CAM Reconciliation</t>
        </is>
      </c>
      <c r="D241" s="22" t="n">
        <v>111725.19</v>
      </c>
      <c r="E241" s="6" t="n"/>
    </row>
    <row r="242">
      <c r="A242" s="6" t="inlineStr">
        <is>
          <t>3650 Fraser St — FY2024</t>
        </is>
      </c>
      <c r="B242" s="25" t="inlineStr">
        <is>
          <t>Income</t>
        </is>
      </c>
      <c r="C242" s="6" t="inlineStr">
        <is>
          <t>Bad Debt Allowance</t>
        </is>
      </c>
      <c r="D242" s="22" t="n">
        <v>-18750</v>
      </c>
      <c r="E242" s="6" t="n"/>
    </row>
    <row r="243">
      <c r="A243" s="6" t="inlineStr">
        <is>
          <t>3650 Fraser St — FY2024</t>
        </is>
      </c>
      <c r="B243" s="25" t="inlineStr">
        <is>
          <t>Income</t>
        </is>
      </c>
      <c r="C243" s="6" t="inlineStr">
        <is>
          <t>Interest Income</t>
        </is>
      </c>
      <c r="D243" s="22" t="n">
        <v>1003.79</v>
      </c>
      <c r="E243" s="6" t="n"/>
    </row>
    <row r="244">
      <c r="A244" s="11" t="inlineStr">
        <is>
          <t>3650 Fraser St — FY2024</t>
        </is>
      </c>
      <c r="B244" s="26" t="inlineStr">
        <is>
          <t>Income</t>
        </is>
      </c>
      <c r="C244" s="12" t="inlineStr">
        <is>
          <t>TOTAL INCOME</t>
        </is>
      </c>
      <c r="D244" s="23">
        <f>SUM(D237:D243)</f>
        <v/>
      </c>
      <c r="E244" s="6" t="inlineStr">
        <is>
          <t>Printed total: $1,448,378.72.</t>
        </is>
      </c>
    </row>
    <row r="245">
      <c r="A245" s="6" t="inlineStr">
        <is>
          <t>3650 Fraser St — FY2024</t>
        </is>
      </c>
      <c r="B245" s="25" t="inlineStr">
        <is>
          <t>Expense</t>
        </is>
      </c>
      <c r="C245" s="6" t="inlineStr">
        <is>
          <t>Electricity (recov)</t>
        </is>
      </c>
      <c r="D245" s="22" t="n">
        <v>4819.59</v>
      </c>
      <c r="E245" s="6" t="n"/>
    </row>
    <row r="246">
      <c r="A246" s="6" t="inlineStr">
        <is>
          <t>3650 Fraser St — FY2024</t>
        </is>
      </c>
      <c r="B246" s="25" t="inlineStr">
        <is>
          <t>Expense</t>
        </is>
      </c>
      <c r="C246" s="6" t="inlineStr">
        <is>
          <t>Water/Sewer (recov)</t>
        </is>
      </c>
      <c r="D246" s="22" t="n">
        <v>31429.14</v>
      </c>
      <c r="E246" s="6" t="n"/>
    </row>
    <row r="247">
      <c r="A247" s="6" t="inlineStr">
        <is>
          <t>3650 Fraser St — FY2024</t>
        </is>
      </c>
      <c r="B247" s="25" t="inlineStr">
        <is>
          <t>Expense</t>
        </is>
      </c>
      <c r="C247" s="6" t="inlineStr">
        <is>
          <t>Fire Safety Contract</t>
        </is>
      </c>
      <c r="D247" s="22" t="n">
        <v>499.92</v>
      </c>
      <c r="E247" s="6" t="n"/>
    </row>
    <row r="248">
      <c r="A248" s="6" t="inlineStr">
        <is>
          <t>3650 Fraser St — FY2024</t>
        </is>
      </c>
      <c r="B248" s="25" t="inlineStr">
        <is>
          <t>Expense</t>
        </is>
      </c>
      <c r="C248" s="6" t="inlineStr">
        <is>
          <t>Fire Safety Repairs</t>
        </is>
      </c>
      <c r="D248" s="22" t="n">
        <v>2389.89</v>
      </c>
      <c r="E248" s="6" t="n"/>
    </row>
    <row r="249">
      <c r="A249" s="6" t="inlineStr">
        <is>
          <t>3650 Fraser St — FY2024</t>
        </is>
      </c>
      <c r="B249" s="25" t="inlineStr">
        <is>
          <t>Expense</t>
        </is>
      </c>
      <c r="C249" s="6" t="inlineStr">
        <is>
          <t>Fire Safety Other</t>
        </is>
      </c>
      <c r="D249" s="22" t="n">
        <v>490</v>
      </c>
      <c r="E249" s="6" t="n"/>
    </row>
    <row r="250">
      <c r="A250" s="6" t="inlineStr">
        <is>
          <t>3650 Fraser St — FY2024</t>
        </is>
      </c>
      <c r="B250" s="25" t="inlineStr">
        <is>
          <t>Expense</t>
        </is>
      </c>
      <c r="C250" s="6" t="inlineStr">
        <is>
          <t>R&amp;M - Electrical (recov)</t>
        </is>
      </c>
      <c r="D250" s="22" t="n">
        <v>6350.08</v>
      </c>
      <c r="E250" s="6" t="n"/>
    </row>
    <row r="251">
      <c r="A251" s="6" t="inlineStr">
        <is>
          <t>3650 Fraser St — FY2024</t>
        </is>
      </c>
      <c r="B251" s="25" t="inlineStr">
        <is>
          <t>Expense</t>
        </is>
      </c>
      <c r="C251" s="6" t="inlineStr">
        <is>
          <t>R&amp;M - General Building (recov)</t>
        </is>
      </c>
      <c r="D251" s="22" t="n">
        <v>9842.09</v>
      </c>
      <c r="E251" s="6" t="n"/>
    </row>
    <row r="252">
      <c r="A252" s="6" t="inlineStr">
        <is>
          <t>3650 Fraser St — FY2024</t>
        </is>
      </c>
      <c r="B252" s="25" t="inlineStr">
        <is>
          <t>Expense</t>
        </is>
      </c>
      <c r="C252" s="6" t="inlineStr">
        <is>
          <t>Landscape Contract</t>
        </is>
      </c>
      <c r="D252" s="22" t="n">
        <v>7238</v>
      </c>
      <c r="E252" s="6" t="n"/>
    </row>
    <row r="253">
      <c r="A253" s="6" t="inlineStr">
        <is>
          <t>3650 Fraser St — FY2024</t>
        </is>
      </c>
      <c r="B253" s="25" t="inlineStr">
        <is>
          <t>Expense</t>
        </is>
      </c>
      <c r="C253" s="6" t="inlineStr">
        <is>
          <t>R&amp;M - Landscape</t>
        </is>
      </c>
      <c r="D253" s="22" t="n">
        <v>10264.6</v>
      </c>
      <c r="E253" s="6" t="n"/>
    </row>
    <row r="254">
      <c r="A254" s="6" t="inlineStr">
        <is>
          <t>3650 Fraser St — FY2024</t>
        </is>
      </c>
      <c r="B254" s="25" t="inlineStr">
        <is>
          <t>Expense</t>
        </is>
      </c>
      <c r="C254" s="6" t="inlineStr">
        <is>
          <t>HVAC Contract</t>
        </is>
      </c>
      <c r="D254" s="22" t="n">
        <v>3156</v>
      </c>
      <c r="E254" s="6" t="n"/>
    </row>
    <row r="255">
      <c r="A255" s="6" t="inlineStr">
        <is>
          <t>3650 Fraser St — FY2024</t>
        </is>
      </c>
      <c r="B255" s="25" t="inlineStr">
        <is>
          <t>Expense</t>
        </is>
      </c>
      <c r="C255" s="6" t="inlineStr">
        <is>
          <t>R&amp;M - HVAC</t>
        </is>
      </c>
      <c r="D255" s="22" t="n">
        <v>3631.17</v>
      </c>
      <c r="E255" s="6" t="n"/>
    </row>
    <row r="256">
      <c r="A256" s="6" t="inlineStr">
        <is>
          <t>3650 Fraser St — FY2024</t>
        </is>
      </c>
      <c r="B256" s="25" t="inlineStr">
        <is>
          <t>Expense</t>
        </is>
      </c>
      <c r="C256" s="6" t="inlineStr">
        <is>
          <t>R&amp;M - Parking Lot (recov)</t>
        </is>
      </c>
      <c r="D256" s="22" t="n">
        <v>8279.959999999999</v>
      </c>
      <c r="E256" s="6" t="n"/>
    </row>
    <row r="257">
      <c r="A257" s="6" t="inlineStr">
        <is>
          <t>3650 Fraser St — FY2024</t>
        </is>
      </c>
      <c r="B257" s="25" t="inlineStr">
        <is>
          <t>Expense</t>
        </is>
      </c>
      <c r="C257" s="6" t="inlineStr">
        <is>
          <t>R&amp;M - Prk Lot Sweeping (recov)</t>
        </is>
      </c>
      <c r="D257" s="22" t="n">
        <v>1440</v>
      </c>
      <c r="E257" s="6" t="n"/>
    </row>
    <row r="258">
      <c r="A258" s="6" t="inlineStr">
        <is>
          <t>3650 Fraser St — FY2024</t>
        </is>
      </c>
      <c r="B258" s="25" t="inlineStr">
        <is>
          <t>Expense</t>
        </is>
      </c>
      <c r="C258" s="6" t="inlineStr">
        <is>
          <t>R&amp;M - Prk Lot Snow Removal (recov)</t>
        </is>
      </c>
      <c r="D258" s="22" t="n">
        <v>16921</v>
      </c>
      <c r="E258" s="6" t="n"/>
    </row>
    <row r="259">
      <c r="A259" s="6" t="inlineStr">
        <is>
          <t>3650 Fraser St — FY2024</t>
        </is>
      </c>
      <c r="B259" s="25" t="inlineStr">
        <is>
          <t>Expense</t>
        </is>
      </c>
      <c r="C259" s="6" t="inlineStr">
        <is>
          <t>R&amp;M - Painting (recov)</t>
        </is>
      </c>
      <c r="D259" s="22" t="n">
        <v>450</v>
      </c>
      <c r="E259" s="6" t="n"/>
    </row>
    <row r="260">
      <c r="A260" s="6" t="inlineStr">
        <is>
          <t>3650 Fraser St — FY2024</t>
        </is>
      </c>
      <c r="B260" s="25" t="inlineStr">
        <is>
          <t>Expense</t>
        </is>
      </c>
      <c r="C260" s="6" t="inlineStr">
        <is>
          <t>R&amp;M - Roof (recov)</t>
        </is>
      </c>
      <c r="D260" s="22" t="n">
        <v>15510.31</v>
      </c>
      <c r="E260" s="6" t="n"/>
    </row>
    <row r="261">
      <c r="A261" s="6" t="inlineStr">
        <is>
          <t>3650 Fraser St — FY2024</t>
        </is>
      </c>
      <c r="B261" s="25" t="inlineStr">
        <is>
          <t>Expense</t>
        </is>
      </c>
      <c r="C261" s="6" t="inlineStr">
        <is>
          <t>Management Fees (recov)</t>
        </is>
      </c>
      <c r="D261" s="22" t="n">
        <v>33877.02</v>
      </c>
      <c r="E261" s="6" t="n"/>
    </row>
    <row r="262">
      <c r="A262" s="6" t="inlineStr">
        <is>
          <t>3650 Fraser St — FY2024</t>
        </is>
      </c>
      <c r="B262" s="25" t="inlineStr">
        <is>
          <t>Expense</t>
        </is>
      </c>
      <c r="C262" s="6" t="inlineStr">
        <is>
          <t>Other Expense (recov)</t>
        </is>
      </c>
      <c r="D262" s="22" t="n">
        <v>100</v>
      </c>
      <c r="E262" s="6" t="n"/>
    </row>
    <row r="263">
      <c r="A263" s="6" t="inlineStr">
        <is>
          <t>3650 Fraser St — FY2024</t>
        </is>
      </c>
      <c r="B263" s="25" t="inlineStr">
        <is>
          <t>Expense</t>
        </is>
      </c>
      <c r="C263" s="6" t="inlineStr">
        <is>
          <t>Insurance</t>
        </is>
      </c>
      <c r="D263" s="22" t="n">
        <v>24259.11</v>
      </c>
      <c r="E263" s="6" t="n"/>
    </row>
    <row r="264">
      <c r="A264" s="6" t="inlineStr">
        <is>
          <t>3650 Fraser St — FY2024</t>
        </is>
      </c>
      <c r="B264" s="25" t="inlineStr">
        <is>
          <t>Expense</t>
        </is>
      </c>
      <c r="C264" s="6" t="inlineStr">
        <is>
          <t>Real Estate Taxes</t>
        </is>
      </c>
      <c r="D264" s="22" t="n">
        <v>393558.59</v>
      </c>
      <c r="E264" s="6" t="n"/>
    </row>
    <row r="265">
      <c r="A265" s="6" t="inlineStr">
        <is>
          <t>3650 Fraser St — FY2024</t>
        </is>
      </c>
      <c r="B265" s="25" t="inlineStr">
        <is>
          <t>Expense</t>
        </is>
      </c>
      <c r="C265" s="6" t="inlineStr">
        <is>
          <t>Real Estate Taxes - Prior-Yr Adj</t>
        </is>
      </c>
      <c r="D265" s="22" t="n">
        <v>-22760.66</v>
      </c>
      <c r="E265" s="6" t="n"/>
    </row>
    <row r="266">
      <c r="A266" s="6" t="inlineStr">
        <is>
          <t>3650 Fraser St — FY2024</t>
        </is>
      </c>
      <c r="B266" s="25" t="inlineStr">
        <is>
          <t>Expense</t>
        </is>
      </c>
      <c r="C266" s="6" t="inlineStr">
        <is>
          <t>Tax Consulting</t>
        </is>
      </c>
      <c r="D266" s="22" t="n">
        <v>48337.51</v>
      </c>
      <c r="E266" s="6" t="n"/>
    </row>
    <row r="267">
      <c r="A267" s="6" t="inlineStr">
        <is>
          <t>3650 Fraser St — FY2024</t>
        </is>
      </c>
      <c r="B267" s="25" t="inlineStr">
        <is>
          <t>Expense</t>
        </is>
      </c>
      <c r="C267" s="6" t="inlineStr">
        <is>
          <t>Step Rent Amortization</t>
        </is>
      </c>
      <c r="D267" s="22" t="n">
        <v>5770.36</v>
      </c>
      <c r="E267" s="6" t="inlineStr">
        <is>
          <t>G&amp;A</t>
        </is>
      </c>
    </row>
    <row r="268">
      <c r="A268" s="6" t="inlineStr">
        <is>
          <t>3650 Fraser St — FY2024</t>
        </is>
      </c>
      <c r="B268" s="25" t="inlineStr">
        <is>
          <t>Expense</t>
        </is>
      </c>
      <c r="C268" s="6" t="inlineStr">
        <is>
          <t>Consultation Fees - General</t>
        </is>
      </c>
      <c r="D268" s="22" t="n">
        <v>1175.41</v>
      </c>
      <c r="E268" s="6" t="n"/>
    </row>
    <row r="269">
      <c r="A269" s="6" t="inlineStr">
        <is>
          <t>3650 Fraser St — FY2024</t>
        </is>
      </c>
      <c r="B269" s="25" t="inlineStr">
        <is>
          <t>Expense</t>
        </is>
      </c>
      <c r="C269" s="6" t="inlineStr">
        <is>
          <t>Building (capital)</t>
        </is>
      </c>
      <c r="D269" s="22" t="n">
        <v>72550</v>
      </c>
      <c r="E269" s="6" t="n"/>
    </row>
    <row r="270">
      <c r="A270" s="6" t="inlineStr">
        <is>
          <t>3650 Fraser St — FY2024</t>
        </is>
      </c>
      <c r="B270" s="25" t="inlineStr">
        <is>
          <t>Expense</t>
        </is>
      </c>
      <c r="C270" s="6" t="inlineStr">
        <is>
          <t>Tenant Improvement (capital)</t>
        </is>
      </c>
      <c r="D270" s="22" t="n">
        <v>54232.59</v>
      </c>
      <c r="E270" s="6" t="n"/>
    </row>
    <row r="271">
      <c r="A271" s="6" t="inlineStr">
        <is>
          <t>3650 Fraser St — FY2024</t>
        </is>
      </c>
      <c r="B271" s="25" t="inlineStr">
        <is>
          <t>Expense</t>
        </is>
      </c>
      <c r="C271" s="6" t="inlineStr">
        <is>
          <t>Lease Commission (capital)</t>
        </is>
      </c>
      <c r="D271" s="22" t="n">
        <v>89685.63</v>
      </c>
      <c r="E271" s="6" t="n"/>
    </row>
    <row r="272">
      <c r="A272" s="6" t="inlineStr">
        <is>
          <t>3650 Fraser St — FY2024</t>
        </is>
      </c>
      <c r="B272" s="25" t="inlineStr">
        <is>
          <t>Expense</t>
        </is>
      </c>
      <c r="C272" s="6" t="inlineStr">
        <is>
          <t>Roof (capital)</t>
        </is>
      </c>
      <c r="D272" s="22" t="n">
        <v>41983.5</v>
      </c>
      <c r="E272" s="6" t="n"/>
    </row>
    <row r="273">
      <c r="A273" s="11" t="inlineStr">
        <is>
          <t>3650 Fraser St — FY2024</t>
        </is>
      </c>
      <c r="B273" s="26" t="inlineStr">
        <is>
          <t>Expense</t>
        </is>
      </c>
      <c r="C273" s="12" t="inlineStr">
        <is>
          <t>TOTAL EXPENSE</t>
        </is>
      </c>
      <c r="D273" s="23">
        <f>SUM(D245:D272)</f>
        <v/>
      </c>
      <c r="E273" s="6" t="inlineStr">
        <is>
          <t>Printed total: $865,480.81.</t>
        </is>
      </c>
    </row>
    <row r="274">
      <c r="A274" s="6" t="inlineStr">
        <is>
          <t>14501 E 35th Pl — FY2023</t>
        </is>
      </c>
      <c r="B274" s="25" t="inlineStr">
        <is>
          <t>Income</t>
        </is>
      </c>
      <c r="C274" s="6" t="inlineStr">
        <is>
          <t>4110 - Base Rent Income - Industrial/Warehouse</t>
        </is>
      </c>
      <c r="D274" s="22" t="n">
        <v>694008.16</v>
      </c>
      <c r="E274" s="6" t="n"/>
    </row>
    <row r="275">
      <c r="A275" s="6" t="inlineStr">
        <is>
          <t>14501 E 35th Pl — FY2023</t>
        </is>
      </c>
      <c r="B275" s="25" t="inlineStr">
        <is>
          <t>Income</t>
        </is>
      </c>
      <c r="C275" s="6" t="inlineStr">
        <is>
          <t>4210 - FASB 13 Rent</t>
        </is>
      </c>
      <c r="D275" s="22" t="n">
        <v>-78624.52</v>
      </c>
      <c r="E275" s="6" t="n"/>
    </row>
    <row r="276">
      <c r="A276" s="6" t="inlineStr">
        <is>
          <t>14501 E 35th Pl — FY2023</t>
        </is>
      </c>
      <c r="B276" s="25" t="inlineStr">
        <is>
          <t>Income</t>
        </is>
      </c>
      <c r="C276" s="6" t="inlineStr">
        <is>
          <t>4301 - CAM Recovery</t>
        </is>
      </c>
      <c r="D276" s="22" t="n">
        <v>45408.23</v>
      </c>
      <c r="E276" s="6" t="n"/>
    </row>
    <row r="277">
      <c r="A277" s="6" t="inlineStr">
        <is>
          <t>14501 E 35th Pl — FY2023</t>
        </is>
      </c>
      <c r="B277" s="25" t="inlineStr">
        <is>
          <t>Income</t>
        </is>
      </c>
      <c r="C277" s="6" t="inlineStr">
        <is>
          <t>4318 - Tax Recovery</t>
        </is>
      </c>
      <c r="D277" s="22" t="n">
        <v>482079.21</v>
      </c>
      <c r="E277" s="6" t="n"/>
    </row>
    <row r="278">
      <c r="A278" s="6" t="inlineStr">
        <is>
          <t>14501 E 35th Pl — FY2023</t>
        </is>
      </c>
      <c r="B278" s="25" t="inlineStr">
        <is>
          <t>Income</t>
        </is>
      </c>
      <c r="C278" s="6" t="inlineStr">
        <is>
          <t>4321 - Insurance Recovery</t>
        </is>
      </c>
      <c r="D278" s="22" t="n">
        <v>22931.18</v>
      </c>
      <c r="E278" s="6" t="n"/>
    </row>
    <row r="279">
      <c r="A279" s="6" t="inlineStr">
        <is>
          <t>14501 E 35th Pl — FY2023</t>
        </is>
      </c>
      <c r="B279" s="25" t="inlineStr">
        <is>
          <t>Income</t>
        </is>
      </c>
      <c r="C279" s="6" t="inlineStr">
        <is>
          <t>4365 - HVAC Overtime Recovery</t>
        </is>
      </c>
      <c r="D279" s="22" t="n">
        <v>86832.62</v>
      </c>
      <c r="E279" s="6" t="n"/>
    </row>
    <row r="280">
      <c r="A280" s="6" t="inlineStr">
        <is>
          <t>14501 E 35th Pl — FY2023</t>
        </is>
      </c>
      <c r="B280" s="25" t="inlineStr">
        <is>
          <t>Income</t>
        </is>
      </c>
      <c r="C280" s="6" t="inlineStr">
        <is>
          <t>4510 - Administrative Fee</t>
        </is>
      </c>
      <c r="D280" s="22" t="n">
        <v>20340</v>
      </c>
      <c r="E280" s="6" t="n"/>
    </row>
    <row r="281">
      <c r="A281" s="6" t="inlineStr">
        <is>
          <t>14501 E 35th Pl — FY2023</t>
        </is>
      </c>
      <c r="B281" s="25" t="inlineStr">
        <is>
          <t>Income</t>
        </is>
      </c>
      <c r="C281" s="6" t="inlineStr">
        <is>
          <t>4630 - Late Fee Income</t>
        </is>
      </c>
      <c r="D281" s="22" t="n">
        <v>13255.24</v>
      </c>
      <c r="E281" s="6" t="n"/>
    </row>
    <row r="282">
      <c r="A282" s="11" t="inlineStr">
        <is>
          <t>14501 E 35th Pl — FY2023</t>
        </is>
      </c>
      <c r="B282" s="26" t="inlineStr">
        <is>
          <t>Income</t>
        </is>
      </c>
      <c r="C282" s="12" t="inlineStr">
        <is>
          <t>TOTAL INCOME</t>
        </is>
      </c>
      <c r="D282" s="23">
        <f>SUM(D274:D281)</f>
        <v/>
      </c>
      <c r="E282" s="6" t="inlineStr">
        <is>
          <t>Printed total: $1,286,230.12.</t>
        </is>
      </c>
    </row>
    <row r="283">
      <c r="A283" s="6" t="inlineStr">
        <is>
          <t>14501 E 35th Pl — FY2023</t>
        </is>
      </c>
      <c r="B283" s="25" t="inlineStr">
        <is>
          <t>Expense</t>
        </is>
      </c>
      <c r="C283" s="6" t="inlineStr">
        <is>
          <t>5033 - R&amp;M HVAC</t>
        </is>
      </c>
      <c r="D283" s="22" t="n">
        <v>83432.53999999999</v>
      </c>
      <c r="E283" s="6" t="n"/>
    </row>
    <row r="284">
      <c r="A284" s="6" t="inlineStr">
        <is>
          <t>14501 E 35th Pl — FY2023</t>
        </is>
      </c>
      <c r="B284" s="25" t="inlineStr">
        <is>
          <t>Expense</t>
        </is>
      </c>
      <c r="C284" s="6" t="inlineStr">
        <is>
          <t>5037 - R&amp;M HVAC Contract</t>
        </is>
      </c>
      <c r="D284" s="22" t="n">
        <v>1600.08</v>
      </c>
      <c r="E284" s="6" t="n"/>
    </row>
    <row r="285">
      <c r="A285" s="6" t="inlineStr">
        <is>
          <t>14501 E 35th Pl — FY2023</t>
        </is>
      </c>
      <c r="B285" s="25" t="inlineStr">
        <is>
          <t>Expense</t>
        </is>
      </c>
      <c r="C285" s="6" t="inlineStr">
        <is>
          <t>5038 - R&amp;M HVAC Air Filters</t>
        </is>
      </c>
      <c r="D285" s="22" t="n">
        <v>1800</v>
      </c>
      <c r="E285" s="6" t="n"/>
    </row>
    <row r="286">
      <c r="A286" s="6" t="inlineStr">
        <is>
          <t>14501 E 35th Pl — FY2023</t>
        </is>
      </c>
      <c r="B286" s="25" t="inlineStr">
        <is>
          <t>Expense</t>
        </is>
      </c>
      <c r="C286" s="6" t="inlineStr">
        <is>
          <t>5049 - R&amp;M Misc Repairs Exterior</t>
        </is>
      </c>
      <c r="D286" s="22" t="n">
        <v>8540</v>
      </c>
      <c r="E286" s="6" t="n"/>
    </row>
    <row r="287">
      <c r="A287" s="6" t="inlineStr">
        <is>
          <t>14501 E 35th Pl — FY2023</t>
        </is>
      </c>
      <c r="B287" s="25" t="inlineStr">
        <is>
          <t>Expense</t>
        </is>
      </c>
      <c r="C287" s="6" t="inlineStr">
        <is>
          <t>5082 - R&amp;M Roof Repair</t>
        </is>
      </c>
      <c r="D287" s="22" t="n">
        <v>2900</v>
      </c>
      <c r="E287" s="6" t="n"/>
    </row>
    <row r="288">
      <c r="A288" s="6" t="inlineStr">
        <is>
          <t>14501 E 35th Pl — FY2023</t>
        </is>
      </c>
      <c r="B288" s="25" t="inlineStr">
        <is>
          <t>Expense</t>
        </is>
      </c>
      <c r="C288" s="6" t="inlineStr">
        <is>
          <t>5100 - Landscape Contract Service</t>
        </is>
      </c>
      <c r="D288" s="22" t="n">
        <v>32200.23</v>
      </c>
      <c r="E288" s="6" t="n"/>
    </row>
    <row r="289">
      <c r="A289" s="6" t="inlineStr">
        <is>
          <t>14501 E 35th Pl — FY2023</t>
        </is>
      </c>
      <c r="B289" s="25" t="inlineStr">
        <is>
          <t>Expense</t>
        </is>
      </c>
      <c r="C289" s="6" t="inlineStr">
        <is>
          <t>5575 - R&amp;M Striping (parking)</t>
        </is>
      </c>
      <c r="D289" s="22" t="n">
        <v>1768</v>
      </c>
      <c r="E289" s="6" t="n"/>
    </row>
    <row r="290">
      <c r="A290" s="6" t="inlineStr">
        <is>
          <t>14501 E 35th Pl — FY2023</t>
        </is>
      </c>
      <c r="B290" s="25" t="inlineStr">
        <is>
          <t>Expense</t>
        </is>
      </c>
      <c r="C290" s="6" t="inlineStr">
        <is>
          <t>5901 - Insurance</t>
        </is>
      </c>
      <c r="D290" s="22" t="n">
        <v>22931.18</v>
      </c>
      <c r="E290" s="6" t="n"/>
    </row>
    <row r="291">
      <c r="A291" s="6" t="inlineStr">
        <is>
          <t>14501 E 35th Pl — FY2023</t>
        </is>
      </c>
      <c r="B291" s="25" t="inlineStr">
        <is>
          <t>Expense</t>
        </is>
      </c>
      <c r="C291" s="6" t="inlineStr">
        <is>
          <t>5950 - Real Estate Tax</t>
        </is>
      </c>
      <c r="D291" s="22" t="n">
        <v>482079.19</v>
      </c>
      <c r="E291" s="6" t="n"/>
    </row>
    <row r="292">
      <c r="A292" s="6" t="inlineStr">
        <is>
          <t>14501 E 35th Pl — FY2023</t>
        </is>
      </c>
      <c r="B292" s="25" t="inlineStr">
        <is>
          <t>Expense</t>
        </is>
      </c>
      <c r="C292" s="6" t="inlineStr">
        <is>
          <t>6040 - R&amp;M Other - N/R</t>
        </is>
      </c>
      <c r="D292" s="22" t="n">
        <v>1500</v>
      </c>
      <c r="E292" s="6" t="n"/>
    </row>
    <row r="293">
      <c r="A293" s="6" t="inlineStr">
        <is>
          <t>14501 E 35th Pl — FY2023</t>
        </is>
      </c>
      <c r="B293" s="25" t="inlineStr">
        <is>
          <t>Expense</t>
        </is>
      </c>
      <c r="C293" s="6" t="inlineStr">
        <is>
          <t>6600 - Management Fees - N/R</t>
        </is>
      </c>
      <c r="D293" s="22" t="n">
        <v>34717.9</v>
      </c>
      <c r="E293" s="6" t="n"/>
    </row>
    <row r="294">
      <c r="A294" s="6" t="inlineStr">
        <is>
          <t>14501 E 35th Pl — FY2023</t>
        </is>
      </c>
      <c r="B294" s="25" t="inlineStr">
        <is>
          <t>Expense</t>
        </is>
      </c>
      <c r="C294" s="6" t="inlineStr">
        <is>
          <t>6611 - Admin Bank Charges - N/R</t>
        </is>
      </c>
      <c r="D294" s="22" t="n">
        <v>42.77</v>
      </c>
      <c r="E294" s="6" t="n"/>
    </row>
    <row r="295">
      <c r="A295" s="6" t="inlineStr">
        <is>
          <t>14501 E 35th Pl — FY2023</t>
        </is>
      </c>
      <c r="B295" s="25" t="inlineStr">
        <is>
          <t>Expense</t>
        </is>
      </c>
      <c r="C295" s="6" t="inlineStr">
        <is>
          <t>6640 - Admin Mileage Reimb. - N/R</t>
        </is>
      </c>
      <c r="D295" s="22" t="n">
        <v>1317.11</v>
      </c>
      <c r="E295" s="6" t="n"/>
    </row>
    <row r="296">
      <c r="A296" s="6" t="inlineStr">
        <is>
          <t>14501 E 35th Pl — FY2023</t>
        </is>
      </c>
      <c r="B296" s="25" t="inlineStr">
        <is>
          <t>Expense</t>
        </is>
      </c>
      <c r="C296" s="6" t="inlineStr">
        <is>
          <t>6653 - Admin Postage - N/R</t>
        </is>
      </c>
      <c r="D296" s="22" t="n">
        <v>37.66</v>
      </c>
      <c r="E296" s="6" t="n"/>
    </row>
    <row r="297">
      <c r="A297" s="6" t="inlineStr">
        <is>
          <t>14501 E 35th Pl — FY2023</t>
        </is>
      </c>
      <c r="B297" s="25" t="inlineStr">
        <is>
          <t>Expense</t>
        </is>
      </c>
      <c r="C297" s="6" t="inlineStr">
        <is>
          <t>6656 - Admin Professional Fee - N/R</t>
        </is>
      </c>
      <c r="D297" s="22" t="n">
        <v>606.75</v>
      </c>
      <c r="E297" s="6" t="n"/>
    </row>
    <row r="298">
      <c r="A298" s="6" t="inlineStr">
        <is>
          <t>14501 E 35th Pl — FY2023</t>
        </is>
      </c>
      <c r="B298" s="25" t="inlineStr">
        <is>
          <t>Expense</t>
        </is>
      </c>
      <c r="C298" s="6" t="inlineStr">
        <is>
          <t>6700 - Leasing &amp; Marketing - N/R</t>
        </is>
      </c>
      <c r="D298" s="22" t="n">
        <v>275.31</v>
      </c>
      <c r="E298" s="6" t="n"/>
    </row>
    <row r="299">
      <c r="A299" s="6" t="inlineStr">
        <is>
          <t>14501 E 35th Pl — FY2023</t>
        </is>
      </c>
      <c r="B299" s="25" t="inlineStr">
        <is>
          <t>Expense</t>
        </is>
      </c>
      <c r="C299" s="6" t="inlineStr">
        <is>
          <t>6770 - Space Planning - N/R</t>
        </is>
      </c>
      <c r="D299" s="22" t="n">
        <v>18359.88</v>
      </c>
      <c r="E299" s="6" t="n"/>
    </row>
    <row r="300">
      <c r="A300" s="11" t="inlineStr">
        <is>
          <t>14501 E 35th Pl — FY2023</t>
        </is>
      </c>
      <c r="B300" s="26" t="inlineStr">
        <is>
          <t>Expense</t>
        </is>
      </c>
      <c r="C300" s="12" t="inlineStr">
        <is>
          <t>TOTAL EXPENSE</t>
        </is>
      </c>
      <c r="D300" s="23">
        <f>SUM(D283:D299)</f>
        <v/>
      </c>
      <c r="E300" s="6" t="inlineStr">
        <is>
          <t>Printed total: $694,108.60.</t>
        </is>
      </c>
    </row>
    <row r="301">
      <c r="A301" s="6" t="inlineStr">
        <is>
          <t>14501 E 35th Pl — FY2024</t>
        </is>
      </c>
      <c r="B301" s="25" t="inlineStr">
        <is>
          <t>Income</t>
        </is>
      </c>
      <c r="C301" s="6" t="inlineStr">
        <is>
          <t>4110 - Base Rent Income - Industrial/Warehouse</t>
        </is>
      </c>
      <c r="D301" s="22" t="n">
        <v>305520.18</v>
      </c>
      <c r="E301" s="6" t="n"/>
    </row>
    <row r="302">
      <c r="A302" s="6" t="inlineStr">
        <is>
          <t>14501 E 35th Pl — FY2024</t>
        </is>
      </c>
      <c r="B302" s="25" t="inlineStr">
        <is>
          <t>Income</t>
        </is>
      </c>
      <c r="C302" s="6" t="inlineStr">
        <is>
          <t>4175 - Rent Concessions/Incentives</t>
        </is>
      </c>
      <c r="D302" s="22" t="n">
        <v>-56159.1</v>
      </c>
      <c r="E302" s="6" t="inlineStr">
        <is>
          <t>CIP abatement</t>
        </is>
      </c>
    </row>
    <row r="303">
      <c r="A303" s="6" t="inlineStr">
        <is>
          <t>14501 E 35th Pl — FY2024</t>
        </is>
      </c>
      <c r="B303" s="25" t="inlineStr">
        <is>
          <t>Income</t>
        </is>
      </c>
      <c r="C303" s="6" t="inlineStr">
        <is>
          <t>4210 - FASB 13 Rent</t>
        </is>
      </c>
      <c r="D303" s="22" t="n">
        <v>39502.02</v>
      </c>
      <c r="E303" s="6" t="n"/>
    </row>
    <row r="304">
      <c r="A304" s="6" t="inlineStr">
        <is>
          <t>14501 E 35th Pl — FY2024</t>
        </is>
      </c>
      <c r="B304" s="25" t="inlineStr">
        <is>
          <t>Income</t>
        </is>
      </c>
      <c r="C304" s="6" t="inlineStr">
        <is>
          <t>4301 - CAM Recovery</t>
        </is>
      </c>
      <c r="D304" s="22" t="n">
        <v>35441.08</v>
      </c>
      <c r="E304" s="6" t="n"/>
    </row>
    <row r="305">
      <c r="A305" s="6" t="inlineStr">
        <is>
          <t>14501 E 35th Pl — FY2024</t>
        </is>
      </c>
      <c r="B305" s="25" t="inlineStr">
        <is>
          <t>Income</t>
        </is>
      </c>
      <c r="C305" s="6" t="inlineStr">
        <is>
          <t>4318 - Tax Recovery</t>
        </is>
      </c>
      <c r="D305" s="22" t="n">
        <v>161732.35</v>
      </c>
      <c r="E305" s="6" t="n"/>
    </row>
    <row r="306">
      <c r="A306" s="6" t="inlineStr">
        <is>
          <t>14501 E 35th Pl — FY2024</t>
        </is>
      </c>
      <c r="B306" s="25" t="inlineStr">
        <is>
          <t>Income</t>
        </is>
      </c>
      <c r="C306" s="6" t="inlineStr">
        <is>
          <t>4321 - Insurance Recovery</t>
        </is>
      </c>
      <c r="D306" s="22" t="n">
        <v>12485.59</v>
      </c>
      <c r="E306" s="6" t="n"/>
    </row>
    <row r="307">
      <c r="A307" s="6" t="inlineStr">
        <is>
          <t>14501 E 35th Pl — FY2024</t>
        </is>
      </c>
      <c r="B307" s="25" t="inlineStr">
        <is>
          <t>Income</t>
        </is>
      </c>
      <c r="C307" s="6" t="inlineStr">
        <is>
          <t>4365 - HVAC Overtime Recovery</t>
        </is>
      </c>
      <c r="D307" s="22" t="n">
        <v>14386.54</v>
      </c>
      <c r="E307" s="6" t="n"/>
    </row>
    <row r="308">
      <c r="A308" s="6" t="inlineStr">
        <is>
          <t>14501 E 35th Pl — FY2024</t>
        </is>
      </c>
      <c r="B308" s="25" t="inlineStr">
        <is>
          <t>Income</t>
        </is>
      </c>
      <c r="C308" s="6" t="inlineStr">
        <is>
          <t>4429 - Tax Recovery - Prior Year</t>
        </is>
      </c>
      <c r="D308" s="22" t="n">
        <v>-40958.91</v>
      </c>
      <c r="E308" s="6" t="n"/>
    </row>
    <row r="309">
      <c r="A309" s="6" t="inlineStr">
        <is>
          <t>14501 E 35th Pl — FY2024</t>
        </is>
      </c>
      <c r="B309" s="25" t="inlineStr">
        <is>
          <t>Income</t>
        </is>
      </c>
      <c r="C309" s="6" t="inlineStr">
        <is>
          <t>4453 - HVAC Recovery - Prior Year</t>
        </is>
      </c>
      <c r="D309" s="22" t="n">
        <v>2636.1</v>
      </c>
      <c r="E309" s="6" t="n"/>
    </row>
    <row r="310">
      <c r="A310" s="6" t="inlineStr">
        <is>
          <t>14501 E 35th Pl — FY2024</t>
        </is>
      </c>
      <c r="B310" s="25" t="inlineStr">
        <is>
          <t>Income</t>
        </is>
      </c>
      <c r="C310" s="6" t="inlineStr">
        <is>
          <t>4510 - Administrative Fee</t>
        </is>
      </c>
      <c r="D310" s="22" t="n">
        <v>15281.91</v>
      </c>
      <c r="E310" s="6" t="n"/>
    </row>
    <row r="311">
      <c r="A311" s="6" t="inlineStr">
        <is>
          <t>14501 E 35th Pl — FY2024</t>
        </is>
      </c>
      <c r="B311" s="25" t="inlineStr">
        <is>
          <t>Income</t>
        </is>
      </c>
      <c r="C311" s="6" t="inlineStr">
        <is>
          <t>4590 - Interest Income</t>
        </is>
      </c>
      <c r="D311" s="22" t="n">
        <v>13681.85</v>
      </c>
      <c r="E311" s="6" t="n"/>
    </row>
    <row r="312">
      <c r="A312" s="6" t="inlineStr">
        <is>
          <t>14501 E 35th Pl — FY2024</t>
        </is>
      </c>
      <c r="B312" s="25" t="inlineStr">
        <is>
          <t>Income</t>
        </is>
      </c>
      <c r="C312" s="6" t="inlineStr">
        <is>
          <t>4630 - Late Fee Income</t>
        </is>
      </c>
      <c r="D312" s="22" t="n">
        <v>11701.38</v>
      </c>
      <c r="E312" s="6" t="n"/>
    </row>
    <row r="313">
      <c r="A313" s="11" t="inlineStr">
        <is>
          <t>14501 E 35th Pl — FY2024</t>
        </is>
      </c>
      <c r="B313" s="26" t="inlineStr">
        <is>
          <t>Income</t>
        </is>
      </c>
      <c r="C313" s="12" t="inlineStr">
        <is>
          <t>TOTAL INCOME</t>
        </is>
      </c>
      <c r="D313" s="23">
        <f>SUM(D301:D312)</f>
        <v/>
      </c>
      <c r="E313" s="6" t="inlineStr">
        <is>
          <t>Printed total: $515,250.99.</t>
        </is>
      </c>
    </row>
    <row r="314">
      <c r="A314" s="6" t="inlineStr">
        <is>
          <t>14501 E 35th Pl — FY2024</t>
        </is>
      </c>
      <c r="B314" s="25" t="inlineStr">
        <is>
          <t>Expense</t>
        </is>
      </c>
      <c r="C314" s="6" t="inlineStr">
        <is>
          <t>5033 - R&amp;M HVAC</t>
        </is>
      </c>
      <c r="D314" s="22" t="n">
        <v>15632.05</v>
      </c>
      <c r="E314" s="6" t="n"/>
    </row>
    <row r="315">
      <c r="A315" s="6" t="inlineStr">
        <is>
          <t>14501 E 35th Pl — FY2024</t>
        </is>
      </c>
      <c r="B315" s="25" t="inlineStr">
        <is>
          <t>Expense</t>
        </is>
      </c>
      <c r="C315" s="6" t="inlineStr">
        <is>
          <t>5037 - R&amp;M HVAC Contract</t>
        </is>
      </c>
      <c r="D315" s="22" t="n">
        <v>6017.59</v>
      </c>
      <c r="E315" s="6" t="n"/>
    </row>
    <row r="316">
      <c r="A316" s="6" t="inlineStr">
        <is>
          <t>14501 E 35th Pl — FY2024</t>
        </is>
      </c>
      <c r="B316" s="25" t="inlineStr">
        <is>
          <t>Expense</t>
        </is>
      </c>
      <c r="C316" s="6" t="inlineStr">
        <is>
          <t>5038 - R&amp;M HVAC Air Filters</t>
        </is>
      </c>
      <c r="D316" s="22" t="n">
        <v>1894.68</v>
      </c>
      <c r="E316" s="6" t="n"/>
    </row>
    <row r="317">
      <c r="A317" s="6" t="inlineStr">
        <is>
          <t>14501 E 35th Pl — FY2024</t>
        </is>
      </c>
      <c r="B317" s="25" t="inlineStr">
        <is>
          <t>Expense</t>
        </is>
      </c>
      <c r="C317" s="6" t="inlineStr">
        <is>
          <t>5049 - R&amp;M Misc Repairs Exterior</t>
        </is>
      </c>
      <c r="D317" s="22" t="n">
        <v>11796.22</v>
      </c>
      <c r="E317" s="6" t="n"/>
    </row>
    <row r="318">
      <c r="A318" s="6" t="inlineStr">
        <is>
          <t>14501 E 35th Pl — FY2024</t>
        </is>
      </c>
      <c r="B318" s="25" t="inlineStr">
        <is>
          <t>Expense</t>
        </is>
      </c>
      <c r="C318" s="6" t="inlineStr">
        <is>
          <t>5078 - R&amp;M Plumbing</t>
        </is>
      </c>
      <c r="D318" s="22" t="n">
        <v>470</v>
      </c>
      <c r="E318" s="6" t="n"/>
    </row>
    <row r="319">
      <c r="A319" s="6" t="inlineStr">
        <is>
          <t>14501 E 35th Pl — FY2024</t>
        </is>
      </c>
      <c r="B319" s="25" t="inlineStr">
        <is>
          <t>Expense</t>
        </is>
      </c>
      <c r="C319" s="6" t="inlineStr">
        <is>
          <t>5082 - R&amp;M Roof Repair</t>
        </is>
      </c>
      <c r="D319" s="22" t="n">
        <v>13425</v>
      </c>
      <c r="E319" s="6" t="n"/>
    </row>
    <row r="320">
      <c r="A320" s="6" t="inlineStr">
        <is>
          <t>14501 E 35th Pl — FY2024</t>
        </is>
      </c>
      <c r="B320" s="25" t="inlineStr">
        <is>
          <t>Expense</t>
        </is>
      </c>
      <c r="C320" s="6" t="inlineStr">
        <is>
          <t>5100 - Landscape Contract Service</t>
        </is>
      </c>
      <c r="D320" s="22" t="n">
        <v>16464.17</v>
      </c>
      <c r="E320" s="6" t="n"/>
    </row>
    <row r="321">
      <c r="A321" s="6" t="inlineStr">
        <is>
          <t>14501 E 35th Pl — FY2024</t>
        </is>
      </c>
      <c r="B321" s="25" t="inlineStr">
        <is>
          <t>Expense</t>
        </is>
      </c>
      <c r="C321" s="6" t="inlineStr">
        <is>
          <t>5165 - Snow Removal</t>
        </is>
      </c>
      <c r="D321" s="22" t="n">
        <v>1816.5</v>
      </c>
      <c r="E321" s="6" t="n"/>
    </row>
    <row r="322">
      <c r="A322" s="6" t="inlineStr">
        <is>
          <t>14501 E 35th Pl — FY2024</t>
        </is>
      </c>
      <c r="B322" s="25" t="inlineStr">
        <is>
          <t>Expense</t>
        </is>
      </c>
      <c r="C322" s="6" t="inlineStr">
        <is>
          <t>5300 - Security &amp; Safety</t>
        </is>
      </c>
      <c r="D322" s="22" t="n">
        <v>1976.03</v>
      </c>
      <c r="E322" s="6" t="n"/>
    </row>
    <row r="323">
      <c r="A323" s="6" t="inlineStr">
        <is>
          <t>14501 E 35th Pl — FY2024</t>
        </is>
      </c>
      <c r="B323" s="25" t="inlineStr">
        <is>
          <t>Expense</t>
        </is>
      </c>
      <c r="C323" s="6" t="inlineStr">
        <is>
          <t>5335 - Fire Safety R&amp;M</t>
        </is>
      </c>
      <c r="D323" s="22" t="n">
        <v>11106.48</v>
      </c>
      <c r="E323" s="6" t="n"/>
    </row>
    <row r="324">
      <c r="A324" s="6" t="inlineStr">
        <is>
          <t>14501 E 35th Pl — FY2024</t>
        </is>
      </c>
      <c r="B324" s="25" t="inlineStr">
        <is>
          <t>Expense</t>
        </is>
      </c>
      <c r="C324" s="6" t="inlineStr">
        <is>
          <t>5405 - Electric</t>
        </is>
      </c>
      <c r="D324" s="22" t="n">
        <v>1642.67</v>
      </c>
      <c r="E324" s="6" t="n"/>
    </row>
    <row r="325">
      <c r="A325" s="6" t="inlineStr">
        <is>
          <t>14501 E 35th Pl — FY2024</t>
        </is>
      </c>
      <c r="B325" s="25" t="inlineStr">
        <is>
          <t>Expense</t>
        </is>
      </c>
      <c r="C325" s="6" t="inlineStr">
        <is>
          <t>5411 - Water</t>
        </is>
      </c>
      <c r="D325" s="22" t="n">
        <v>4376.5</v>
      </c>
      <c r="E325" s="6" t="n"/>
    </row>
    <row r="326">
      <c r="A326" s="6" t="inlineStr">
        <is>
          <t>14501 E 35th Pl — FY2024</t>
        </is>
      </c>
      <c r="B326" s="25" t="inlineStr">
        <is>
          <t>Expense</t>
        </is>
      </c>
      <c r="C326" s="6" t="inlineStr">
        <is>
          <t>5570 - R&amp;M Lights (parking)</t>
        </is>
      </c>
      <c r="D326" s="22" t="n">
        <v>683.5599999999999</v>
      </c>
      <c r="E326" s="6" t="n"/>
    </row>
    <row r="327">
      <c r="A327" s="6" t="inlineStr">
        <is>
          <t>14501 E 35th Pl — FY2024</t>
        </is>
      </c>
      <c r="B327" s="25" t="inlineStr">
        <is>
          <t>Expense</t>
        </is>
      </c>
      <c r="C327" s="6" t="inlineStr">
        <is>
          <t>5580 - R&amp;M Sweeping (parking)</t>
        </is>
      </c>
      <c r="D327" s="22" t="n">
        <v>990</v>
      </c>
      <c r="E327" s="6" t="n"/>
    </row>
    <row r="328">
      <c r="A328" s="6" t="inlineStr">
        <is>
          <t>14501 E 35th Pl — FY2024</t>
        </is>
      </c>
      <c r="B328" s="25" t="inlineStr">
        <is>
          <t>Expense</t>
        </is>
      </c>
      <c r="C328" s="6" t="inlineStr">
        <is>
          <t>5901 - Insurance</t>
        </is>
      </c>
      <c r="D328" s="22" t="n">
        <v>33646.02</v>
      </c>
      <c r="E328" s="6" t="n"/>
    </row>
    <row r="329">
      <c r="A329" s="6" t="inlineStr">
        <is>
          <t>14501 E 35th Pl — FY2024</t>
        </is>
      </c>
      <c r="B329" s="25" t="inlineStr">
        <is>
          <t>Expense</t>
        </is>
      </c>
      <c r="C329" s="6" t="inlineStr">
        <is>
          <t>5950 - Real Estate Tax</t>
        </is>
      </c>
      <c r="D329" s="22" t="n">
        <v>393251.78</v>
      </c>
      <c r="E329" s="6" t="n"/>
    </row>
    <row r="330">
      <c r="A330" s="6" t="inlineStr">
        <is>
          <t>14501 E 35th Pl — FY2024</t>
        </is>
      </c>
      <c r="B330" s="25" t="inlineStr">
        <is>
          <t>Expense</t>
        </is>
      </c>
      <c r="C330" s="6" t="inlineStr">
        <is>
          <t>5990 - Other Taxes</t>
        </is>
      </c>
      <c r="D330" s="22" t="n">
        <v>4976.01</v>
      </c>
      <c r="E330" s="6" t="n"/>
    </row>
    <row r="331">
      <c r="A331" s="6" t="inlineStr">
        <is>
          <t>14501 E 35th Pl — FY2024</t>
        </is>
      </c>
      <c r="B331" s="25" t="inlineStr">
        <is>
          <t>Expense</t>
        </is>
      </c>
      <c r="C331" s="6" t="inlineStr">
        <is>
          <t>6003 - R&amp;M HVAC - N/R</t>
        </is>
      </c>
      <c r="D331" s="22" t="n">
        <v>9812.48</v>
      </c>
      <c r="E331" s="6" t="n"/>
    </row>
    <row r="332">
      <c r="A332" s="6" t="inlineStr">
        <is>
          <t>14501 E 35th Pl — FY2024</t>
        </is>
      </c>
      <c r="B332" s="25" t="inlineStr">
        <is>
          <t>Expense</t>
        </is>
      </c>
      <c r="C332" s="6" t="inlineStr">
        <is>
          <t>6040 - R&amp;M Other - N/R</t>
        </is>
      </c>
      <c r="D332" s="22" t="n">
        <v>12124.31</v>
      </c>
      <c r="E332" s="6" t="n"/>
    </row>
    <row r="333">
      <c r="A333" s="6" t="inlineStr">
        <is>
          <t>14501 E 35th Pl — FY2024</t>
        </is>
      </c>
      <c r="B333" s="25" t="inlineStr">
        <is>
          <t>Expense</t>
        </is>
      </c>
      <c r="C333" s="6" t="inlineStr">
        <is>
          <t>6470 - Utilities Other - N/R</t>
        </is>
      </c>
      <c r="D333" s="22" t="n">
        <v>26285.83</v>
      </c>
      <c r="E333" s="6" t="n"/>
    </row>
    <row r="334">
      <c r="A334" s="6" t="inlineStr">
        <is>
          <t>14501 E 35th Pl — FY2024</t>
        </is>
      </c>
      <c r="B334" s="25" t="inlineStr">
        <is>
          <t>Expense</t>
        </is>
      </c>
      <c r="C334" s="6" t="inlineStr">
        <is>
          <t>6600 - Management Fees - N/R</t>
        </is>
      </c>
      <c r="D334" s="22" t="n">
        <v>14230.6</v>
      </c>
      <c r="E334" s="6" t="n"/>
    </row>
    <row r="335">
      <c r="A335" s="6" t="inlineStr">
        <is>
          <t>14501 E 35th Pl — FY2024</t>
        </is>
      </c>
      <c r="B335" s="25" t="inlineStr">
        <is>
          <t>Expense</t>
        </is>
      </c>
      <c r="C335" s="6" t="inlineStr">
        <is>
          <t>6634 - Admin Legal - N/R</t>
        </is>
      </c>
      <c r="D335" s="22" t="n">
        <v>1454.04</v>
      </c>
      <c r="E335" s="6" t="n"/>
    </row>
    <row r="336">
      <c r="A336" s="6" t="inlineStr">
        <is>
          <t>14501 E 35th Pl — FY2024</t>
        </is>
      </c>
      <c r="B336" s="25" t="inlineStr">
        <is>
          <t>Expense</t>
        </is>
      </c>
      <c r="C336" s="6" t="inlineStr">
        <is>
          <t>6640 - Admin Mileage Reimb. - N/R</t>
        </is>
      </c>
      <c r="D336" s="22" t="n">
        <v>601.3</v>
      </c>
      <c r="E336" s="6" t="n"/>
    </row>
    <row r="337">
      <c r="A337" s="6" t="inlineStr">
        <is>
          <t>14501 E 35th Pl — FY2024</t>
        </is>
      </c>
      <c r="B337" s="25" t="inlineStr">
        <is>
          <t>Expense</t>
        </is>
      </c>
      <c r="C337" s="6" t="inlineStr">
        <is>
          <t>6653 - Admin Postage - N/R</t>
        </is>
      </c>
      <c r="D337" s="22" t="n">
        <v>6.77</v>
      </c>
      <c r="E337" s="6" t="n"/>
    </row>
    <row r="338">
      <c r="A338" s="6" t="inlineStr">
        <is>
          <t>14501 E 35th Pl — FY2024</t>
        </is>
      </c>
      <c r="B338" s="25" t="inlineStr">
        <is>
          <t>Expense</t>
        </is>
      </c>
      <c r="C338" s="6" t="inlineStr">
        <is>
          <t>6656 - Admin Professional Fee - N/R</t>
        </is>
      </c>
      <c r="D338" s="22" t="n">
        <v>606.75</v>
      </c>
      <c r="E338" s="6" t="n"/>
    </row>
    <row r="339">
      <c r="A339" s="6" t="inlineStr">
        <is>
          <t>14501 E 35th Pl — FY2024</t>
        </is>
      </c>
      <c r="B339" s="25" t="inlineStr">
        <is>
          <t>Expense</t>
        </is>
      </c>
      <c r="C339" s="6" t="inlineStr">
        <is>
          <t>6700 - Leasing &amp; Marketing - N/R</t>
        </is>
      </c>
      <c r="D339" s="22" t="n">
        <v>983.58</v>
      </c>
      <c r="E339" s="6" t="n"/>
    </row>
    <row r="340">
      <c r="A340" s="6" t="inlineStr">
        <is>
          <t>14501 E 35th Pl — FY2024</t>
        </is>
      </c>
      <c r="B340" s="25" t="inlineStr">
        <is>
          <t>Expense</t>
        </is>
      </c>
      <c r="C340" s="6" t="inlineStr">
        <is>
          <t>6770 - Space Planning - N/R</t>
        </is>
      </c>
      <c r="D340" s="22" t="n">
        <v>30.99</v>
      </c>
      <c r="E340" s="6" t="n"/>
    </row>
    <row r="341">
      <c r="A341" s="11" t="inlineStr">
        <is>
          <t>14501 E 35th Pl — FY2024</t>
        </is>
      </c>
      <c r="B341" s="26" t="inlineStr">
        <is>
          <t>Expense</t>
        </is>
      </c>
      <c r="C341" s="12" t="inlineStr">
        <is>
          <t>TOTAL EXPENSE</t>
        </is>
      </c>
      <c r="D341" s="23">
        <f>SUM(D314:D340)</f>
        <v/>
      </c>
      <c r="E341" s="6" t="inlineStr">
        <is>
          <t>Printed total: $586,301.91.</t>
        </is>
      </c>
    </row>
    <row r="342">
      <c r="A342" s="6" t="inlineStr">
        <is>
          <t>1803 E 58th Ave — 2021 (Form 8825)</t>
        </is>
      </c>
      <c r="B342" s="25" t="inlineStr">
        <is>
          <t>Income</t>
        </is>
      </c>
      <c r="C342" s="6" t="inlineStr">
        <is>
          <t>Gross rents</t>
        </is>
      </c>
      <c r="D342" s="22" t="n">
        <v>266063</v>
      </c>
      <c r="E342" s="6" t="n"/>
    </row>
    <row r="343">
      <c r="A343" s="11" t="inlineStr">
        <is>
          <t>1803 E 58th Ave — 2021 (Form 8825)</t>
        </is>
      </c>
      <c r="B343" s="26" t="inlineStr">
        <is>
          <t>Income</t>
        </is>
      </c>
      <c r="C343" s="12" t="inlineStr">
        <is>
          <t>TOTAL INCOME</t>
        </is>
      </c>
      <c r="D343" s="23">
        <f>SUM(D342:D342)</f>
        <v/>
      </c>
      <c r="E343" s="6" t="inlineStr">
        <is>
          <t>Printed total: $266,063.00.</t>
        </is>
      </c>
    </row>
    <row r="344">
      <c r="A344" s="6" t="inlineStr">
        <is>
          <t>1803 E 58th Ave — 2021 (Form 8825)</t>
        </is>
      </c>
      <c r="B344" s="25" t="inlineStr">
        <is>
          <t>Expense</t>
        </is>
      </c>
      <c r="C344" s="6" t="inlineStr">
        <is>
          <t>Commissions</t>
        </is>
      </c>
      <c r="D344" s="22" t="n">
        <v>500</v>
      </c>
      <c r="E344" s="6" t="n"/>
    </row>
    <row r="345">
      <c r="A345" s="6" t="inlineStr">
        <is>
          <t>1803 E 58th Ave — 2021 (Form 8825)</t>
        </is>
      </c>
      <c r="B345" s="25" t="inlineStr">
        <is>
          <t>Expense</t>
        </is>
      </c>
      <c r="C345" s="6" t="inlineStr">
        <is>
          <t>Insurance</t>
        </is>
      </c>
      <c r="D345" s="22" t="n">
        <v>9225</v>
      </c>
      <c r="E345" s="6" t="n"/>
    </row>
    <row r="346">
      <c r="A346" s="6" t="inlineStr">
        <is>
          <t>1803 E 58th Ave — 2021 (Form 8825)</t>
        </is>
      </c>
      <c r="B346" s="25" t="inlineStr">
        <is>
          <t>Expense</t>
        </is>
      </c>
      <c r="C346" s="6" t="inlineStr">
        <is>
          <t>Legal &amp; other professional fees</t>
        </is>
      </c>
      <c r="D346" s="22" t="n">
        <v>4309</v>
      </c>
      <c r="E346" s="6" t="n"/>
    </row>
    <row r="347">
      <c r="A347" s="6" t="inlineStr">
        <is>
          <t>1803 E 58th Ave — 2021 (Form 8825)</t>
        </is>
      </c>
      <c r="B347" s="25" t="inlineStr">
        <is>
          <t>Expense</t>
        </is>
      </c>
      <c r="C347" s="6" t="inlineStr">
        <is>
          <t>Repairs</t>
        </is>
      </c>
      <c r="D347" s="22" t="n">
        <v>2794</v>
      </c>
      <c r="E347" s="6" t="n"/>
    </row>
    <row r="348">
      <c r="A348" s="6" t="inlineStr">
        <is>
          <t>1803 E 58th Ave — 2021 (Form 8825)</t>
        </is>
      </c>
      <c r="B348" s="25" t="inlineStr">
        <is>
          <t>Expense</t>
        </is>
      </c>
      <c r="C348" s="6" t="inlineStr">
        <is>
          <t>Taxes</t>
        </is>
      </c>
      <c r="D348" s="22" t="n">
        <v>73777</v>
      </c>
      <c r="E348" s="6" t="n"/>
    </row>
    <row r="349">
      <c r="A349" s="6" t="inlineStr">
        <is>
          <t>1803 E 58th Ave — 2021 (Form 8825)</t>
        </is>
      </c>
      <c r="B349" s="25" t="inlineStr">
        <is>
          <t>Expense</t>
        </is>
      </c>
      <c r="C349" s="6" t="inlineStr">
        <is>
          <t>Depreciation</t>
        </is>
      </c>
      <c r="D349" s="22" t="n">
        <v>643</v>
      </c>
      <c r="E349" s="6" t="n"/>
    </row>
    <row r="350">
      <c r="A350" s="6" t="inlineStr">
        <is>
          <t>1803 E 58th Ave — 2021 (Form 8825)</t>
        </is>
      </c>
      <c r="B350" s="25" t="inlineStr">
        <is>
          <t>Expense</t>
        </is>
      </c>
      <c r="C350" s="6" t="inlineStr">
        <is>
          <t>Other (STMT 6)</t>
        </is>
      </c>
      <c r="D350" s="22" t="n">
        <v>896</v>
      </c>
      <c r="E350" s="6" t="n"/>
    </row>
    <row r="351">
      <c r="A351" s="11" t="inlineStr">
        <is>
          <t>1803 E 58th Ave — 2021 (Form 8825)</t>
        </is>
      </c>
      <c r="B351" s="26" t="inlineStr">
        <is>
          <t>Expense</t>
        </is>
      </c>
      <c r="C351" s="12" t="inlineStr">
        <is>
          <t>TOTAL EXPENSE</t>
        </is>
      </c>
      <c r="D351" s="23">
        <f>SUM(D344:D350)</f>
        <v/>
      </c>
      <c r="E351" s="6" t="inlineStr">
        <is>
          <t>Printed total: $92,144.00.</t>
        </is>
      </c>
    </row>
    <row r="352">
      <c r="A352" s="6" t="inlineStr">
        <is>
          <t>1803 E 58th Ave — 2022 (Form 8825)</t>
        </is>
      </c>
      <c r="B352" s="25" t="inlineStr">
        <is>
          <t>Income</t>
        </is>
      </c>
      <c r="C352" s="6" t="inlineStr">
        <is>
          <t>Gross rents</t>
        </is>
      </c>
      <c r="D352" s="22" t="n">
        <v>379611</v>
      </c>
      <c r="E352" s="6" t="n"/>
    </row>
    <row r="353">
      <c r="A353" s="11" t="inlineStr">
        <is>
          <t>1803 E 58th Ave — 2022 (Form 8825)</t>
        </is>
      </c>
      <c r="B353" s="26" t="inlineStr">
        <is>
          <t>Income</t>
        </is>
      </c>
      <c r="C353" s="12" t="inlineStr">
        <is>
          <t>TOTAL INCOME</t>
        </is>
      </c>
      <c r="D353" s="23">
        <f>SUM(D352:D352)</f>
        <v/>
      </c>
      <c r="E353" s="6" t="inlineStr">
        <is>
          <t>Printed total: $379,611.00.</t>
        </is>
      </c>
    </row>
    <row r="354">
      <c r="A354" s="6" t="inlineStr">
        <is>
          <t>1803 E 58th Ave — 2022 (Form 8825)</t>
        </is>
      </c>
      <c r="B354" s="25" t="inlineStr">
        <is>
          <t>Expense</t>
        </is>
      </c>
      <c r="C354" s="6" t="inlineStr">
        <is>
          <t>Insurance</t>
        </is>
      </c>
      <c r="D354" s="22" t="n">
        <v>8380</v>
      </c>
      <c r="E354" s="6" t="n"/>
    </row>
    <row r="355">
      <c r="A355" s="6" t="inlineStr">
        <is>
          <t>1803 E 58th Ave — 2022 (Form 8825)</t>
        </is>
      </c>
      <c r="B355" s="25" t="inlineStr">
        <is>
          <t>Expense</t>
        </is>
      </c>
      <c r="C355" s="6" t="inlineStr">
        <is>
          <t>Legal &amp; other professional fees</t>
        </is>
      </c>
      <c r="D355" s="22" t="n">
        <v>5245</v>
      </c>
      <c r="E355" s="6" t="n"/>
    </row>
    <row r="356">
      <c r="A356" s="6" t="inlineStr">
        <is>
          <t>1803 E 58th Ave — 2022 (Form 8825)</t>
        </is>
      </c>
      <c r="B356" s="25" t="inlineStr">
        <is>
          <t>Expense</t>
        </is>
      </c>
      <c r="C356" s="6" t="inlineStr">
        <is>
          <t>Repairs</t>
        </is>
      </c>
      <c r="D356" s="22" t="n">
        <v>7597</v>
      </c>
      <c r="E356" s="6" t="n"/>
    </row>
    <row r="357">
      <c r="A357" s="6" t="inlineStr">
        <is>
          <t>1803 E 58th Ave — 2022 (Form 8825)</t>
        </is>
      </c>
      <c r="B357" s="25" t="inlineStr">
        <is>
          <t>Expense</t>
        </is>
      </c>
      <c r="C357" s="6" t="inlineStr">
        <is>
          <t>Taxes</t>
        </is>
      </c>
      <c r="D357" s="22" t="n">
        <v>80613</v>
      </c>
      <c r="E357" s="6" t="n"/>
    </row>
    <row r="358">
      <c r="A358" s="6" t="inlineStr">
        <is>
          <t>1803 E 58th Ave — 2022 (Form 8825)</t>
        </is>
      </c>
      <c r="B358" s="25" t="inlineStr">
        <is>
          <t>Expense</t>
        </is>
      </c>
      <c r="C358" s="6" t="inlineStr">
        <is>
          <t>Depreciation</t>
        </is>
      </c>
      <c r="D358" s="22" t="n">
        <v>643</v>
      </c>
      <c r="E358" s="6" t="n"/>
    </row>
    <row r="359">
      <c r="A359" s="6" t="inlineStr">
        <is>
          <t>1803 E 58th Ave — 2022 (Form 8825)</t>
        </is>
      </c>
      <c r="B359" s="25" t="inlineStr">
        <is>
          <t>Expense</t>
        </is>
      </c>
      <c r="C359" s="6" t="inlineStr">
        <is>
          <t>Other (STMT 6)</t>
        </is>
      </c>
      <c r="D359" s="22" t="n">
        <v>757</v>
      </c>
      <c r="E359" s="6" t="n"/>
    </row>
    <row r="360">
      <c r="A360" s="11" t="inlineStr">
        <is>
          <t>1803 E 58th Ave — 2022 (Form 8825)</t>
        </is>
      </c>
      <c r="B360" s="26" t="inlineStr">
        <is>
          <t>Expense</t>
        </is>
      </c>
      <c r="C360" s="12" t="inlineStr">
        <is>
          <t>TOTAL EXPENSE</t>
        </is>
      </c>
      <c r="D360" s="23">
        <f>SUM(D354:D359)</f>
        <v/>
      </c>
      <c r="E360" s="6" t="inlineStr">
        <is>
          <t>Printed total: $103,235.00.</t>
        </is>
      </c>
    </row>
    <row r="361">
      <c r="A361" s="6" t="inlineStr">
        <is>
          <t>14200 E 33rd Pl — FY2023</t>
        </is>
      </c>
      <c r="B361" s="25" t="inlineStr">
        <is>
          <t>Income</t>
        </is>
      </c>
      <c r="C361" s="6" t="inlineStr">
        <is>
          <t>Base Rent</t>
        </is>
      </c>
      <c r="D361" s="22" t="n">
        <v>681184.7</v>
      </c>
      <c r="E361" s="6" t="n"/>
    </row>
    <row r="362">
      <c r="A362" s="6" t="inlineStr">
        <is>
          <t>14200 E 33rd Pl — FY2023</t>
        </is>
      </c>
      <c r="B362" s="25" t="inlineStr">
        <is>
          <t>Income</t>
        </is>
      </c>
      <c r="C362" s="6" t="inlineStr">
        <is>
          <t>Operating Exp. Recovery</t>
        </is>
      </c>
      <c r="D362" s="22" t="n">
        <v>79956</v>
      </c>
      <c r="E362" s="6" t="n"/>
    </row>
    <row r="363">
      <c r="A363" s="6" t="inlineStr">
        <is>
          <t>14200 E 33rd Pl — FY2023</t>
        </is>
      </c>
      <c r="B363" s="25" t="inlineStr">
        <is>
          <t>Income</t>
        </is>
      </c>
      <c r="C363" s="6" t="inlineStr">
        <is>
          <t>Insurance Recovery</t>
        </is>
      </c>
      <c r="D363" s="22" t="n">
        <v>13668</v>
      </c>
      <c r="E363" s="6" t="n"/>
    </row>
    <row r="364">
      <c r="A364" s="6" t="inlineStr">
        <is>
          <t>14200 E 33rd Pl — FY2023</t>
        </is>
      </c>
      <c r="B364" s="25" t="inlineStr">
        <is>
          <t>Income</t>
        </is>
      </c>
      <c r="C364" s="6" t="inlineStr">
        <is>
          <t>Tax Recovery</t>
        </is>
      </c>
      <c r="D364" s="22" t="n">
        <v>384866</v>
      </c>
      <c r="E364" s="6" t="n"/>
    </row>
    <row r="365">
      <c r="A365" s="6" t="inlineStr">
        <is>
          <t>14200 E 33rd Pl — FY2023</t>
        </is>
      </c>
      <c r="B365" s="25" t="inlineStr">
        <is>
          <t>Income</t>
        </is>
      </c>
      <c r="C365" s="6" t="inlineStr">
        <is>
          <t>PY CAM Reconciliation</t>
        </is>
      </c>
      <c r="D365" s="22" t="n">
        <v>17474.21</v>
      </c>
      <c r="E365" s="6" t="n"/>
    </row>
    <row r="366">
      <c r="A366" s="6" t="inlineStr">
        <is>
          <t>14200 E 33rd Pl — FY2023</t>
        </is>
      </c>
      <c r="B366" s="25" t="inlineStr">
        <is>
          <t>Income</t>
        </is>
      </c>
      <c r="C366" s="6" t="inlineStr">
        <is>
          <t>Direct Billable Income</t>
        </is>
      </c>
      <c r="D366" s="22" t="n">
        <v>-5574.75</v>
      </c>
      <c r="E366" s="6" t="n"/>
    </row>
    <row r="367">
      <c r="A367" s="6" t="inlineStr">
        <is>
          <t>14200 E 33rd Pl — FY2023</t>
        </is>
      </c>
      <c r="B367" s="25" t="inlineStr">
        <is>
          <t>Income</t>
        </is>
      </c>
      <c r="C367" s="6" t="inlineStr">
        <is>
          <t>Interest Income</t>
        </is>
      </c>
      <c r="D367" s="22" t="n">
        <v>112.37</v>
      </c>
      <c r="E367" s="6" t="n"/>
    </row>
    <row r="368">
      <c r="A368" s="11" t="inlineStr">
        <is>
          <t>14200 E 33rd Pl — FY2023</t>
        </is>
      </c>
      <c r="B368" s="26" t="inlineStr">
        <is>
          <t>Income</t>
        </is>
      </c>
      <c r="C368" s="12" t="inlineStr">
        <is>
          <t>TOTAL INCOME</t>
        </is>
      </c>
      <c r="D368" s="23">
        <f>SUM(D361:D367)</f>
        <v/>
      </c>
      <c r="E368" s="6" t="inlineStr">
        <is>
          <t>Printed total: $1,171,686.53.</t>
        </is>
      </c>
    </row>
    <row r="369">
      <c r="A369" s="6" t="inlineStr">
        <is>
          <t>14200 E 33rd Pl — FY2023</t>
        </is>
      </c>
      <c r="B369" s="25" t="inlineStr">
        <is>
          <t>Expense</t>
        </is>
      </c>
      <c r="C369" s="6" t="inlineStr">
        <is>
          <t>Water/Sewer (recov)</t>
        </is>
      </c>
      <c r="D369" s="22" t="n">
        <v>16380.17</v>
      </c>
      <c r="E369" s="6" t="n"/>
    </row>
    <row r="370">
      <c r="A370" s="6" t="inlineStr">
        <is>
          <t>14200 E 33rd Pl — FY2023</t>
        </is>
      </c>
      <c r="B370" s="25" t="inlineStr">
        <is>
          <t>Expense</t>
        </is>
      </c>
      <c r="C370" s="6" t="inlineStr">
        <is>
          <t>Extermination (recov)</t>
        </is>
      </c>
      <c r="D370" s="22" t="n">
        <v>1200</v>
      </c>
      <c r="E370" s="6" t="n"/>
    </row>
    <row r="371">
      <c r="A371" s="6" t="inlineStr">
        <is>
          <t>14200 E 33rd Pl — FY2023</t>
        </is>
      </c>
      <c r="B371" s="25" t="inlineStr">
        <is>
          <t>Expense</t>
        </is>
      </c>
      <c r="C371" s="6" t="inlineStr">
        <is>
          <t>Fire Safety Contract</t>
        </is>
      </c>
      <c r="D371" s="22" t="n">
        <v>484.76</v>
      </c>
      <c r="E371" s="6" t="n"/>
    </row>
    <row r="372">
      <c r="A372" s="6" t="inlineStr">
        <is>
          <t>14200 E 33rd Pl — FY2023</t>
        </is>
      </c>
      <c r="B372" s="25" t="inlineStr">
        <is>
          <t>Expense</t>
        </is>
      </c>
      <c r="C372" s="6" t="inlineStr">
        <is>
          <t>Fire Safety Repairs</t>
        </is>
      </c>
      <c r="D372" s="22" t="n">
        <v>685</v>
      </c>
      <c r="E372" s="6" t="n"/>
    </row>
    <row r="373">
      <c r="A373" s="6" t="inlineStr">
        <is>
          <t>14200 E 33rd Pl — FY2023</t>
        </is>
      </c>
      <c r="B373" s="25" t="inlineStr">
        <is>
          <t>Expense</t>
        </is>
      </c>
      <c r="C373" s="6" t="inlineStr">
        <is>
          <t>Fire Safety Other</t>
        </is>
      </c>
      <c r="D373" s="22" t="n">
        <v>605</v>
      </c>
      <c r="E373" s="6" t="n"/>
    </row>
    <row r="374">
      <c r="A374" s="6" t="inlineStr">
        <is>
          <t>14200 E 33rd Pl — FY2023</t>
        </is>
      </c>
      <c r="B374" s="25" t="inlineStr">
        <is>
          <t>Expense</t>
        </is>
      </c>
      <c r="C374" s="6" t="inlineStr">
        <is>
          <t>R&amp;M - General Building (recov)</t>
        </is>
      </c>
      <c r="D374" s="22" t="n">
        <v>1107</v>
      </c>
      <c r="E374" s="6" t="n"/>
    </row>
    <row r="375">
      <c r="A375" s="6" t="inlineStr">
        <is>
          <t>14200 E 33rd Pl — FY2023</t>
        </is>
      </c>
      <c r="B375" s="25" t="inlineStr">
        <is>
          <t>Expense</t>
        </is>
      </c>
      <c r="C375" s="6" t="inlineStr">
        <is>
          <t>Landscape Contract</t>
        </is>
      </c>
      <c r="D375" s="22" t="n">
        <v>6924</v>
      </c>
      <c r="E375" s="6" t="n"/>
    </row>
    <row r="376">
      <c r="A376" s="6" t="inlineStr">
        <is>
          <t>14200 E 33rd Pl — FY2023</t>
        </is>
      </c>
      <c r="B376" s="25" t="inlineStr">
        <is>
          <t>Expense</t>
        </is>
      </c>
      <c r="C376" s="6" t="inlineStr">
        <is>
          <t>R&amp;M - Landscape</t>
        </is>
      </c>
      <c r="D376" s="22" t="n">
        <v>2719.92</v>
      </c>
      <c r="E376" s="6" t="n"/>
    </row>
    <row r="377">
      <c r="A377" s="6" t="inlineStr">
        <is>
          <t>14200 E 33rd Pl — FY2023</t>
        </is>
      </c>
      <c r="B377" s="25" t="inlineStr">
        <is>
          <t>Expense</t>
        </is>
      </c>
      <c r="C377" s="6" t="inlineStr">
        <is>
          <t>HVAC Contract</t>
        </is>
      </c>
      <c r="D377" s="22" t="n">
        <v>3468</v>
      </c>
      <c r="E377" s="6" t="n"/>
    </row>
    <row r="378">
      <c r="A378" s="6" t="inlineStr">
        <is>
          <t>14200 E 33rd Pl — FY2023</t>
        </is>
      </c>
      <c r="B378" s="25" t="inlineStr">
        <is>
          <t>Expense</t>
        </is>
      </c>
      <c r="C378" s="6" t="inlineStr">
        <is>
          <t>R&amp;M - HVAC</t>
        </is>
      </c>
      <c r="D378" s="22" t="n">
        <v>3064.46</v>
      </c>
      <c r="E378" s="6" t="n"/>
    </row>
    <row r="379">
      <c r="A379" s="6" t="inlineStr">
        <is>
          <t>14200 E 33rd Pl — FY2023</t>
        </is>
      </c>
      <c r="B379" s="25" t="inlineStr">
        <is>
          <t>Expense</t>
        </is>
      </c>
      <c r="C379" s="6" t="inlineStr">
        <is>
          <t>R&amp;M - Parking Lot (recov)</t>
        </is>
      </c>
      <c r="D379" s="22" t="n">
        <v>1790</v>
      </c>
      <c r="E379" s="6" t="n"/>
    </row>
    <row r="380">
      <c r="A380" s="6" t="inlineStr">
        <is>
          <t>14200 E 33rd Pl — FY2023</t>
        </is>
      </c>
      <c r="B380" s="25" t="inlineStr">
        <is>
          <t>Expense</t>
        </is>
      </c>
      <c r="C380" s="6" t="inlineStr">
        <is>
          <t>R&amp;M - Prk Lot Sweeping (recov)</t>
        </is>
      </c>
      <c r="D380" s="22" t="n">
        <v>1080</v>
      </c>
      <c r="E380" s="6" t="n"/>
    </row>
    <row r="381">
      <c r="A381" s="6" t="inlineStr">
        <is>
          <t>14200 E 33rd Pl — FY2023</t>
        </is>
      </c>
      <c r="B381" s="25" t="inlineStr">
        <is>
          <t>Expense</t>
        </is>
      </c>
      <c r="C381" s="6" t="inlineStr">
        <is>
          <t>R&amp;M - Prk Lot Snow Removal (recov)</t>
        </is>
      </c>
      <c r="D381" s="22" t="n">
        <v>17475.5</v>
      </c>
      <c r="E381" s="6" t="n"/>
    </row>
    <row r="382">
      <c r="A382" s="6" t="inlineStr">
        <is>
          <t>14200 E 33rd Pl — FY2023</t>
        </is>
      </c>
      <c r="B382" s="25" t="inlineStr">
        <is>
          <t>Expense</t>
        </is>
      </c>
      <c r="C382" s="6" t="inlineStr">
        <is>
          <t>R&amp;M - Plumbing (recov)</t>
        </is>
      </c>
      <c r="D382" s="22" t="n">
        <v>655</v>
      </c>
      <c r="E382" s="6" t="n"/>
    </row>
    <row r="383">
      <c r="A383" s="6" t="inlineStr">
        <is>
          <t>14200 E 33rd Pl — FY2023</t>
        </is>
      </c>
      <c r="B383" s="25" t="inlineStr">
        <is>
          <t>Expense</t>
        </is>
      </c>
      <c r="C383" s="6" t="inlineStr">
        <is>
          <t>R&amp;M - Roof (recov)</t>
        </is>
      </c>
      <c r="D383" s="22" t="n">
        <v>2442.39</v>
      </c>
      <c r="E383" s="6" t="n"/>
    </row>
    <row r="384">
      <c r="A384" s="6" t="inlineStr">
        <is>
          <t>14200 E 33rd Pl — FY2023</t>
        </is>
      </c>
      <c r="B384" s="25" t="inlineStr">
        <is>
          <t>Expense</t>
        </is>
      </c>
      <c r="C384" s="6" t="inlineStr">
        <is>
          <t>Signage (recov)</t>
        </is>
      </c>
      <c r="D384" s="22" t="n">
        <v>5503.31</v>
      </c>
      <c r="E384" s="6" t="n"/>
    </row>
    <row r="385">
      <c r="A385" s="6" t="inlineStr">
        <is>
          <t>14200 E 33rd Pl — FY2023</t>
        </is>
      </c>
      <c r="B385" s="25" t="inlineStr">
        <is>
          <t>Expense</t>
        </is>
      </c>
      <c r="C385" s="6" t="inlineStr">
        <is>
          <t>Management Fees (recov)</t>
        </is>
      </c>
      <c r="D385" s="22" t="n">
        <v>30028.16</v>
      </c>
      <c r="E385" s="6" t="n"/>
    </row>
    <row r="386">
      <c r="A386" s="6" t="inlineStr">
        <is>
          <t>14200 E 33rd Pl — FY2023</t>
        </is>
      </c>
      <c r="B386" s="25" t="inlineStr">
        <is>
          <t>Expense</t>
        </is>
      </c>
      <c r="C386" s="6" t="inlineStr">
        <is>
          <t>Other Expense (recov)</t>
        </is>
      </c>
      <c r="D386" s="22" t="n">
        <v>100</v>
      </c>
      <c r="E386" s="6" t="n"/>
    </row>
    <row r="387">
      <c r="A387" s="6" t="inlineStr">
        <is>
          <t>14200 E 33rd Pl — FY2023</t>
        </is>
      </c>
      <c r="B387" s="25" t="inlineStr">
        <is>
          <t>Expense</t>
        </is>
      </c>
      <c r="C387" s="6" t="inlineStr">
        <is>
          <t>Other Direct Billable</t>
        </is>
      </c>
      <c r="D387" s="22" t="n">
        <v>1072.25</v>
      </c>
      <c r="E387" s="6" t="n"/>
    </row>
    <row r="388">
      <c r="A388" s="6" t="inlineStr">
        <is>
          <t>14200 E 33rd Pl — FY2023</t>
        </is>
      </c>
      <c r="B388" s="25" t="inlineStr">
        <is>
          <t>Expense</t>
        </is>
      </c>
      <c r="C388" s="6" t="inlineStr">
        <is>
          <t>Insurance</t>
        </is>
      </c>
      <c r="D388" s="22" t="n">
        <v>17340.64</v>
      </c>
      <c r="E388" s="6" t="n"/>
    </row>
    <row r="389">
      <c r="A389" s="6" t="inlineStr">
        <is>
          <t>14200 E 33rd Pl — FY2023</t>
        </is>
      </c>
      <c r="B389" s="25" t="inlineStr">
        <is>
          <t>Expense</t>
        </is>
      </c>
      <c r="C389" s="6" t="inlineStr">
        <is>
          <t>Real Estate Taxes</t>
        </is>
      </c>
      <c r="D389" s="22" t="n">
        <v>384873</v>
      </c>
      <c r="E389" s="6" t="n"/>
    </row>
    <row r="390">
      <c r="A390" s="6" t="inlineStr">
        <is>
          <t>14200 E 33rd Pl — FY2023</t>
        </is>
      </c>
      <c r="B390" s="25" t="inlineStr">
        <is>
          <t>Expense</t>
        </is>
      </c>
      <c r="C390" s="6" t="inlineStr">
        <is>
          <t>Real Estate Taxes - Prior-Yr Adj</t>
        </is>
      </c>
      <c r="D390" s="22" t="n">
        <v>-11503.22</v>
      </c>
      <c r="E390" s="6" t="n"/>
    </row>
    <row r="391">
      <c r="A391" s="6" t="inlineStr">
        <is>
          <t>14200 E 33rd Pl — FY2023</t>
        </is>
      </c>
      <c r="B391" s="25" t="inlineStr">
        <is>
          <t>Expense</t>
        </is>
      </c>
      <c r="C391" s="6" t="inlineStr">
        <is>
          <t>Step Rent Amortization</t>
        </is>
      </c>
      <c r="D391" s="22" t="n">
        <v>-47793.59</v>
      </c>
      <c r="E391" s="6" t="inlineStr">
        <is>
          <t>G&amp;A</t>
        </is>
      </c>
    </row>
    <row r="392">
      <c r="A392" s="6" t="inlineStr">
        <is>
          <t>14200 E 33rd Pl — FY2023</t>
        </is>
      </c>
      <c r="B392" s="25" t="inlineStr">
        <is>
          <t>Expense</t>
        </is>
      </c>
      <c r="C392" s="6" t="inlineStr">
        <is>
          <t>Consultation Fees - General</t>
        </is>
      </c>
      <c r="D392" s="22" t="n">
        <v>1132.39</v>
      </c>
      <c r="E392" s="6" t="n"/>
    </row>
    <row r="393">
      <c r="A393" s="6" t="inlineStr">
        <is>
          <t>14200 E 33rd Pl — FY2023</t>
        </is>
      </c>
      <c r="B393" s="25" t="inlineStr">
        <is>
          <t>Expense</t>
        </is>
      </c>
      <c r="C393" s="6" t="inlineStr">
        <is>
          <t>Building (capital)</t>
        </is>
      </c>
      <c r="D393" s="22" t="n">
        <v>42000</v>
      </c>
      <c r="E393" s="6" t="n"/>
    </row>
    <row r="394">
      <c r="A394" s="6" t="inlineStr">
        <is>
          <t>14200 E 33rd Pl — FY2023</t>
        </is>
      </c>
      <c r="B394" s="25" t="inlineStr">
        <is>
          <t>Expense</t>
        </is>
      </c>
      <c r="C394" s="6" t="inlineStr">
        <is>
          <t>Lease Commission (capital)</t>
        </is>
      </c>
      <c r="D394" s="22" t="n">
        <v>87546.67</v>
      </c>
      <c r="E394" s="6" t="n"/>
    </row>
    <row r="395">
      <c r="A395" s="11" t="inlineStr">
        <is>
          <t>14200 E 33rd Pl — FY2023</t>
        </is>
      </c>
      <c r="B395" s="26" t="inlineStr">
        <is>
          <t>Expense</t>
        </is>
      </c>
      <c r="C395" s="12" t="inlineStr">
        <is>
          <t>TOTAL EXPENSE</t>
        </is>
      </c>
      <c r="D395" s="23">
        <f>SUM(D369:D394)</f>
        <v/>
      </c>
      <c r="E395" s="6" t="inlineStr">
        <is>
          <t>Printed total: $570,380.81.</t>
        </is>
      </c>
    </row>
    <row r="396">
      <c r="A396" s="6" t="inlineStr">
        <is>
          <t>14200 E 33rd Pl — FY2024</t>
        </is>
      </c>
      <c r="B396" s="25" t="inlineStr">
        <is>
          <t>Income</t>
        </is>
      </c>
      <c r="C396" s="6" t="inlineStr">
        <is>
          <t>Base Rent</t>
        </is>
      </c>
      <c r="D396" s="22" t="n">
        <v>754596.5699999999</v>
      </c>
      <c r="E396" s="6" t="n"/>
    </row>
    <row r="397">
      <c r="A397" s="6" t="inlineStr">
        <is>
          <t>14200 E 33rd Pl — FY2024</t>
        </is>
      </c>
      <c r="B397" s="25" t="inlineStr">
        <is>
          <t>Income</t>
        </is>
      </c>
      <c r="C397" s="6" t="inlineStr">
        <is>
          <t>Operating Exp. Recovery</t>
        </is>
      </c>
      <c r="D397" s="22" t="n">
        <v>87252</v>
      </c>
      <c r="E397" s="6" t="n"/>
    </row>
    <row r="398">
      <c r="A398" s="6" t="inlineStr">
        <is>
          <t>14200 E 33rd Pl — FY2024</t>
        </is>
      </c>
      <c r="B398" s="25" t="inlineStr">
        <is>
          <t>Income</t>
        </is>
      </c>
      <c r="C398" s="6" t="inlineStr">
        <is>
          <t>Insurance Recovery</t>
        </is>
      </c>
      <c r="D398" s="22" t="n">
        <v>21672</v>
      </c>
      <c r="E398" s="6" t="n"/>
    </row>
    <row r="399">
      <c r="A399" s="6" t="inlineStr">
        <is>
          <t>14200 E 33rd Pl — FY2024</t>
        </is>
      </c>
      <c r="B399" s="25" t="inlineStr">
        <is>
          <t>Income</t>
        </is>
      </c>
      <c r="C399" s="6" t="inlineStr">
        <is>
          <t>Tax Recovery</t>
        </is>
      </c>
      <c r="D399" s="22" t="n">
        <v>384888</v>
      </c>
      <c r="E399" s="6" t="n"/>
    </row>
    <row r="400">
      <c r="A400" s="6" t="inlineStr">
        <is>
          <t>14200 E 33rd Pl — FY2024</t>
        </is>
      </c>
      <c r="B400" s="25" t="inlineStr">
        <is>
          <t>Income</t>
        </is>
      </c>
      <c r="C400" s="6" t="inlineStr">
        <is>
          <t>PY CAM Reconciliation</t>
        </is>
      </c>
      <c r="D400" s="22" t="n">
        <v>115535.66</v>
      </c>
      <c r="E400" s="6" t="n"/>
    </row>
    <row r="401">
      <c r="A401" s="6" t="inlineStr">
        <is>
          <t>14200 E 33rd Pl — FY2024</t>
        </is>
      </c>
      <c r="B401" s="25" t="inlineStr">
        <is>
          <t>Income</t>
        </is>
      </c>
      <c r="C401" s="6" t="inlineStr">
        <is>
          <t>Bad Debt Allowance</t>
        </is>
      </c>
      <c r="D401" s="22" t="n">
        <v>-18750</v>
      </c>
      <c r="E401" s="6" t="n"/>
    </row>
    <row r="402">
      <c r="A402" s="6" t="inlineStr">
        <is>
          <t>14200 E 33rd Pl — FY2024</t>
        </is>
      </c>
      <c r="B402" s="25" t="inlineStr">
        <is>
          <t>Income</t>
        </is>
      </c>
      <c r="C402" s="6" t="inlineStr">
        <is>
          <t>Interest Income</t>
        </is>
      </c>
      <c r="D402" s="22" t="n">
        <v>1513.66</v>
      </c>
      <c r="E402" s="6" t="n"/>
    </row>
    <row r="403">
      <c r="A403" s="11" t="inlineStr">
        <is>
          <t>14200 E 33rd Pl — FY2024</t>
        </is>
      </c>
      <c r="B403" s="26" t="inlineStr">
        <is>
          <t>Income</t>
        </is>
      </c>
      <c r="C403" s="12" t="inlineStr">
        <is>
          <t>TOTAL INCOME</t>
        </is>
      </c>
      <c r="D403" s="23">
        <f>SUM(D396:D402)</f>
        <v/>
      </c>
      <c r="E403" s="6" t="inlineStr">
        <is>
          <t>Printed total: $1,346,707.89.</t>
        </is>
      </c>
    </row>
    <row r="404">
      <c r="A404" s="6" t="inlineStr">
        <is>
          <t>14200 E 33rd Pl — FY2024</t>
        </is>
      </c>
      <c r="B404" s="25" t="inlineStr">
        <is>
          <t>Expense</t>
        </is>
      </c>
      <c r="C404" s="6" t="inlineStr">
        <is>
          <t>Water/Sewer (recov)</t>
        </is>
      </c>
      <c r="D404" s="22" t="n">
        <v>11611.84</v>
      </c>
      <c r="E404" s="6" t="n"/>
    </row>
    <row r="405">
      <c r="A405" s="6" t="inlineStr">
        <is>
          <t>14200 E 33rd Pl — FY2024</t>
        </is>
      </c>
      <c r="B405" s="25" t="inlineStr">
        <is>
          <t>Expense</t>
        </is>
      </c>
      <c r="C405" s="6" t="inlineStr">
        <is>
          <t>Extermination (recov)</t>
        </is>
      </c>
      <c r="D405" s="22" t="n">
        <v>1250</v>
      </c>
      <c r="E405" s="6" t="n"/>
    </row>
    <row r="406">
      <c r="A406" s="6" t="inlineStr">
        <is>
          <t>14200 E 33rd Pl — FY2024</t>
        </is>
      </c>
      <c r="B406" s="25" t="inlineStr">
        <is>
          <t>Expense</t>
        </is>
      </c>
      <c r="C406" s="6" t="inlineStr">
        <is>
          <t>Fire Safety Contract</t>
        </is>
      </c>
      <c r="D406" s="22" t="n">
        <v>515.4400000000001</v>
      </c>
      <c r="E406" s="6" t="n"/>
    </row>
    <row r="407">
      <c r="A407" s="6" t="inlineStr">
        <is>
          <t>14200 E 33rd Pl — FY2024</t>
        </is>
      </c>
      <c r="B407" s="25" t="inlineStr">
        <is>
          <t>Expense</t>
        </is>
      </c>
      <c r="C407" s="6" t="inlineStr">
        <is>
          <t>Fire Safety Repairs</t>
        </is>
      </c>
      <c r="D407" s="22" t="n">
        <v>429.26</v>
      </c>
      <c r="E407" s="6" t="n"/>
    </row>
    <row r="408">
      <c r="A408" s="6" t="inlineStr">
        <is>
          <t>14200 E 33rd Pl — FY2024</t>
        </is>
      </c>
      <c r="B408" s="25" t="inlineStr">
        <is>
          <t>Expense</t>
        </is>
      </c>
      <c r="C408" s="6" t="inlineStr">
        <is>
          <t>Fire Safety Other</t>
        </is>
      </c>
      <c r="D408" s="22" t="n">
        <v>490</v>
      </c>
      <c r="E408" s="6" t="n"/>
    </row>
    <row r="409">
      <c r="A409" s="6" t="inlineStr">
        <is>
          <t>14200 E 33rd Pl — FY2024</t>
        </is>
      </c>
      <c r="B409" s="25" t="inlineStr">
        <is>
          <t>Expense</t>
        </is>
      </c>
      <c r="C409" s="6" t="inlineStr">
        <is>
          <t>R&amp;M - General Building (recov)</t>
        </is>
      </c>
      <c r="D409" s="22" t="n">
        <v>792</v>
      </c>
      <c r="E409" s="6" t="n"/>
    </row>
    <row r="410">
      <c r="A410" s="6" t="inlineStr">
        <is>
          <t>14200 E 33rd Pl — FY2024</t>
        </is>
      </c>
      <c r="B410" s="25" t="inlineStr">
        <is>
          <t>Expense</t>
        </is>
      </c>
      <c r="C410" s="6" t="inlineStr">
        <is>
          <t>Landscape Contract</t>
        </is>
      </c>
      <c r="D410" s="22" t="n">
        <v>7202</v>
      </c>
      <c r="E410" s="6" t="n"/>
    </row>
    <row r="411">
      <c r="A411" s="6" t="inlineStr">
        <is>
          <t>14200 E 33rd Pl — FY2024</t>
        </is>
      </c>
      <c r="B411" s="25" t="inlineStr">
        <is>
          <t>Expense</t>
        </is>
      </c>
      <c r="C411" s="6" t="inlineStr">
        <is>
          <t>R&amp;M - Landscape</t>
        </is>
      </c>
      <c r="D411" s="22" t="n">
        <v>7757.83</v>
      </c>
      <c r="E411" s="6" t="n"/>
    </row>
    <row r="412">
      <c r="A412" s="6" t="inlineStr">
        <is>
          <t>14200 E 33rd Pl — FY2024</t>
        </is>
      </c>
      <c r="B412" s="25" t="inlineStr">
        <is>
          <t>Expense</t>
        </is>
      </c>
      <c r="C412" s="6" t="inlineStr">
        <is>
          <t>HVAC Contract</t>
        </is>
      </c>
      <c r="D412" s="22" t="n">
        <v>3552</v>
      </c>
      <c r="E412" s="6" t="n"/>
    </row>
    <row r="413">
      <c r="A413" s="6" t="inlineStr">
        <is>
          <t>14200 E 33rd Pl — FY2024</t>
        </is>
      </c>
      <c r="B413" s="25" t="inlineStr">
        <is>
          <t>Expense</t>
        </is>
      </c>
      <c r="C413" s="6" t="inlineStr">
        <is>
          <t>R&amp;M - HVAC</t>
        </is>
      </c>
      <c r="D413" s="22" t="n">
        <v>2144.82</v>
      </c>
      <c r="E413" s="6" t="n"/>
    </row>
    <row r="414">
      <c r="A414" s="6" t="inlineStr">
        <is>
          <t>14200 E 33rd Pl — FY2024</t>
        </is>
      </c>
      <c r="B414" s="25" t="inlineStr">
        <is>
          <t>Expense</t>
        </is>
      </c>
      <c r="C414" s="6" t="inlineStr">
        <is>
          <t>R&amp;M - Prk Lot Sweeping (recov)</t>
        </is>
      </c>
      <c r="D414" s="22" t="n">
        <v>1080</v>
      </c>
      <c r="E414" s="6" t="n"/>
    </row>
    <row r="415">
      <c r="A415" s="6" t="inlineStr">
        <is>
          <t>14200 E 33rd Pl — FY2024</t>
        </is>
      </c>
      <c r="B415" s="25" t="inlineStr">
        <is>
          <t>Expense</t>
        </is>
      </c>
      <c r="C415" s="6" t="inlineStr">
        <is>
          <t>R&amp;M - Prk Lot Snow Removal (recov)</t>
        </is>
      </c>
      <c r="D415" s="22" t="n">
        <v>27996.5</v>
      </c>
      <c r="E415" s="6" t="n"/>
    </row>
    <row r="416">
      <c r="A416" s="6" t="inlineStr">
        <is>
          <t>14200 E 33rd Pl — FY2024</t>
        </is>
      </c>
      <c r="B416" s="25" t="inlineStr">
        <is>
          <t>Expense</t>
        </is>
      </c>
      <c r="C416" s="6" t="inlineStr">
        <is>
          <t>R&amp;M - Plumbing (recov)</t>
        </is>
      </c>
      <c r="D416" s="22" t="n">
        <v>960</v>
      </c>
      <c r="E416" s="6" t="n"/>
    </row>
    <row r="417">
      <c r="A417" s="6" t="inlineStr">
        <is>
          <t>14200 E 33rd Pl — FY2024</t>
        </is>
      </c>
      <c r="B417" s="25" t="inlineStr">
        <is>
          <t>Expense</t>
        </is>
      </c>
      <c r="C417" s="6" t="inlineStr">
        <is>
          <t>R&amp;M - Roof (recov)</t>
        </is>
      </c>
      <c r="D417" s="22" t="n">
        <v>16178.25</v>
      </c>
      <c r="E417" s="6" t="n"/>
    </row>
    <row r="418">
      <c r="A418" s="6" t="inlineStr">
        <is>
          <t>14200 E 33rd Pl — FY2024</t>
        </is>
      </c>
      <c r="B418" s="25" t="inlineStr">
        <is>
          <t>Expense</t>
        </is>
      </c>
      <c r="C418" s="6" t="inlineStr">
        <is>
          <t>Management Fees (recov)</t>
        </is>
      </c>
      <c r="D418" s="22" t="n">
        <v>31185.58</v>
      </c>
      <c r="E418" s="6" t="n"/>
    </row>
    <row r="419">
      <c r="A419" s="6" t="inlineStr">
        <is>
          <t>14200 E 33rd Pl — FY2024</t>
        </is>
      </c>
      <c r="B419" s="25" t="inlineStr">
        <is>
          <t>Expense</t>
        </is>
      </c>
      <c r="C419" s="6" t="inlineStr">
        <is>
          <t>Other Expense (recov)</t>
        </is>
      </c>
      <c r="D419" s="22" t="n">
        <v>100</v>
      </c>
      <c r="E419" s="6" t="n"/>
    </row>
    <row r="420">
      <c r="A420" s="6" t="inlineStr">
        <is>
          <t>14200 E 33rd Pl — FY2024</t>
        </is>
      </c>
      <c r="B420" s="25" t="inlineStr">
        <is>
          <t>Expense</t>
        </is>
      </c>
      <c r="C420" s="6" t="inlineStr">
        <is>
          <t>Insurance</t>
        </is>
      </c>
      <c r="D420" s="22" t="n">
        <v>23371.06</v>
      </c>
      <c r="E420" s="6" t="n"/>
    </row>
    <row r="421">
      <c r="A421" s="6" t="inlineStr">
        <is>
          <t>14200 E 33rd Pl — FY2024</t>
        </is>
      </c>
      <c r="B421" s="25" t="inlineStr">
        <is>
          <t>Expense</t>
        </is>
      </c>
      <c r="C421" s="6" t="inlineStr">
        <is>
          <t>Real Estate Taxes</t>
        </is>
      </c>
      <c r="D421" s="22" t="n">
        <v>378963.87</v>
      </c>
      <c r="E421" s="6" t="n"/>
    </row>
    <row r="422">
      <c r="A422" s="6" t="inlineStr">
        <is>
          <t>14200 E 33rd Pl — FY2024</t>
        </is>
      </c>
      <c r="B422" s="25" t="inlineStr">
        <is>
          <t>Expense</t>
        </is>
      </c>
      <c r="C422" s="6" t="inlineStr">
        <is>
          <t>Real Estate Taxes - Prior-Yr Adj</t>
        </is>
      </c>
      <c r="D422" s="22" t="n">
        <v>-21411.8</v>
      </c>
      <c r="E422" s="6" t="n"/>
    </row>
    <row r="423">
      <c r="A423" s="6" t="inlineStr">
        <is>
          <t>14200 E 33rd Pl — FY2024</t>
        </is>
      </c>
      <c r="B423" s="25" t="inlineStr">
        <is>
          <t>Expense</t>
        </is>
      </c>
      <c r="C423" s="6" t="inlineStr">
        <is>
          <t>Tax Consulting</t>
        </is>
      </c>
      <c r="D423" s="22" t="n">
        <v>43208.74</v>
      </c>
      <c r="E423" s="6" t="n"/>
    </row>
    <row r="424">
      <c r="A424" s="6" t="inlineStr">
        <is>
          <t>14200 E 33rd Pl — FY2024</t>
        </is>
      </c>
      <c r="B424" s="25" t="inlineStr">
        <is>
          <t>Expense</t>
        </is>
      </c>
      <c r="C424" s="6" t="inlineStr">
        <is>
          <t>Step Rent Amortization</t>
        </is>
      </c>
      <c r="D424" s="22" t="n">
        <v>-5829.75</v>
      </c>
      <c r="E424" s="6" t="inlineStr">
        <is>
          <t>G&amp;A</t>
        </is>
      </c>
    </row>
    <row r="425">
      <c r="A425" s="6" t="inlineStr">
        <is>
          <t>14200 E 33rd Pl — FY2024</t>
        </is>
      </c>
      <c r="B425" s="25" t="inlineStr">
        <is>
          <t>Expense</t>
        </is>
      </c>
      <c r="C425" s="6" t="inlineStr">
        <is>
          <t>Consultation Fees - General</t>
        </is>
      </c>
      <c r="D425" s="22" t="n">
        <v>1132.39</v>
      </c>
      <c r="E425" s="6" t="n"/>
    </row>
    <row r="426">
      <c r="A426" s="6" t="inlineStr">
        <is>
          <t>14200 E 33rd Pl — FY2024</t>
        </is>
      </c>
      <c r="B426" s="25" t="inlineStr">
        <is>
          <t>Expense</t>
        </is>
      </c>
      <c r="C426" s="6" t="inlineStr">
        <is>
          <t>Lease Commission (capital)</t>
        </is>
      </c>
      <c r="D426" s="22" t="n">
        <v>78</v>
      </c>
      <c r="E426" s="6" t="n"/>
    </row>
    <row r="427">
      <c r="A427" s="6" t="inlineStr">
        <is>
          <t>14200 E 33rd Pl — FY2024</t>
        </is>
      </c>
      <c r="B427" s="25" t="inlineStr">
        <is>
          <t>Expense</t>
        </is>
      </c>
      <c r="C427" s="6" t="inlineStr">
        <is>
          <t>Roof (capital)</t>
        </is>
      </c>
      <c r="D427" s="22" t="n">
        <v>48534.75</v>
      </c>
      <c r="E427" s="6" t="n"/>
    </row>
    <row r="428">
      <c r="A428" s="11" t="inlineStr">
        <is>
          <t>14200 E 33rd Pl — FY2024</t>
        </is>
      </c>
      <c r="B428" s="26" t="inlineStr">
        <is>
          <t>Expense</t>
        </is>
      </c>
      <c r="C428" s="12" t="inlineStr">
        <is>
          <t>TOTAL EXPENSE</t>
        </is>
      </c>
      <c r="D428" s="23">
        <f>SUM(D404:D427)</f>
        <v/>
      </c>
      <c r="E428" s="6" t="inlineStr">
        <is>
          <t>Printed total: $581,292.78.</t>
        </is>
      </c>
    </row>
    <row r="429">
      <c r="A429" s="6" t="inlineStr">
        <is>
          <t>3250 Abilene St — FY2024</t>
        </is>
      </c>
      <c r="B429" s="25" t="inlineStr">
        <is>
          <t>Income</t>
        </is>
      </c>
      <c r="C429" s="6" t="inlineStr">
        <is>
          <t>Rental Income-Base</t>
        </is>
      </c>
      <c r="D429" s="22" t="n">
        <v>406844</v>
      </c>
      <c r="E429" s="6" t="n"/>
    </row>
    <row r="430">
      <c r="A430" s="6" t="inlineStr">
        <is>
          <t>3250 Abilene St — FY2024</t>
        </is>
      </c>
      <c r="B430" s="25" t="inlineStr">
        <is>
          <t>Income</t>
        </is>
      </c>
      <c r="C430" s="6" t="inlineStr">
        <is>
          <t>Free Rent</t>
        </is>
      </c>
      <c r="D430" s="22" t="n">
        <v>-37042</v>
      </c>
      <c r="E430" s="6" t="n"/>
    </row>
    <row r="431">
      <c r="A431" s="6" t="inlineStr">
        <is>
          <t>3250 Abilene St — FY2024</t>
        </is>
      </c>
      <c r="B431" s="25" t="inlineStr">
        <is>
          <t>Income</t>
        </is>
      </c>
      <c r="C431" s="6" t="inlineStr">
        <is>
          <t>Holdover Rent</t>
        </is>
      </c>
      <c r="D431" s="22" t="n">
        <v>5490</v>
      </c>
      <c r="E431" s="6" t="n"/>
    </row>
    <row r="432">
      <c r="A432" s="6" t="inlineStr">
        <is>
          <t>3250 Abilene St — FY2024</t>
        </is>
      </c>
      <c r="B432" s="25" t="inlineStr">
        <is>
          <t>Income</t>
        </is>
      </c>
      <c r="C432" s="6" t="inlineStr">
        <is>
          <t>Late Fee Revenue</t>
        </is>
      </c>
      <c r="D432" s="22" t="n">
        <v>2985</v>
      </c>
      <c r="E432" s="6" t="n"/>
    </row>
    <row r="433">
      <c r="A433" s="6" t="inlineStr">
        <is>
          <t>3250 Abilene St — FY2024</t>
        </is>
      </c>
      <c r="B433" s="25" t="inlineStr">
        <is>
          <t>Income</t>
        </is>
      </c>
      <c r="C433" s="6" t="inlineStr">
        <is>
          <t>Rental Income-SLR (non-cash)</t>
        </is>
      </c>
      <c r="D433" s="22" t="n">
        <v>31520</v>
      </c>
      <c r="E433" s="6" t="n"/>
    </row>
    <row r="434">
      <c r="A434" s="6" t="inlineStr">
        <is>
          <t>3250 Abilene St — FY2024</t>
        </is>
      </c>
      <c r="B434" s="25" t="inlineStr">
        <is>
          <t>Income</t>
        </is>
      </c>
      <c r="C434" s="6" t="inlineStr">
        <is>
          <t>Mgmt Fees reimb.</t>
        </is>
      </c>
      <c r="D434" s="22" t="n">
        <v>19706</v>
      </c>
      <c r="E434" s="6" t="n"/>
    </row>
    <row r="435">
      <c r="A435" s="6" t="inlineStr">
        <is>
          <t>3250 Abilene St — FY2024</t>
        </is>
      </c>
      <c r="B435" s="25" t="inlineStr">
        <is>
          <t>Income</t>
        </is>
      </c>
      <c r="C435" s="6" t="inlineStr">
        <is>
          <t>Mgmt Fees - JE</t>
        </is>
      </c>
      <c r="D435" s="22" t="n">
        <v>444</v>
      </c>
      <c r="E435" s="6" t="n"/>
    </row>
    <row r="436">
      <c r="A436" s="6" t="inlineStr">
        <is>
          <t>3250 Abilene St — FY2024</t>
        </is>
      </c>
      <c r="B436" s="25" t="inlineStr">
        <is>
          <t>Income</t>
        </is>
      </c>
      <c r="C436" s="6" t="inlineStr">
        <is>
          <t>Real Estate Taxes reimb.</t>
        </is>
      </c>
      <c r="D436" s="22" t="n">
        <v>222988</v>
      </c>
      <c r="E436" s="6" t="n"/>
    </row>
    <row r="437">
      <c r="A437" s="6" t="inlineStr">
        <is>
          <t>3250 Abilene St — FY2024</t>
        </is>
      </c>
      <c r="B437" s="25" t="inlineStr">
        <is>
          <t>Income</t>
        </is>
      </c>
      <c r="C437" s="6" t="inlineStr">
        <is>
          <t>Real Estate Taxes - JE</t>
        </is>
      </c>
      <c r="D437" s="22" t="n">
        <v>-8003</v>
      </c>
      <c r="E437" s="6" t="n"/>
    </row>
    <row r="438">
      <c r="A438" s="6" t="inlineStr">
        <is>
          <t>3250 Abilene St — FY2024</t>
        </is>
      </c>
      <c r="B438" s="25" t="inlineStr">
        <is>
          <t>Income</t>
        </is>
      </c>
      <c r="C438" s="6" t="inlineStr">
        <is>
          <t>Utilities-Others reimb.</t>
        </is>
      </c>
      <c r="D438" s="22" t="n">
        <v>7871</v>
      </c>
      <c r="E438" s="6" t="n"/>
    </row>
    <row r="439">
      <c r="A439" s="6" t="inlineStr">
        <is>
          <t>3250 Abilene St — FY2024</t>
        </is>
      </c>
      <c r="B439" s="25" t="inlineStr">
        <is>
          <t>Income</t>
        </is>
      </c>
      <c r="C439" s="6" t="inlineStr">
        <is>
          <t>Utilities-Others - JE</t>
        </is>
      </c>
      <c r="D439" s="22" t="n">
        <v>-89</v>
      </c>
      <c r="E439" s="6" t="n"/>
    </row>
    <row r="440">
      <c r="A440" s="6" t="inlineStr">
        <is>
          <t>3250 Abilene St — FY2024</t>
        </is>
      </c>
      <c r="B440" s="25" t="inlineStr">
        <is>
          <t>Income</t>
        </is>
      </c>
      <c r="C440" s="6" t="inlineStr">
        <is>
          <t>Insurance reimb.</t>
        </is>
      </c>
      <c r="D440" s="22" t="n">
        <v>8804</v>
      </c>
      <c r="E440" s="6" t="n"/>
    </row>
    <row r="441">
      <c r="A441" s="6" t="inlineStr">
        <is>
          <t>3250 Abilene St — FY2024</t>
        </is>
      </c>
      <c r="B441" s="25" t="inlineStr">
        <is>
          <t>Income</t>
        </is>
      </c>
      <c r="C441" s="6" t="inlineStr">
        <is>
          <t>Insurance - JE</t>
        </is>
      </c>
      <c r="D441" s="22" t="n">
        <v>13520</v>
      </c>
      <c r="E441" s="6" t="n"/>
    </row>
    <row r="442">
      <c r="A442" s="6" t="inlineStr">
        <is>
          <t>3250 Abilene St — FY2024</t>
        </is>
      </c>
      <c r="B442" s="25" t="inlineStr">
        <is>
          <t>Income</t>
        </is>
      </c>
      <c r="C442" s="6" t="inlineStr">
        <is>
          <t>Other Billable Common Area</t>
        </is>
      </c>
      <c r="D442" s="22" t="n">
        <v>65458</v>
      </c>
      <c r="E442" s="6" t="n"/>
    </row>
    <row r="443">
      <c r="A443" s="6" t="inlineStr">
        <is>
          <t>3250 Abilene St — FY2024</t>
        </is>
      </c>
      <c r="B443" s="25" t="inlineStr">
        <is>
          <t>Income</t>
        </is>
      </c>
      <c r="C443" s="6" t="inlineStr">
        <is>
          <t>Other Billable CA (contra)</t>
        </is>
      </c>
      <c r="D443" s="22" t="n">
        <v>-5646</v>
      </c>
      <c r="E443" s="6" t="n"/>
    </row>
    <row r="444">
      <c r="A444" s="6" t="inlineStr">
        <is>
          <t>3250 Abilene St — FY2024</t>
        </is>
      </c>
      <c r="B444" s="25" t="inlineStr">
        <is>
          <t>Income</t>
        </is>
      </c>
      <c r="C444" s="6" t="inlineStr">
        <is>
          <t>Operating Exp Reimb Accrual</t>
        </is>
      </c>
      <c r="D444" s="22" t="n">
        <v>9080</v>
      </c>
      <c r="E444" s="6" t="n"/>
    </row>
    <row r="445">
      <c r="A445" s="6" t="inlineStr">
        <is>
          <t>3250 Abilene St — FY2024</t>
        </is>
      </c>
      <c r="B445" s="25" t="inlineStr">
        <is>
          <t>Income</t>
        </is>
      </c>
      <c r="C445" s="6" t="inlineStr">
        <is>
          <t>Other Direct Billable-Non-FI</t>
        </is>
      </c>
      <c r="D445" s="22" t="n">
        <v>297</v>
      </c>
      <c r="E445" s="6" t="n"/>
    </row>
    <row r="446">
      <c r="A446" s="6" t="inlineStr">
        <is>
          <t>3250 Abilene St — FY2024</t>
        </is>
      </c>
      <c r="B446" s="25" t="inlineStr">
        <is>
          <t>Income</t>
        </is>
      </c>
      <c r="C446" s="6" t="inlineStr">
        <is>
          <t>Tenant Damage Fee</t>
        </is>
      </c>
      <c r="D446" s="22" t="n">
        <v>52982</v>
      </c>
      <c r="E446" s="6" t="n"/>
    </row>
    <row r="447">
      <c r="A447" s="11" t="inlineStr">
        <is>
          <t>3250 Abilene St — FY2024</t>
        </is>
      </c>
      <c r="B447" s="26" t="inlineStr">
        <is>
          <t>Income</t>
        </is>
      </c>
      <c r="C447" s="12" t="inlineStr">
        <is>
          <t>TOTAL INCOME</t>
        </is>
      </c>
      <c r="D447" s="23" t="n">
        <v>797212</v>
      </c>
      <c r="E447" s="6" t="inlineStr">
        <is>
          <t>Printed total: $797,212.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448">
      <c r="A448" s="6" t="inlineStr">
        <is>
          <t>3250 Abilene St — FY2024</t>
        </is>
      </c>
      <c r="B448" s="25" t="inlineStr">
        <is>
          <t>Expense</t>
        </is>
      </c>
      <c r="C448" s="6" t="inlineStr">
        <is>
          <t>[CAM] Security</t>
        </is>
      </c>
      <c r="D448" s="22" t="n">
        <v>7701</v>
      </c>
      <c r="E448" s="6" t="n"/>
    </row>
    <row r="449">
      <c r="A449" s="6" t="inlineStr">
        <is>
          <t>3250 Abilene St — FY2024</t>
        </is>
      </c>
      <c r="B449" s="25" t="inlineStr">
        <is>
          <t>Expense</t>
        </is>
      </c>
      <c r="C449" s="6" t="inlineStr">
        <is>
          <t>[CAM] Contract - Security</t>
        </is>
      </c>
      <c r="D449" s="22" t="n">
        <v>510</v>
      </c>
      <c r="E449" s="6" t="n"/>
    </row>
    <row r="450">
      <c r="A450" s="6" t="inlineStr">
        <is>
          <t>3250 Abilene St — FY2024</t>
        </is>
      </c>
      <c r="B450" s="25" t="inlineStr">
        <is>
          <t>Expense</t>
        </is>
      </c>
      <c r="C450" s="6" t="inlineStr">
        <is>
          <t>[CAM] Property Management</t>
        </is>
      </c>
      <c r="D450" s="22" t="n">
        <v>100</v>
      </c>
      <c r="E450" s="6" t="n"/>
    </row>
    <row r="451">
      <c r="A451" s="6" t="inlineStr">
        <is>
          <t>3250 Abilene St — FY2024</t>
        </is>
      </c>
      <c r="B451" s="25" t="inlineStr">
        <is>
          <t>Expense</t>
        </is>
      </c>
      <c r="C451" s="6" t="inlineStr">
        <is>
          <t>[CAM] Maintenance Services</t>
        </is>
      </c>
      <c r="D451" s="22" t="n">
        <v>13592</v>
      </c>
      <c r="E451" s="6" t="n"/>
    </row>
    <row r="452">
      <c r="A452" s="6" t="inlineStr">
        <is>
          <t>3250 Abilene St — FY2024</t>
        </is>
      </c>
      <c r="B452" s="25" t="inlineStr">
        <is>
          <t>Expense</t>
        </is>
      </c>
      <c r="C452" s="6" t="inlineStr">
        <is>
          <t>[CAM] Electrical and Lighting</t>
        </is>
      </c>
      <c r="D452" s="22" t="n">
        <v>1015</v>
      </c>
      <c r="E452" s="6" t="n"/>
    </row>
    <row r="453">
      <c r="A453" s="6" t="inlineStr">
        <is>
          <t>3250 Abilene St — FY2024</t>
        </is>
      </c>
      <c r="B453" s="25" t="inlineStr">
        <is>
          <t>Expense</t>
        </is>
      </c>
      <c r="C453" s="6" t="inlineStr">
        <is>
          <t>[CAM] Contract - Roof Maintenance</t>
        </is>
      </c>
      <c r="D453" s="22" t="n">
        <v>2850</v>
      </c>
      <c r="E453" s="6" t="n"/>
    </row>
    <row r="454">
      <c r="A454" s="6" t="inlineStr">
        <is>
          <t>3250 Abilene St — FY2024</t>
        </is>
      </c>
      <c r="B454" s="25" t="inlineStr">
        <is>
          <t>Expense</t>
        </is>
      </c>
      <c r="C454" s="6" t="inlineStr">
        <is>
          <t>[CAM] HVAC and Equipment</t>
        </is>
      </c>
      <c r="D454" s="22" t="n">
        <v>2000</v>
      </c>
      <c r="E454" s="6" t="n"/>
    </row>
    <row r="455">
      <c r="A455" s="6" t="inlineStr">
        <is>
          <t>3250 Abilene St — FY2024</t>
        </is>
      </c>
      <c r="B455" s="25" t="inlineStr">
        <is>
          <t>Expense</t>
        </is>
      </c>
      <c r="C455" s="6" t="inlineStr">
        <is>
          <t>[CAM] Window Cleaning</t>
        </is>
      </c>
      <c r="D455" s="22" t="n">
        <v>412</v>
      </c>
      <c r="E455" s="6" t="n"/>
    </row>
    <row r="456">
      <c r="A456" s="6" t="inlineStr">
        <is>
          <t>3250 Abilene St — FY2024</t>
        </is>
      </c>
      <c r="B456" s="25" t="inlineStr">
        <is>
          <t>Expense</t>
        </is>
      </c>
      <c r="C456" s="6" t="inlineStr">
        <is>
          <t>[CAM] Contract - Fire Life Safety</t>
        </is>
      </c>
      <c r="D456" s="22" t="n">
        <v>1655</v>
      </c>
      <c r="E456" s="6" t="n"/>
    </row>
    <row r="457">
      <c r="A457" s="6" t="inlineStr">
        <is>
          <t>3250 Abilene St — FY2024</t>
        </is>
      </c>
      <c r="B457" s="25" t="inlineStr">
        <is>
          <t>Expense</t>
        </is>
      </c>
      <c r="C457" s="6" t="inlineStr">
        <is>
          <t>[CAM] Fire Life Safety Repairs</t>
        </is>
      </c>
      <c r="D457" s="22" t="n">
        <v>1815</v>
      </c>
      <c r="E457" s="6" t="n"/>
    </row>
    <row r="458">
      <c r="A458" s="6" t="inlineStr">
        <is>
          <t>3250 Abilene St — FY2024</t>
        </is>
      </c>
      <c r="B458" s="25" t="inlineStr">
        <is>
          <t>Expense</t>
        </is>
      </c>
      <c r="C458" s="6" t="inlineStr">
        <is>
          <t>[CAM] General Maintenance</t>
        </is>
      </c>
      <c r="D458" s="22" t="n">
        <v>1676</v>
      </c>
      <c r="E458" s="6" t="n"/>
    </row>
    <row r="459">
      <c r="A459" s="6" t="inlineStr">
        <is>
          <t>3250 Abilene St — FY2024</t>
        </is>
      </c>
      <c r="B459" s="25" t="inlineStr">
        <is>
          <t>Expense</t>
        </is>
      </c>
      <c r="C459" s="6" t="inlineStr">
        <is>
          <t>[CAM] Contract - Cleaning Services</t>
        </is>
      </c>
      <c r="D459" s="22" t="n">
        <v>3434</v>
      </c>
      <c r="E459" s="6" t="n"/>
    </row>
    <row r="460">
      <c r="A460" s="6" t="inlineStr">
        <is>
          <t>3250 Abilene St — FY2024</t>
        </is>
      </c>
      <c r="B460" s="25" t="inlineStr">
        <is>
          <t>Expense</t>
        </is>
      </c>
      <c r="C460" s="6" t="inlineStr">
        <is>
          <t>[CAM] Debris Removal - Reactive</t>
        </is>
      </c>
      <c r="D460" s="22" t="n">
        <v>1082</v>
      </c>
      <c r="E460" s="6" t="n"/>
    </row>
    <row r="461">
      <c r="A461" s="6" t="inlineStr">
        <is>
          <t>3250 Abilene St — FY2024</t>
        </is>
      </c>
      <c r="B461" s="25" t="inlineStr">
        <is>
          <t>Expense</t>
        </is>
      </c>
      <c r="C461" s="6" t="inlineStr">
        <is>
          <t>[CAM] Parking Lot Sweeping</t>
        </is>
      </c>
      <c r="D461" s="22" t="n">
        <v>1587</v>
      </c>
      <c r="E461" s="6" t="n"/>
    </row>
    <row r="462">
      <c r="A462" s="6" t="inlineStr">
        <is>
          <t>3250 Abilene St — FY2024</t>
        </is>
      </c>
      <c r="B462" s="25" t="inlineStr">
        <is>
          <t>Expense</t>
        </is>
      </c>
      <c r="C462" s="6" t="inlineStr">
        <is>
          <t>[CAM] Contract Landscaping</t>
        </is>
      </c>
      <c r="D462" s="22" t="n">
        <v>4748</v>
      </c>
      <c r="E462" s="6" t="n"/>
    </row>
    <row r="463">
      <c r="A463" s="6" t="inlineStr">
        <is>
          <t>3250 Abilene St — FY2024</t>
        </is>
      </c>
      <c r="B463" s="25" t="inlineStr">
        <is>
          <t>Expense</t>
        </is>
      </c>
      <c r="C463" s="6" t="inlineStr">
        <is>
          <t>[CAM] Landscaping - Reactive</t>
        </is>
      </c>
      <c r="D463" s="22" t="n">
        <v>1260</v>
      </c>
      <c r="E463" s="6" t="n"/>
    </row>
    <row r="464">
      <c r="A464" s="6" t="inlineStr">
        <is>
          <t>3250 Abilene St — FY2024</t>
        </is>
      </c>
      <c r="B464" s="25" t="inlineStr">
        <is>
          <t>Expense</t>
        </is>
      </c>
      <c r="C464" s="6" t="inlineStr">
        <is>
          <t>[CAM] Irrigation - Reactive</t>
        </is>
      </c>
      <c r="D464" s="22" t="n">
        <v>2409</v>
      </c>
      <c r="E464" s="6" t="n"/>
    </row>
    <row r="465">
      <c r="A465" s="6" t="inlineStr">
        <is>
          <t>3250 Abilene St — FY2024</t>
        </is>
      </c>
      <c r="B465" s="25" t="inlineStr">
        <is>
          <t>Expense</t>
        </is>
      </c>
      <c r="C465" s="6" t="inlineStr">
        <is>
          <t>[CAM] Snow Removal</t>
        </is>
      </c>
      <c r="D465" s="22" t="n">
        <v>30101</v>
      </c>
      <c r="E465" s="6" t="n"/>
    </row>
    <row r="466">
      <c r="A466" s="6" t="inlineStr">
        <is>
          <t>3250 Abilene St — FY2024</t>
        </is>
      </c>
      <c r="B466" s="25" t="inlineStr">
        <is>
          <t>Expense</t>
        </is>
      </c>
      <c r="C466" s="6" t="inlineStr">
        <is>
          <t>[CAM] Real Estate Taxes</t>
        </is>
      </c>
      <c r="D466" s="22" t="n">
        <v>410137</v>
      </c>
      <c r="E466" s="6" t="n"/>
    </row>
    <row r="467">
      <c r="A467" s="6" t="inlineStr">
        <is>
          <t>3250 Abilene St — FY2024</t>
        </is>
      </c>
      <c r="B467" s="25" t="inlineStr">
        <is>
          <t>Expense</t>
        </is>
      </c>
      <c r="C467" s="6" t="inlineStr">
        <is>
          <t>[CAM] Real Estate Tax Mgmt</t>
        </is>
      </c>
      <c r="D467" s="22" t="n">
        <v>29</v>
      </c>
      <c r="E467" s="6" t="n"/>
    </row>
    <row r="468">
      <c r="A468" s="6" t="inlineStr">
        <is>
          <t>3250 Abilene St — FY2024</t>
        </is>
      </c>
      <c r="B468" s="25" t="inlineStr">
        <is>
          <t>Expense</t>
        </is>
      </c>
      <c r="C468" s="6" t="inlineStr">
        <is>
          <t>[CAM] Electric</t>
        </is>
      </c>
      <c r="D468" s="22" t="n">
        <v>1496</v>
      </c>
      <c r="E468" s="6" t="n"/>
    </row>
    <row r="469">
      <c r="A469" s="6" t="inlineStr">
        <is>
          <t>3250 Abilene St — FY2024</t>
        </is>
      </c>
      <c r="B469" s="25" t="inlineStr">
        <is>
          <t>Expense</t>
        </is>
      </c>
      <c r="C469" s="6" t="inlineStr">
        <is>
          <t>[CAM] Water &amp; Sewer</t>
        </is>
      </c>
      <c r="D469" s="22" t="n">
        <v>12042</v>
      </c>
      <c r="E469" s="6" t="n"/>
    </row>
    <row r="470">
      <c r="A470" s="6" t="inlineStr">
        <is>
          <t>3250 Abilene St — FY2024</t>
        </is>
      </c>
      <c r="B470" s="25" t="inlineStr">
        <is>
          <t>Expense</t>
        </is>
      </c>
      <c r="C470" s="6" t="inlineStr">
        <is>
          <t>[CAM] Gas</t>
        </is>
      </c>
      <c r="D470" s="22" t="n">
        <v>1722</v>
      </c>
      <c r="E470" s="6" t="n"/>
    </row>
    <row r="471">
      <c r="A471" s="6" t="inlineStr">
        <is>
          <t>3250 Abilene St — FY2024</t>
        </is>
      </c>
      <c r="B471" s="25" t="inlineStr">
        <is>
          <t>Expense</t>
        </is>
      </c>
      <c r="C471" s="6" t="inlineStr">
        <is>
          <t>[CAM] Utility Management Costs</t>
        </is>
      </c>
      <c r="D471" s="22" t="n">
        <v>256</v>
      </c>
      <c r="E471" s="6" t="n"/>
    </row>
    <row r="472">
      <c r="A472" s="6" t="inlineStr">
        <is>
          <t>3250 Abilene St — FY2024</t>
        </is>
      </c>
      <c r="B472" s="25" t="inlineStr">
        <is>
          <t>Expense</t>
        </is>
      </c>
      <c r="C472" s="6" t="inlineStr">
        <is>
          <t>[CAM] Property &amp; General Liability Ins.</t>
        </is>
      </c>
      <c r="D472" s="22" t="n">
        <v>20937</v>
      </c>
      <c r="E472" s="6" t="n"/>
    </row>
    <row r="473">
      <c r="A473" s="6" t="inlineStr">
        <is>
          <t>3250 Abilene St — FY2024</t>
        </is>
      </c>
      <c r="B473" s="25" t="inlineStr">
        <is>
          <t>Expense</t>
        </is>
      </c>
      <c r="C473" s="6" t="inlineStr">
        <is>
          <t>[CAM] Environmental Insurance</t>
        </is>
      </c>
      <c r="D473" s="22" t="n">
        <v>55</v>
      </c>
      <c r="E473" s="6" t="n"/>
    </row>
    <row r="474">
      <c r="A474" s="6" t="inlineStr">
        <is>
          <t>3250 Abilene St — FY2024</t>
        </is>
      </c>
      <c r="B474" s="25" t="inlineStr">
        <is>
          <t>Expense</t>
        </is>
      </c>
      <c r="C474" s="6" t="inlineStr">
        <is>
          <t>[CAM] Insurance Deductible</t>
        </is>
      </c>
      <c r="D474" s="22" t="n">
        <v>25000</v>
      </c>
      <c r="E474" s="6" t="inlineStr">
        <is>
          <t>Reimbursable subtotal as printed: $549,620</t>
        </is>
      </c>
    </row>
    <row r="475">
      <c r="A475" s="6" t="inlineStr">
        <is>
          <t>3250 Abilene St — FY2024</t>
        </is>
      </c>
      <c r="B475" s="25" t="inlineStr">
        <is>
          <t>Expense</t>
        </is>
      </c>
      <c r="C475" s="6" t="inlineStr">
        <is>
          <t>[DB] Dock Door Repairs</t>
        </is>
      </c>
      <c r="D475" s="22" t="n">
        <v>297</v>
      </c>
      <c r="E475" s="6" t="n"/>
    </row>
    <row r="476">
      <c r="A476" s="6" t="inlineStr">
        <is>
          <t>3250 Abilene St — FY2024</t>
        </is>
      </c>
      <c r="B476" s="25" t="inlineStr">
        <is>
          <t>Expense</t>
        </is>
      </c>
      <c r="C476" s="6" t="inlineStr">
        <is>
          <t>[NB/DB] Gas Vacancy</t>
        </is>
      </c>
      <c r="D476" s="22" t="n">
        <v>720</v>
      </c>
      <c r="E476" s="6" t="inlineStr">
        <is>
          <t>printed in DB subtotal ($1,017)</t>
        </is>
      </c>
    </row>
    <row r="477">
      <c r="A477" s="6" t="inlineStr">
        <is>
          <t>3250 Abilene St — FY2024</t>
        </is>
      </c>
      <c r="B477" s="25" t="inlineStr">
        <is>
          <t>Expense</t>
        </is>
      </c>
      <c r="C477" s="6" t="inlineStr">
        <is>
          <t>[NB] Security</t>
        </is>
      </c>
      <c r="D477" s="22" t="n">
        <v>7649</v>
      </c>
      <c r="E477" s="6" t="n"/>
    </row>
    <row r="478">
      <c r="A478" s="6" t="inlineStr">
        <is>
          <t>3250 Abilene St — FY2024</t>
        </is>
      </c>
      <c r="B478" s="25" t="inlineStr">
        <is>
          <t>Expense</t>
        </is>
      </c>
      <c r="C478" s="6" t="inlineStr">
        <is>
          <t>[NB] Tenant Moveout Damage</t>
        </is>
      </c>
      <c r="D478" s="22" t="n">
        <v>1176</v>
      </c>
      <c r="E478" s="6" t="n"/>
    </row>
    <row r="479">
      <c r="A479" s="6" t="inlineStr">
        <is>
          <t>3250 Abilene St — FY2024</t>
        </is>
      </c>
      <c r="B479" s="25" t="inlineStr">
        <is>
          <t>Expense</t>
        </is>
      </c>
      <c r="C479" s="6" t="inlineStr">
        <is>
          <t>[NB] HVAC and Equipment</t>
        </is>
      </c>
      <c r="D479" s="22" t="n">
        <v>360</v>
      </c>
      <c r="E479" s="6" t="n"/>
    </row>
    <row r="480">
      <c r="A480" s="6" t="inlineStr">
        <is>
          <t>3250 Abilene St — FY2024</t>
        </is>
      </c>
      <c r="B480" s="25" t="inlineStr">
        <is>
          <t>Expense</t>
        </is>
      </c>
      <c r="C480" s="6" t="inlineStr">
        <is>
          <t>[NB] Electric Vacancy</t>
        </is>
      </c>
      <c r="D480" s="22" t="n">
        <v>5596</v>
      </c>
      <c r="E480" s="6" t="n"/>
    </row>
    <row r="481">
      <c r="A481" s="6" t="inlineStr">
        <is>
          <t>3250 Abilene St — FY2024</t>
        </is>
      </c>
      <c r="B481" s="25" t="inlineStr">
        <is>
          <t>Expense</t>
        </is>
      </c>
      <c r="C481" s="6" t="inlineStr">
        <is>
          <t>[NB] Cleaning &amp; Janitorial</t>
        </is>
      </c>
      <c r="D481" s="22" t="n">
        <v>178</v>
      </c>
      <c r="E481" s="6" t="n"/>
    </row>
    <row r="482">
      <c r="A482" s="6" t="inlineStr">
        <is>
          <t>3250 Abilene St — FY2024</t>
        </is>
      </c>
      <c r="B482" s="25" t="inlineStr">
        <is>
          <t>Expense</t>
        </is>
      </c>
      <c r="C482" s="6" t="inlineStr">
        <is>
          <t>[NB] Corporate Management</t>
        </is>
      </c>
      <c r="D482" s="22" t="n">
        <v>6921</v>
      </c>
      <c r="E482" s="6" t="n"/>
    </row>
    <row r="483">
      <c r="A483" s="6" t="inlineStr">
        <is>
          <t>3250 Abilene St — FY2024</t>
        </is>
      </c>
      <c r="B483" s="25" t="inlineStr">
        <is>
          <t>Expense</t>
        </is>
      </c>
      <c r="C483" s="6" t="inlineStr">
        <is>
          <t>[NB] Insurance deductible exp</t>
        </is>
      </c>
      <c r="D483" s="22" t="n">
        <v>337</v>
      </c>
      <c r="E483" s="6" t="n"/>
    </row>
    <row r="484">
      <c r="A484" s="6" t="inlineStr">
        <is>
          <t>3250 Abilene St — FY2024</t>
        </is>
      </c>
      <c r="B484" s="25" t="inlineStr">
        <is>
          <t>Expense</t>
        </is>
      </c>
      <c r="C484" s="6" t="inlineStr">
        <is>
          <t>[NB] Lock and Access</t>
        </is>
      </c>
      <c r="D484" s="22" t="n">
        <v>404</v>
      </c>
      <c r="E484" s="6" t="n"/>
    </row>
    <row r="485">
      <c r="A485" s="6" t="inlineStr">
        <is>
          <t>3250 Abilene St — FY2024</t>
        </is>
      </c>
      <c r="B485" s="25" t="inlineStr">
        <is>
          <t>Expense</t>
        </is>
      </c>
      <c r="C485" s="6" t="inlineStr">
        <is>
          <t>[NB] Marketing/Leasing Costs</t>
        </is>
      </c>
      <c r="D485" s="22" t="n">
        <v>593</v>
      </c>
      <c r="E485" s="6" t="n"/>
    </row>
    <row r="486">
      <c r="A486" s="6" t="inlineStr">
        <is>
          <t>3250 Abilene St — FY2024</t>
        </is>
      </c>
      <c r="B486" s="25" t="inlineStr">
        <is>
          <t>Expense</t>
        </is>
      </c>
      <c r="C486" s="6" t="inlineStr">
        <is>
          <t>[NB] Vacancy Repairs &amp; Maint.</t>
        </is>
      </c>
      <c r="D486" s="22" t="n">
        <v>7858</v>
      </c>
      <c r="E486" s="6" t="n"/>
    </row>
    <row r="487">
      <c r="A487" s="6" t="inlineStr">
        <is>
          <t>3250 Abilene St — FY2024</t>
        </is>
      </c>
      <c r="B487" s="25" t="inlineStr">
        <is>
          <t>Expense</t>
        </is>
      </c>
      <c r="C487" s="6" t="inlineStr">
        <is>
          <t>[NB] Professional Fees</t>
        </is>
      </c>
      <c r="D487" s="22" t="n">
        <v>1538</v>
      </c>
      <c r="E487" s="6" t="n"/>
    </row>
    <row r="488">
      <c r="A488" s="6" t="inlineStr">
        <is>
          <t>3250 Abilene St — FY2024</t>
        </is>
      </c>
      <c r="B488" s="25" t="inlineStr">
        <is>
          <t>Expense</t>
        </is>
      </c>
      <c r="C488" s="6" t="inlineStr">
        <is>
          <t>[NB] Legal Fees</t>
        </is>
      </c>
      <c r="D488" s="22" t="n">
        <v>9592</v>
      </c>
      <c r="E488" s="6" t="inlineStr">
        <is>
          <t>Non-billable subtotal as printed: $42,202</t>
        </is>
      </c>
    </row>
    <row r="489">
      <c r="A489" s="6" t="inlineStr">
        <is>
          <t>3250 Abilene St — FY2024</t>
        </is>
      </c>
      <c r="B489" s="25" t="inlineStr">
        <is>
          <t>Expense</t>
        </is>
      </c>
      <c r="C489" s="6" t="inlineStr">
        <is>
          <t>[REO] Prior Year Real Estate Tax</t>
        </is>
      </c>
      <c r="D489" s="22" t="n">
        <v>-2321</v>
      </c>
      <c r="E489" s="6" t="n"/>
    </row>
    <row r="490">
      <c r="A490" s="6" t="inlineStr">
        <is>
          <t>3250 Abilene St — FY2024</t>
        </is>
      </c>
      <c r="B490" s="25" t="inlineStr">
        <is>
          <t>Expense</t>
        </is>
      </c>
      <c r="C490" s="6" t="inlineStr">
        <is>
          <t>Professional Fees (G&amp;A)</t>
        </is>
      </c>
      <c r="D490" s="22" t="n">
        <v>484</v>
      </c>
      <c r="E490" s="6" t="inlineStr">
        <is>
          <t>Property-operating total as printed: $590,282</t>
        </is>
      </c>
    </row>
    <row r="491">
      <c r="A491" s="6" t="inlineStr">
        <is>
          <t>3250 Abilene St — FY2024</t>
        </is>
      </c>
      <c r="B491" s="25" t="inlineStr">
        <is>
          <t>Expense</t>
        </is>
      </c>
      <c r="C491" s="6" t="inlineStr">
        <is>
          <t>Land Improvements Depreciation</t>
        </is>
      </c>
      <c r="D491" s="22" t="n">
        <v>63617</v>
      </c>
      <c r="E491" s="6" t="n"/>
    </row>
    <row r="492">
      <c r="A492" s="6" t="inlineStr">
        <is>
          <t>3250 Abilene St — FY2024</t>
        </is>
      </c>
      <c r="B492" s="25" t="inlineStr">
        <is>
          <t>Expense</t>
        </is>
      </c>
      <c r="C492" s="6" t="inlineStr">
        <is>
          <t>Building Additions Depreciation</t>
        </is>
      </c>
      <c r="D492" s="22" t="n">
        <v>361833</v>
      </c>
      <c r="E492" s="6" t="n"/>
    </row>
    <row r="493">
      <c r="A493" s="6" t="inlineStr">
        <is>
          <t>3250 Abilene St — FY2024</t>
        </is>
      </c>
      <c r="B493" s="25" t="inlineStr">
        <is>
          <t>Expense</t>
        </is>
      </c>
      <c r="C493" s="6" t="inlineStr">
        <is>
          <t>Equip/Marketing/Signage Depreciation</t>
        </is>
      </c>
      <c r="D493" s="22" t="n">
        <v>237</v>
      </c>
      <c r="E493" s="6" t="n"/>
    </row>
    <row r="494">
      <c r="A494" s="6" t="inlineStr">
        <is>
          <t>3250 Abilene St — FY2024</t>
        </is>
      </c>
      <c r="B494" s="25" t="inlineStr">
        <is>
          <t>Expense</t>
        </is>
      </c>
      <c r="C494" s="6" t="inlineStr">
        <is>
          <t>TI Depreciation</t>
        </is>
      </c>
      <c r="D494" s="22" t="n">
        <v>56463</v>
      </c>
      <c r="E494" s="6" t="n"/>
    </row>
    <row r="495">
      <c r="A495" s="6" t="inlineStr">
        <is>
          <t>3250 Abilene St — FY2024</t>
        </is>
      </c>
      <c r="B495" s="25" t="inlineStr">
        <is>
          <t>Expense</t>
        </is>
      </c>
      <c r="C495" s="6" t="inlineStr">
        <is>
          <t>Amort - Deferred Leasing Costs</t>
        </is>
      </c>
      <c r="D495" s="22" t="n">
        <v>23816</v>
      </c>
      <c r="E495" s="6" t="inlineStr">
        <is>
          <t>D&amp;A total as printed: $505,966</t>
        </is>
      </c>
    </row>
    <row r="496">
      <c r="A496" s="11" t="inlineStr">
        <is>
          <t>3250 Abilene St — FY2024</t>
        </is>
      </c>
      <c r="B496" s="26" t="inlineStr">
        <is>
          <t>Expense</t>
        </is>
      </c>
      <c r="C496" s="12" t="inlineStr">
        <is>
          <t>TOTAL EXPENSE</t>
        </is>
      </c>
      <c r="D496" s="23" t="n">
        <v>1096249</v>
      </c>
      <c r="E496" s="6" t="inlineStr">
        <is>
          <t>Printed total: $1,096,249.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497">
      <c r="A497" s="6" t="inlineStr">
        <is>
          <t>14705 E 33rd Pl — FY2024</t>
        </is>
      </c>
      <c r="B497" s="25" t="inlineStr">
        <is>
          <t>Income</t>
        </is>
      </c>
      <c r="C497" s="6" t="inlineStr">
        <is>
          <t>Rental Income-Base</t>
        </is>
      </c>
      <c r="D497" s="22" t="n">
        <v>436928</v>
      </c>
      <c r="E497" s="6" t="n"/>
    </row>
    <row r="498">
      <c r="A498" s="6" t="inlineStr">
        <is>
          <t>14705 E 33rd Pl — FY2024</t>
        </is>
      </c>
      <c r="B498" s="25" t="inlineStr">
        <is>
          <t>Income</t>
        </is>
      </c>
      <c r="C498" s="6" t="inlineStr">
        <is>
          <t>Free Rent</t>
        </is>
      </c>
      <c r="D498" s="22" t="n">
        <v>-38271</v>
      </c>
      <c r="E498" s="6" t="n"/>
    </row>
    <row r="499">
      <c r="A499" s="6" t="inlineStr">
        <is>
          <t>14705 E 33rd Pl — FY2024</t>
        </is>
      </c>
      <c r="B499" s="25" t="inlineStr">
        <is>
          <t>Income</t>
        </is>
      </c>
      <c r="C499" s="6" t="inlineStr">
        <is>
          <t>Rental Income-SLR (non-cash)</t>
        </is>
      </c>
      <c r="D499" s="22" t="n">
        <v>48067</v>
      </c>
      <c r="E499" s="6" t="n"/>
    </row>
    <row r="500">
      <c r="A500" s="6" t="inlineStr">
        <is>
          <t>14705 E 33rd Pl — FY2024</t>
        </is>
      </c>
      <c r="B500" s="25" t="inlineStr">
        <is>
          <t>Income</t>
        </is>
      </c>
      <c r="C500" s="6" t="inlineStr">
        <is>
          <t>Mgmt Fees reimb.</t>
        </is>
      </c>
      <c r="D500" s="22" t="n">
        <v>23852</v>
      </c>
      <c r="E500" s="6" t="n"/>
    </row>
    <row r="501">
      <c r="A501" s="6" t="inlineStr">
        <is>
          <t>14705 E 33rd Pl — FY2024</t>
        </is>
      </c>
      <c r="B501" s="25" t="inlineStr">
        <is>
          <t>Income</t>
        </is>
      </c>
      <c r="C501" s="6" t="inlineStr">
        <is>
          <t>Mgmt Fees - JE</t>
        </is>
      </c>
      <c r="D501" s="22" t="n">
        <v>-307</v>
      </c>
      <c r="E501" s="6" t="n"/>
    </row>
    <row r="502">
      <c r="A502" s="6" t="inlineStr">
        <is>
          <t>14705 E 33rd Pl — FY2024</t>
        </is>
      </c>
      <c r="B502" s="25" t="inlineStr">
        <is>
          <t>Income</t>
        </is>
      </c>
      <c r="C502" s="6" t="inlineStr">
        <is>
          <t>Real Estate Taxes reimb.</t>
        </is>
      </c>
      <c r="D502" s="22" t="n">
        <v>168965</v>
      </c>
      <c r="E502" s="6" t="n"/>
    </row>
    <row r="503">
      <c r="A503" s="6" t="inlineStr">
        <is>
          <t>14705 E 33rd Pl — FY2024</t>
        </is>
      </c>
      <c r="B503" s="25" t="inlineStr">
        <is>
          <t>Income</t>
        </is>
      </c>
      <c r="C503" s="6" t="inlineStr">
        <is>
          <t>Real Estate Taxes - JE</t>
        </is>
      </c>
      <c r="D503" s="22" t="n">
        <v>-11288</v>
      </c>
      <c r="E503" s="6" t="n"/>
    </row>
    <row r="504">
      <c r="A504" s="6" t="inlineStr">
        <is>
          <t>14705 E 33rd Pl — FY2024</t>
        </is>
      </c>
      <c r="B504" s="25" t="inlineStr">
        <is>
          <t>Income</t>
        </is>
      </c>
      <c r="C504" s="6" t="inlineStr">
        <is>
          <t>Utilities-Others reimb.</t>
        </is>
      </c>
      <c r="D504" s="22" t="n">
        <v>1030</v>
      </c>
      <c r="E504" s="6" t="n"/>
    </row>
    <row r="505">
      <c r="A505" s="6" t="inlineStr">
        <is>
          <t>14705 E 33rd Pl — FY2024</t>
        </is>
      </c>
      <c r="B505" s="25" t="inlineStr">
        <is>
          <t>Income</t>
        </is>
      </c>
      <c r="C505" s="6" t="inlineStr">
        <is>
          <t>Utilities-Others - JE</t>
        </is>
      </c>
      <c r="D505" s="22" t="n">
        <v>-114</v>
      </c>
      <c r="E505" s="6" t="n"/>
    </row>
    <row r="506">
      <c r="A506" s="6" t="inlineStr">
        <is>
          <t>14705 E 33rd Pl — FY2024</t>
        </is>
      </c>
      <c r="B506" s="25" t="inlineStr">
        <is>
          <t>Income</t>
        </is>
      </c>
      <c r="C506" s="6" t="inlineStr">
        <is>
          <t>Insurance reimb.</t>
        </is>
      </c>
      <c r="D506" s="22" t="n">
        <v>5561</v>
      </c>
      <c r="E506" s="6" t="n"/>
    </row>
    <row r="507">
      <c r="A507" s="6" t="inlineStr">
        <is>
          <t>14705 E 33rd Pl — FY2024</t>
        </is>
      </c>
      <c r="B507" s="25" t="inlineStr">
        <is>
          <t>Income</t>
        </is>
      </c>
      <c r="C507" s="6" t="inlineStr">
        <is>
          <t>Insurance - JE</t>
        </is>
      </c>
      <c r="D507" s="22" t="n">
        <v>-166</v>
      </c>
      <c r="E507" s="6" t="n"/>
    </row>
    <row r="508">
      <c r="A508" s="6" t="inlineStr">
        <is>
          <t>14705 E 33rd Pl — FY2024</t>
        </is>
      </c>
      <c r="B508" s="25" t="inlineStr">
        <is>
          <t>Income</t>
        </is>
      </c>
      <c r="C508" s="6" t="inlineStr">
        <is>
          <t>Other Billable Common Area</t>
        </is>
      </c>
      <c r="D508" s="22" t="n">
        <v>66511</v>
      </c>
      <c r="E508" s="6" t="n"/>
    </row>
    <row r="509">
      <c r="A509" s="6" t="inlineStr">
        <is>
          <t>14705 E 33rd Pl — FY2024</t>
        </is>
      </c>
      <c r="B509" s="25" t="inlineStr">
        <is>
          <t>Income</t>
        </is>
      </c>
      <c r="C509" s="6" t="inlineStr">
        <is>
          <t>Other Billable Common Area (add'l)</t>
        </is>
      </c>
      <c r="D509" s="22" t="n">
        <v>12040</v>
      </c>
      <c r="E509" s="6" t="n"/>
    </row>
    <row r="510">
      <c r="A510" s="6" t="inlineStr">
        <is>
          <t>14705 E 33rd Pl — FY2024</t>
        </is>
      </c>
      <c r="B510" s="25" t="inlineStr">
        <is>
          <t>Income</t>
        </is>
      </c>
      <c r="C510" s="6" t="inlineStr">
        <is>
          <t>Operating Exp Reimb Accrual</t>
        </is>
      </c>
      <c r="D510" s="22" t="n">
        <v>1700</v>
      </c>
      <c r="E510" s="6" t="n"/>
    </row>
    <row r="511">
      <c r="A511" s="6" t="inlineStr">
        <is>
          <t>14705 E 33rd Pl — FY2024</t>
        </is>
      </c>
      <c r="B511" s="25" t="inlineStr">
        <is>
          <t>Income</t>
        </is>
      </c>
      <c r="C511" s="6" t="inlineStr">
        <is>
          <t>Utilities (direct billable)</t>
        </is>
      </c>
      <c r="D511" s="22" t="n">
        <v>-113</v>
      </c>
      <c r="E511" s="6" t="n"/>
    </row>
    <row r="512">
      <c r="A512" s="6" t="inlineStr">
        <is>
          <t>14705 E 33rd Pl — FY2024</t>
        </is>
      </c>
      <c r="B512" s="25" t="inlineStr">
        <is>
          <t>Income</t>
        </is>
      </c>
      <c r="C512" s="6" t="inlineStr">
        <is>
          <t>Other Direct Billable-Non-FI</t>
        </is>
      </c>
      <c r="D512" s="22" t="n">
        <v>-45</v>
      </c>
      <c r="E512" s="6" t="n"/>
    </row>
    <row r="513">
      <c r="A513" s="6" t="inlineStr">
        <is>
          <t>14705 E 33rd Pl — FY2024</t>
        </is>
      </c>
      <c r="B513" s="25" t="inlineStr">
        <is>
          <t>Income</t>
        </is>
      </c>
      <c r="C513" s="6" t="inlineStr">
        <is>
          <t>Bad Debt - Contra Revenue</t>
        </is>
      </c>
      <c r="D513" s="22" t="n">
        <v>-16167</v>
      </c>
      <c r="E513" s="6" t="n"/>
    </row>
    <row r="514">
      <c r="A514" s="6" t="inlineStr">
        <is>
          <t>14705 E 33rd Pl — FY2024</t>
        </is>
      </c>
      <c r="B514" s="25" t="inlineStr">
        <is>
          <t>Income</t>
        </is>
      </c>
      <c r="C514" s="6" t="inlineStr">
        <is>
          <t>Bad Debt - Additional Reserve</t>
        </is>
      </c>
      <c r="D514" s="22" t="n">
        <v>-4111</v>
      </c>
      <c r="E514" s="6" t="n"/>
    </row>
    <row r="515">
      <c r="A515" s="6" t="inlineStr">
        <is>
          <t>14705 E 33rd Pl — FY2024</t>
        </is>
      </c>
      <c r="B515" s="25" t="inlineStr">
        <is>
          <t>Income</t>
        </is>
      </c>
      <c r="C515" s="6" t="inlineStr">
        <is>
          <t>Bad Debt - Reversal (Cash Coll.)</t>
        </is>
      </c>
      <c r="D515" s="22" t="n">
        <v>4221</v>
      </c>
      <c r="E515" s="6" t="n"/>
    </row>
    <row r="516">
      <c r="A516" s="6" t="inlineStr">
        <is>
          <t>14705 E 33rd Pl — FY2024</t>
        </is>
      </c>
      <c r="B516" s="25" t="inlineStr">
        <is>
          <t>Income</t>
        </is>
      </c>
      <c r="C516" s="6" t="inlineStr">
        <is>
          <t>Bad Debt - Reversal Due to Credit</t>
        </is>
      </c>
      <c r="D516" s="22" t="n">
        <v>16167</v>
      </c>
      <c r="E516" s="6" t="n"/>
    </row>
    <row r="517">
      <c r="A517" s="11" t="inlineStr">
        <is>
          <t>14705 E 33rd Pl — FY2024</t>
        </is>
      </c>
      <c r="B517" s="26" t="inlineStr">
        <is>
          <t>Income</t>
        </is>
      </c>
      <c r="C517" s="12" t="inlineStr">
        <is>
          <t>TOTAL INCOME</t>
        </is>
      </c>
      <c r="D517" s="23" t="n">
        <v>714461</v>
      </c>
      <c r="E517" s="6" t="inlineStr">
        <is>
          <t>Printed total: $714,461.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518">
      <c r="A518" s="6" t="inlineStr">
        <is>
          <t>14705 E 33rd Pl — FY2024</t>
        </is>
      </c>
      <c r="B518" s="25" t="inlineStr">
        <is>
          <t>Expense</t>
        </is>
      </c>
      <c r="C518" s="6" t="inlineStr">
        <is>
          <t>[CAM] Security</t>
        </is>
      </c>
      <c r="D518" s="22" t="n">
        <v>5705</v>
      </c>
      <c r="E518" s="6" t="n"/>
    </row>
    <row r="519">
      <c r="A519" s="6" t="inlineStr">
        <is>
          <t>14705 E 33rd Pl — FY2024</t>
        </is>
      </c>
      <c r="B519" s="25" t="inlineStr">
        <is>
          <t>Expense</t>
        </is>
      </c>
      <c r="C519" s="6" t="inlineStr">
        <is>
          <t>[CAM] Property Management</t>
        </is>
      </c>
      <c r="D519" s="22" t="n">
        <v>100</v>
      </c>
      <c r="E519" s="6" t="n"/>
    </row>
    <row r="520">
      <c r="A520" s="6" t="inlineStr">
        <is>
          <t>14705 E 33rd Pl — FY2024</t>
        </is>
      </c>
      <c r="B520" s="25" t="inlineStr">
        <is>
          <t>Expense</t>
        </is>
      </c>
      <c r="C520" s="6" t="inlineStr">
        <is>
          <t>[CAM] Maintenance Services</t>
        </is>
      </c>
      <c r="D520" s="22" t="n">
        <v>5809</v>
      </c>
      <c r="E520" s="6" t="n"/>
    </row>
    <row r="521">
      <c r="A521" s="6" t="inlineStr">
        <is>
          <t>14705 E 33rd Pl — FY2024</t>
        </is>
      </c>
      <c r="B521" s="25" t="inlineStr">
        <is>
          <t>Expense</t>
        </is>
      </c>
      <c r="C521" s="6" t="inlineStr">
        <is>
          <t>[CAM] Electrical and Lighting</t>
        </is>
      </c>
      <c r="D521" s="22" t="n">
        <v>250</v>
      </c>
      <c r="E521" s="6" t="n"/>
    </row>
    <row r="522">
      <c r="A522" s="6" t="inlineStr">
        <is>
          <t>14705 E 33rd Pl — FY2024</t>
        </is>
      </c>
      <c r="B522" s="25" t="inlineStr">
        <is>
          <t>Expense</t>
        </is>
      </c>
      <c r="C522" s="6" t="inlineStr">
        <is>
          <t>[CAM] Contract - Roof Maintenance</t>
        </is>
      </c>
      <c r="D522" s="22" t="n">
        <v>1864</v>
      </c>
      <c r="E522" s="6" t="n"/>
    </row>
    <row r="523">
      <c r="A523" s="6" t="inlineStr">
        <is>
          <t>14705 E 33rd Pl — FY2024</t>
        </is>
      </c>
      <c r="B523" s="25" t="inlineStr">
        <is>
          <t>Expense</t>
        </is>
      </c>
      <c r="C523" s="6" t="inlineStr">
        <is>
          <t>[CAM] HVAC and Equipment</t>
        </is>
      </c>
      <c r="D523" s="22" t="n">
        <v>285</v>
      </c>
      <c r="E523" s="6" t="n"/>
    </row>
    <row r="524">
      <c r="A524" s="6" t="inlineStr">
        <is>
          <t>14705 E 33rd Pl — FY2024</t>
        </is>
      </c>
      <c r="B524" s="25" t="inlineStr">
        <is>
          <t>Expense</t>
        </is>
      </c>
      <c r="C524" s="6" t="inlineStr">
        <is>
          <t>[CAM] Window Cleaning</t>
        </is>
      </c>
      <c r="D524" s="22" t="n">
        <v>706</v>
      </c>
      <c r="E524" s="6" t="n"/>
    </row>
    <row r="525">
      <c r="A525" s="6" t="inlineStr">
        <is>
          <t>14705 E 33rd Pl — FY2024</t>
        </is>
      </c>
      <c r="B525" s="25" t="inlineStr">
        <is>
          <t>Expense</t>
        </is>
      </c>
      <c r="C525" s="6" t="inlineStr">
        <is>
          <t>[CAM] Contract - Fire Life Safety</t>
        </is>
      </c>
      <c r="D525" s="22" t="n">
        <v>1125</v>
      </c>
      <c r="E525" s="6" t="n"/>
    </row>
    <row r="526">
      <c r="A526" s="6" t="inlineStr">
        <is>
          <t>14705 E 33rd Pl — FY2024</t>
        </is>
      </c>
      <c r="B526" s="25" t="inlineStr">
        <is>
          <t>Expense</t>
        </is>
      </c>
      <c r="C526" s="6" t="inlineStr">
        <is>
          <t>[CAM] General Maintenance</t>
        </is>
      </c>
      <c r="D526" s="22" t="n">
        <v>1546</v>
      </c>
      <c r="E526" s="6" t="n"/>
    </row>
    <row r="527">
      <c r="A527" s="6" t="inlineStr">
        <is>
          <t>14705 E 33rd Pl — FY2024</t>
        </is>
      </c>
      <c r="B527" s="25" t="inlineStr">
        <is>
          <t>Expense</t>
        </is>
      </c>
      <c r="C527" s="6" t="inlineStr">
        <is>
          <t>[CAM] Parking Lot Sweeping (a)</t>
        </is>
      </c>
      <c r="D527" s="22" t="n">
        <v>135</v>
      </c>
      <c r="E527" s="6" t="n"/>
    </row>
    <row r="528">
      <c r="A528" s="6" t="inlineStr">
        <is>
          <t>14705 E 33rd Pl — FY2024</t>
        </is>
      </c>
      <c r="B528" s="25" t="inlineStr">
        <is>
          <t>Expense</t>
        </is>
      </c>
      <c r="C528" s="6" t="inlineStr">
        <is>
          <t>[CAM] Contract - Cleaning Services</t>
        </is>
      </c>
      <c r="D528" s="22" t="n">
        <v>2367</v>
      </c>
      <c r="E528" s="6" t="n"/>
    </row>
    <row r="529">
      <c r="A529" s="6" t="inlineStr">
        <is>
          <t>14705 E 33rd Pl — FY2024</t>
        </is>
      </c>
      <c r="B529" s="25" t="inlineStr">
        <is>
          <t>Expense</t>
        </is>
      </c>
      <c r="C529" s="6" t="inlineStr">
        <is>
          <t>[CAM] Parking Lot Sweeping (b)</t>
        </is>
      </c>
      <c r="D529" s="22" t="n">
        <v>1567</v>
      </c>
      <c r="E529" s="6" t="n"/>
    </row>
    <row r="530">
      <c r="A530" s="6" t="inlineStr">
        <is>
          <t>14705 E 33rd Pl — FY2024</t>
        </is>
      </c>
      <c r="B530" s="25" t="inlineStr">
        <is>
          <t>Expense</t>
        </is>
      </c>
      <c r="C530" s="6" t="inlineStr">
        <is>
          <t>[CAM] Contract Landscaping</t>
        </is>
      </c>
      <c r="D530" s="22" t="n">
        <v>2628</v>
      </c>
      <c r="E530" s="6" t="n"/>
    </row>
    <row r="531">
      <c r="A531" s="6" t="inlineStr">
        <is>
          <t>14705 E 33rd Pl — FY2024</t>
        </is>
      </c>
      <c r="B531" s="25" t="inlineStr">
        <is>
          <t>Expense</t>
        </is>
      </c>
      <c r="C531" s="6" t="inlineStr">
        <is>
          <t>[CAM] Landscaping - Reactive</t>
        </is>
      </c>
      <c r="D531" s="22" t="n">
        <v>1010</v>
      </c>
      <c r="E531" s="6" t="n"/>
    </row>
    <row r="532">
      <c r="A532" s="6" t="inlineStr">
        <is>
          <t>14705 E 33rd Pl — FY2024</t>
        </is>
      </c>
      <c r="B532" s="25" t="inlineStr">
        <is>
          <t>Expense</t>
        </is>
      </c>
      <c r="C532" s="6" t="inlineStr">
        <is>
          <t>[CAM] Irrigation - Reactive</t>
        </is>
      </c>
      <c r="D532" s="22" t="n">
        <v>3293</v>
      </c>
      <c r="E532" s="6" t="n"/>
    </row>
    <row r="533">
      <c r="A533" s="6" t="inlineStr">
        <is>
          <t>14705 E 33rd Pl — FY2024</t>
        </is>
      </c>
      <c r="B533" s="25" t="inlineStr">
        <is>
          <t>Expense</t>
        </is>
      </c>
      <c r="C533" s="6" t="inlineStr">
        <is>
          <t>[CAM] Snow Removal</t>
        </is>
      </c>
      <c r="D533" s="22" t="n">
        <v>27052</v>
      </c>
      <c r="E533" s="6" t="n"/>
    </row>
    <row r="534">
      <c r="A534" s="6" t="inlineStr">
        <is>
          <t>14705 E 33rd Pl — FY2024</t>
        </is>
      </c>
      <c r="B534" s="25" t="inlineStr">
        <is>
          <t>Expense</t>
        </is>
      </c>
      <c r="C534" s="6" t="inlineStr">
        <is>
          <t>[CAM] Real Estate Taxes</t>
        </is>
      </c>
      <c r="D534" s="22" t="n">
        <v>188633</v>
      </c>
      <c r="E534" s="6" t="n"/>
    </row>
    <row r="535">
      <c r="A535" s="6" t="inlineStr">
        <is>
          <t>14705 E 33rd Pl — FY2024</t>
        </is>
      </c>
      <c r="B535" s="25" t="inlineStr">
        <is>
          <t>Expense</t>
        </is>
      </c>
      <c r="C535" s="6" t="inlineStr">
        <is>
          <t>[CAM] Real Estate Tax Mgmt</t>
        </is>
      </c>
      <c r="D535" s="22" t="n">
        <v>16</v>
      </c>
      <c r="E535" s="6" t="n"/>
    </row>
    <row r="536">
      <c r="A536" s="6" t="inlineStr">
        <is>
          <t>14705 E 33rd Pl — FY2024</t>
        </is>
      </c>
      <c r="B536" s="25" t="inlineStr">
        <is>
          <t>Expense</t>
        </is>
      </c>
      <c r="C536" s="6" t="inlineStr">
        <is>
          <t>[CAM] Electric</t>
        </is>
      </c>
      <c r="D536" s="22" t="n">
        <v>929</v>
      </c>
      <c r="E536" s="6" t="n"/>
    </row>
    <row r="537">
      <c r="A537" s="6" t="inlineStr">
        <is>
          <t>14705 E 33rd Pl — FY2024</t>
        </is>
      </c>
      <c r="B537" s="25" t="inlineStr">
        <is>
          <t>Expense</t>
        </is>
      </c>
      <c r="C537" s="6" t="inlineStr">
        <is>
          <t>[CAM] Utility Management Costs</t>
        </is>
      </c>
      <c r="D537" s="22" t="n">
        <v>151</v>
      </c>
      <c r="E537" s="6" t="n"/>
    </row>
    <row r="538">
      <c r="A538" s="6" t="inlineStr">
        <is>
          <t>14705 E 33rd Pl — FY2024</t>
        </is>
      </c>
      <c r="B538" s="25" t="inlineStr">
        <is>
          <t>Expense</t>
        </is>
      </c>
      <c r="C538" s="6" t="inlineStr">
        <is>
          <t>[CAM] Property &amp; General Liability Ins.</t>
        </is>
      </c>
      <c r="D538" s="22" t="n">
        <v>6180</v>
      </c>
      <c r="E538" s="6" t="n"/>
    </row>
    <row r="539">
      <c r="A539" s="6" t="inlineStr">
        <is>
          <t>14705 E 33rd Pl — FY2024</t>
        </is>
      </c>
      <c r="B539" s="25" t="inlineStr">
        <is>
          <t>Expense</t>
        </is>
      </c>
      <c r="C539" s="6" t="inlineStr">
        <is>
          <t>[CAM] Environmental Insurance</t>
        </is>
      </c>
      <c r="D539" s="22" t="n">
        <v>276</v>
      </c>
      <c r="E539" s="6" t="inlineStr">
        <is>
          <t>Reimbursable subtotal as printed: $251,626</t>
        </is>
      </c>
    </row>
    <row r="540">
      <c r="A540" s="6" t="inlineStr">
        <is>
          <t>14705 E 33rd Pl — FY2024</t>
        </is>
      </c>
      <c r="B540" s="25" t="inlineStr">
        <is>
          <t>Expense</t>
        </is>
      </c>
      <c r="C540" s="6" t="inlineStr">
        <is>
          <t>[DB] Repairs &amp; Maintenance</t>
        </is>
      </c>
      <c r="D540" s="22" t="n">
        <v>-1457</v>
      </c>
      <c r="E540" s="6" t="n"/>
    </row>
    <row r="541">
      <c r="A541" s="6" t="inlineStr">
        <is>
          <t>14705 E 33rd Pl — FY2024</t>
        </is>
      </c>
      <c r="B541" s="25" t="inlineStr">
        <is>
          <t>Expense</t>
        </is>
      </c>
      <c r="C541" s="6" t="inlineStr">
        <is>
          <t>[DB] Plumbing and Sewer Maint.</t>
        </is>
      </c>
      <c r="D541" s="22" t="n">
        <v>882</v>
      </c>
      <c r="E541" s="6" t="n"/>
    </row>
    <row r="542">
      <c r="A542" s="6" t="inlineStr">
        <is>
          <t>14705 E 33rd Pl — FY2024</t>
        </is>
      </c>
      <c r="B542" s="25" t="inlineStr">
        <is>
          <t>Expense</t>
        </is>
      </c>
      <c r="C542" s="6" t="inlineStr">
        <is>
          <t>[DB] HVAC and Equipment</t>
        </is>
      </c>
      <c r="D542" s="22" t="n">
        <v>530</v>
      </c>
      <c r="E542" s="6" t="n"/>
    </row>
    <row r="543">
      <c r="A543" s="6" t="inlineStr">
        <is>
          <t>14705 E 33rd Pl — FY2024</t>
        </is>
      </c>
      <c r="B543" s="25" t="inlineStr">
        <is>
          <t>Expense</t>
        </is>
      </c>
      <c r="C543" s="6" t="inlineStr">
        <is>
          <t>[DB] Electric</t>
        </is>
      </c>
      <c r="D543" s="22" t="n">
        <v>102</v>
      </c>
      <c r="E543" s="6" t="n"/>
    </row>
    <row r="544">
      <c r="A544" s="6" t="inlineStr">
        <is>
          <t>14705 E 33rd Pl — FY2024</t>
        </is>
      </c>
      <c r="B544" s="25" t="inlineStr">
        <is>
          <t>Expense</t>
        </is>
      </c>
      <c r="C544" s="6" t="inlineStr">
        <is>
          <t>[DB] Gas</t>
        </is>
      </c>
      <c r="D544" s="22" t="n">
        <v>310</v>
      </c>
      <c r="E544" s="6" t="n"/>
    </row>
    <row r="545">
      <c r="A545" s="6" t="inlineStr">
        <is>
          <t>14705 E 33rd Pl — FY2024</t>
        </is>
      </c>
      <c r="B545" s="25" t="inlineStr">
        <is>
          <t>Expense</t>
        </is>
      </c>
      <c r="C545" s="6" t="inlineStr">
        <is>
          <t>[DB] Accrued Electric Expense</t>
        </is>
      </c>
      <c r="D545" s="22" t="n">
        <v>-63</v>
      </c>
      <c r="E545" s="6" t="n"/>
    </row>
    <row r="546">
      <c r="A546" s="6" t="inlineStr">
        <is>
          <t>14705 E 33rd Pl — FY2024</t>
        </is>
      </c>
      <c r="B546" s="25" t="inlineStr">
        <is>
          <t>Expense</t>
        </is>
      </c>
      <c r="C546" s="6" t="inlineStr">
        <is>
          <t>[DB] Accrued Gas Expense</t>
        </is>
      </c>
      <c r="D546" s="22" t="n">
        <v>-463</v>
      </c>
      <c r="E546" s="6" t="n"/>
    </row>
    <row r="547">
      <c r="A547" s="6" t="inlineStr">
        <is>
          <t>14705 E 33rd Pl — FY2024</t>
        </is>
      </c>
      <c r="B547" s="25" t="inlineStr">
        <is>
          <t>Expense</t>
        </is>
      </c>
      <c r="C547" s="6" t="inlineStr">
        <is>
          <t>[NB/DB] Gas Vacancy</t>
        </is>
      </c>
      <c r="D547" s="22" t="n">
        <v>3782</v>
      </c>
      <c r="E547" s="6" t="inlineStr">
        <is>
          <t>printed in DB subtotal ($3,623)</t>
        </is>
      </c>
    </row>
    <row r="548">
      <c r="A548" s="6" t="inlineStr">
        <is>
          <t>14705 E 33rd Pl — FY2024</t>
        </is>
      </c>
      <c r="B548" s="25" t="inlineStr">
        <is>
          <t>Expense</t>
        </is>
      </c>
      <c r="C548" s="6" t="inlineStr">
        <is>
          <t>[NB] HVAC and Equipment</t>
        </is>
      </c>
      <c r="D548" s="22" t="n">
        <v>1685</v>
      </c>
      <c r="E548" s="6" t="n"/>
    </row>
    <row r="549">
      <c r="A549" s="6" t="inlineStr">
        <is>
          <t>14705 E 33rd Pl — FY2024</t>
        </is>
      </c>
      <c r="B549" s="25" t="inlineStr">
        <is>
          <t>Expense</t>
        </is>
      </c>
      <c r="C549" s="6" t="inlineStr">
        <is>
          <t>[NB] Electric Vacancy</t>
        </is>
      </c>
      <c r="D549" s="22" t="n">
        <v>490</v>
      </c>
      <c r="E549" s="6" t="n"/>
    </row>
    <row r="550">
      <c r="A550" s="6" t="inlineStr">
        <is>
          <t>14705 E 33rd Pl — FY2024</t>
        </is>
      </c>
      <c r="B550" s="25" t="inlineStr">
        <is>
          <t>Expense</t>
        </is>
      </c>
      <c r="C550" s="6" t="inlineStr">
        <is>
          <t>[NB] Corporate Management</t>
        </is>
      </c>
      <c r="D550" s="22" t="n">
        <v>6962</v>
      </c>
      <c r="E550" s="6" t="n"/>
    </row>
    <row r="551">
      <c r="A551" s="6" t="inlineStr">
        <is>
          <t>14705 E 33rd Pl — FY2024</t>
        </is>
      </c>
      <c r="B551" s="25" t="inlineStr">
        <is>
          <t>Expense</t>
        </is>
      </c>
      <c r="C551" s="6" t="inlineStr">
        <is>
          <t>[NB] Insurance deductible exp</t>
        </is>
      </c>
      <c r="D551" s="22" t="n">
        <v>337</v>
      </c>
      <c r="E551" s="6" t="n"/>
    </row>
    <row r="552">
      <c r="A552" s="6" t="inlineStr">
        <is>
          <t>14705 E 33rd Pl — FY2024</t>
        </is>
      </c>
      <c r="B552" s="25" t="inlineStr">
        <is>
          <t>Expense</t>
        </is>
      </c>
      <c r="C552" s="6" t="inlineStr">
        <is>
          <t>[NB] Lock and Access</t>
        </is>
      </c>
      <c r="D552" s="22" t="n">
        <v>404</v>
      </c>
      <c r="E552" s="6" t="n"/>
    </row>
    <row r="553">
      <c r="A553" s="6" t="inlineStr">
        <is>
          <t>14705 E 33rd Pl — FY2024</t>
        </is>
      </c>
      <c r="B553" s="25" t="inlineStr">
        <is>
          <t>Expense</t>
        </is>
      </c>
      <c r="C553" s="6" t="inlineStr">
        <is>
          <t>[NB] Tenant Relations</t>
        </is>
      </c>
      <c r="D553" s="22" t="n">
        <v>300</v>
      </c>
      <c r="E553" s="6" t="n"/>
    </row>
    <row r="554">
      <c r="A554" s="6" t="inlineStr">
        <is>
          <t>14705 E 33rd Pl — FY2024</t>
        </is>
      </c>
      <c r="B554" s="25" t="inlineStr">
        <is>
          <t>Expense</t>
        </is>
      </c>
      <c r="C554" s="6" t="inlineStr">
        <is>
          <t>[NB] Vacancy Repairs &amp; Maint.</t>
        </is>
      </c>
      <c r="D554" s="22" t="n">
        <v>2010</v>
      </c>
      <c r="E554" s="6" t="n"/>
    </row>
    <row r="555">
      <c r="A555" s="6" t="inlineStr">
        <is>
          <t>14705 E 33rd Pl — FY2024</t>
        </is>
      </c>
      <c r="B555" s="25" t="inlineStr">
        <is>
          <t>Expense</t>
        </is>
      </c>
      <c r="C555" s="6" t="inlineStr">
        <is>
          <t>[NB] Professional Fees</t>
        </is>
      </c>
      <c r="D555" s="22" t="n">
        <v>38</v>
      </c>
      <c r="E555" s="6" t="n"/>
    </row>
    <row r="556">
      <c r="A556" s="6" t="inlineStr">
        <is>
          <t>14705 E 33rd Pl — FY2024</t>
        </is>
      </c>
      <c r="B556" s="25" t="inlineStr">
        <is>
          <t>Expense</t>
        </is>
      </c>
      <c r="C556" s="6" t="inlineStr">
        <is>
          <t>[NB] Legal Fees</t>
        </is>
      </c>
      <c r="D556" s="22" t="n">
        <v>1665</v>
      </c>
      <c r="E556" s="6" t="inlineStr">
        <is>
          <t>Non-billable subtotal as printed: $13,891</t>
        </is>
      </c>
    </row>
    <row r="557">
      <c r="A557" s="6" t="inlineStr">
        <is>
          <t>14705 E 33rd Pl — FY2024</t>
        </is>
      </c>
      <c r="B557" s="25" t="inlineStr">
        <is>
          <t>Expense</t>
        </is>
      </c>
      <c r="C557" s="6" t="inlineStr">
        <is>
          <t>[REO] Prior Year Real Estate Tax</t>
        </is>
      </c>
      <c r="D557" s="22" t="n">
        <v>1218</v>
      </c>
      <c r="E557" s="6" t="inlineStr">
        <is>
          <t>Property-operating total as printed: $266,577</t>
        </is>
      </c>
    </row>
    <row r="558">
      <c r="A558" s="6" t="inlineStr">
        <is>
          <t>14705 E 33rd Pl — FY2024</t>
        </is>
      </c>
      <c r="B558" s="25" t="inlineStr">
        <is>
          <t>Expense</t>
        </is>
      </c>
      <c r="C558" s="6" t="inlineStr">
        <is>
          <t>Land Improvements Depreciation</t>
        </is>
      </c>
      <c r="D558" s="22" t="n">
        <v>19714</v>
      </c>
      <c r="E558" s="6" t="n"/>
    </row>
    <row r="559">
      <c r="A559" s="6" t="inlineStr">
        <is>
          <t>14705 E 33rd Pl — FY2024</t>
        </is>
      </c>
      <c r="B559" s="25" t="inlineStr">
        <is>
          <t>Expense</t>
        </is>
      </c>
      <c r="C559" s="6" t="inlineStr">
        <is>
          <t>Building Additions Depreciation</t>
        </is>
      </c>
      <c r="D559" s="22" t="n">
        <v>206941</v>
      </c>
      <c r="E559" s="6" t="n"/>
    </row>
    <row r="560">
      <c r="A560" s="6" t="inlineStr">
        <is>
          <t>14705 E 33rd Pl — FY2024</t>
        </is>
      </c>
      <c r="B560" s="25" t="inlineStr">
        <is>
          <t>Expense</t>
        </is>
      </c>
      <c r="C560" s="6" t="inlineStr">
        <is>
          <t>Equip/Marketing/Signage Depreciation</t>
        </is>
      </c>
      <c r="D560" s="22" t="n">
        <v>580</v>
      </c>
      <c r="E560" s="6" t="n"/>
    </row>
    <row r="561">
      <c r="A561" s="6" t="inlineStr">
        <is>
          <t>14705 E 33rd Pl — FY2024</t>
        </is>
      </c>
      <c r="B561" s="25" t="inlineStr">
        <is>
          <t>Expense</t>
        </is>
      </c>
      <c r="C561" s="6" t="inlineStr">
        <is>
          <t>TI Depreciation</t>
        </is>
      </c>
      <c r="D561" s="22" t="n">
        <v>70015</v>
      </c>
      <c r="E561" s="6" t="n"/>
    </row>
    <row r="562">
      <c r="A562" s="6" t="inlineStr">
        <is>
          <t>14705 E 33rd Pl — FY2024</t>
        </is>
      </c>
      <c r="B562" s="25" t="inlineStr">
        <is>
          <t>Expense</t>
        </is>
      </c>
      <c r="C562" s="6" t="inlineStr">
        <is>
          <t>Amort - Deferred Leasing Costs</t>
        </is>
      </c>
      <c r="D562" s="22" t="n">
        <v>36279</v>
      </c>
      <c r="E562" s="6" t="inlineStr">
        <is>
          <t>D&amp;A total as printed: $333,529</t>
        </is>
      </c>
    </row>
    <row r="563">
      <c r="A563" s="11" t="inlineStr">
        <is>
          <t>14705 E 33rd Pl — FY2024</t>
        </is>
      </c>
      <c r="B563" s="26" t="inlineStr">
        <is>
          <t>Expense</t>
        </is>
      </c>
      <c r="C563" s="12" t="inlineStr">
        <is>
          <t>TOTAL EXPENSE</t>
        </is>
      </c>
      <c r="D563" s="23" t="n">
        <v>600106</v>
      </c>
      <c r="E563" s="6" t="inlineStr">
        <is>
          <t>Printed total: $600,106.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Co-listed parcel schedules attached to the appeals (North Side Gardens portfolio; WPC / 1st Net Exhibit A; St. Paul Fraser accounts)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9">
      <c r="A9" s="6" t="inlineStr">
        <is>
          <t>WPC Corporate LLC</t>
        </is>
      </c>
      <c r="B9" s="5" t="inlineStr">
        <is>
          <t>R0070624</t>
        </is>
      </c>
      <c r="C9" s="6" t="inlineStr">
        <is>
          <t>460 E. 76th Ave</t>
        </is>
      </c>
      <c r="D9" s="5" t="inlineStr">
        <is>
          <t>Adams County</t>
        </is>
      </c>
      <c r="E9" s="5" t="inlineStr">
        <is>
          <t>CO</t>
        </is>
      </c>
    </row>
    <row r="10" ht="28" customHeight="1">
      <c r="A10" s="6" t="inlineStr">
        <is>
          <t>WPC Corporate LLC</t>
        </is>
      </c>
      <c r="B10" s="5" t="inlineStr">
        <is>
          <t>R0070625</t>
        </is>
      </c>
      <c r="C10" s="6" t="inlineStr">
        <is>
          <t>470 E. 76th Ave</t>
        </is>
      </c>
      <c r="D10" s="5" t="inlineStr">
        <is>
          <t>Adams County</t>
        </is>
      </c>
      <c r="E10" s="5" t="inlineStr">
        <is>
          <t>CO</t>
        </is>
      </c>
    </row>
    <row r="11">
      <c r="A11" s="6" t="inlineStr">
        <is>
          <t>WPC Corporate LLC</t>
        </is>
      </c>
      <c r="B11" s="5" t="inlineStr">
        <is>
          <t>R0070626</t>
        </is>
      </c>
      <c r="C11" s="6" t="inlineStr">
        <is>
          <t>480 E. 76th Ave</t>
        </is>
      </c>
      <c r="D11" s="5" t="inlineStr">
        <is>
          <t>Adams County</t>
        </is>
      </c>
      <c r="E11" s="5" t="inlineStr">
        <is>
          <t>CO</t>
        </is>
      </c>
    </row>
    <row r="12">
      <c r="A12" s="6" t="inlineStr">
        <is>
          <t>WPC Corporate LLC</t>
        </is>
      </c>
      <c r="B12" s="5" t="inlineStr">
        <is>
          <t>R0070627</t>
        </is>
      </c>
      <c r="C12" s="6" t="inlineStr">
        <is>
          <t>490 E. 76th Ave</t>
        </is>
      </c>
      <c r="D12" s="5" t="inlineStr">
        <is>
          <t>Adams County</t>
        </is>
      </c>
      <c r="E12" s="5" t="inlineStr">
        <is>
          <t>CO</t>
        </is>
      </c>
    </row>
    <row r="13">
      <c r="A13" s="6" t="inlineStr">
        <is>
          <t>WPC Corporate LLC</t>
        </is>
      </c>
      <c r="B13" s="5" t="inlineStr">
        <is>
          <t>R0070622</t>
        </is>
      </c>
      <c r="C13" s="6" t="inlineStr">
        <is>
          <t>500 E. 76th Ave</t>
        </is>
      </c>
      <c r="D13" s="5" t="inlineStr">
        <is>
          <t>Adams County</t>
        </is>
      </c>
      <c r="E13" s="5" t="inlineStr">
        <is>
          <t>CO</t>
        </is>
      </c>
    </row>
    <row r="14">
      <c r="A14" s="6" t="inlineStr">
        <is>
          <t>WPC Corporate LLC</t>
        </is>
      </c>
      <c r="B14" s="5" t="inlineStr">
        <is>
          <t>R0070623</t>
        </is>
      </c>
      <c r="C14" s="6" t="inlineStr">
        <is>
          <t>550 E. 76th Ave</t>
        </is>
      </c>
      <c r="D14" s="5" t="inlineStr">
        <is>
          <t>Adams County</t>
        </is>
      </c>
      <c r="E14" s="5" t="inlineStr">
        <is>
          <t>CO</t>
        </is>
      </c>
    </row>
    <row r="15">
      <c r="A15" s="6" t="inlineStr">
        <is>
          <t>St. Paul Fire and Marine Insurance Co.</t>
        </is>
      </c>
      <c r="B15" s="5" t="inlineStr">
        <is>
          <t>R0084233</t>
        </is>
      </c>
      <c r="C15" s="6" t="inlineStr">
        <is>
          <t>3254-3650 Fraser St</t>
        </is>
      </c>
      <c r="D15" s="5" t="inlineStr">
        <is>
          <t>Adams County</t>
        </is>
      </c>
      <c r="E15" s="5" t="inlineStr">
        <is>
          <t>CO</t>
        </is>
      </c>
    </row>
    <row r="16">
      <c r="A16" s="6" t="inlineStr">
        <is>
          <t>St. Paul Fire and Marine Insurance Co.</t>
        </is>
      </c>
      <c r="B16" s="5" t="inlineStr">
        <is>
          <t>R0084262</t>
        </is>
      </c>
      <c r="C16" s="6" t="inlineStr">
        <is>
          <t>3254-3650 Fraser St</t>
        </is>
      </c>
      <c r="D16" s="5" t="inlineStr">
        <is>
          <t>Adams County</t>
        </is>
      </c>
      <c r="E16" s="5" t="inlineStr">
        <is>
          <t>CO</t>
        </is>
      </c>
    </row>
    <row r="18">
      <c r="A18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  WPC/1st Net Exhibit A additionally lists 37 parcels across Adams, Arapahoe, Boulder, Denver &amp; Jefferson counties under related WPC/Watumull entities (incl. 20901 E 32nd Pkwy R0083953, 9500 E 104th Ave R0075306, 6100 E 49th Dr R0092694, 6701 E 50th Ave R0181935/R0092711, 6800 Broadway St R0142131-32); only appeal subjects are broken out above.</t>
        </is>
      </c>
      <c r="B18" s="20" t="n"/>
      <c r="C18" s="20" t="n"/>
      <c r="D18" s="20" t="n"/>
      <c r="E18" s="21" t="n"/>
    </row>
  </sheetData>
  <mergeCells count="3">
    <mergeCell ref="A2:E2"/>
    <mergeCell ref="A1:E1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2026-08-03T12:58:59Z</dcterms:modified>
</cp:coreProperties>
</file>