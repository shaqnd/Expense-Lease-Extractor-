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 Documents" sheetId="1" state="visible" r:id="rId1"/>
    <sheet xmlns:r="http://schemas.openxmlformats.org/officeDocument/2006/relationships" name="Property Master" sheetId="2" state="visible" r:id="rId2"/>
    <sheet xmlns:r="http://schemas.openxmlformats.org/officeDocument/2006/relationships" name="Tenants &amp; Leases" sheetId="3" state="visible" r:id="rId3"/>
    <sheet xmlns:r="http://schemas.openxmlformats.org/officeDocument/2006/relationships" name="Assessments &amp; Valuation" sheetId="4" state="visible" r:id="rId4"/>
    <sheet xmlns:r="http://schemas.openxmlformats.org/officeDocument/2006/relationships" name="Income-Expense Summary" sheetId="5" state="visible" r:id="rId5"/>
    <sheet xmlns:r="http://schemas.openxmlformats.org/officeDocument/2006/relationships" name="Income-Expense Detail" sheetId="6" state="visible" r:id="rId6"/>
    <sheet xmlns:r="http://schemas.openxmlformats.org/officeDocument/2006/relationships" name="Related Parcels" sheetId="7" state="visible" r:id="rId7"/>
  </sheets>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0;($#,##0.00);-"/>
  </numFmts>
  <fonts count="8">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2026-08-04  |  20 source documents — lease &amp; income/expense data only (market/comp support excluded)</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5" t="n">
        <v>10</v>
      </c>
      <c r="B15" s="6" t="inlineStr">
        <is>
          <t>R0085571_1540_Altura_Blvd.pdf</t>
        </is>
      </c>
      <c r="C15" s="6" t="inlineStr">
        <is>
          <t>Tax appeal package — income approach + CubeSmart FY2024 income statement + LOA + parcel schedule</t>
        </is>
      </c>
      <c r="D15" s="6" t="inlineStr">
        <is>
          <t>1540 Altura Blvd (CubeSmart #6731), Aurora</t>
        </is>
      </c>
      <c r="E15" s="5" t="inlineStr">
        <is>
          <t>Assess. Yr 2025 (LOV 6/30/2024)</t>
        </is>
      </c>
      <c r="F15" s="6" t="inlineStr">
        <is>
          <t>Ryan LLC (D. Fassig) / CubeSmart</t>
        </is>
      </c>
    </row>
    <row r="16" ht="26" customHeight="1">
      <c r="A16" s="5" t="n">
        <v>11</v>
      </c>
      <c r="B16" s="6" t="inlineStr">
        <is>
          <t>R0086010_15413_E_18th_Avenue.pdf</t>
        </is>
      </c>
      <c r="C16" s="6" t="inlineStr">
        <is>
          <t>Abatement petition + income approach + CubeSmart FY2024 income statement + storEDGE occupancy + LOA</t>
        </is>
      </c>
      <c r="D16" s="6" t="inlineStr">
        <is>
          <t>15413 E 18th Ave (CubeSmart #6730), Aurora</t>
        </is>
      </c>
      <c r="E16" s="5" t="inlineStr">
        <is>
          <t>Tax Yr 2025 / Value Yr 2026 (LOV 6/30/2024)</t>
        </is>
      </c>
      <c r="F16" s="6" t="inlineStr">
        <is>
          <t>Ryan LLC (D. Fassig) / CubeSmart</t>
        </is>
      </c>
    </row>
    <row r="17" ht="26" customHeight="1">
      <c r="A17" s="5" t="n">
        <v>12</v>
      </c>
      <c r="B17" s="6" t="inlineStr">
        <is>
          <t>R0040829_self_storage.pdf</t>
        </is>
      </c>
      <c r="C17" s="6" t="inlineStr">
        <is>
          <t>Tax appeal package — income approach + Mini U Storage FY2024/23 NOI statement + rental activity + LOA</t>
        </is>
      </c>
      <c r="D17" s="6" t="inlineStr">
        <is>
          <t>10350 Washington St (Mini U Storage), Thornton</t>
        </is>
      </c>
      <c r="E17" s="5" t="inlineStr">
        <is>
          <t>Value Yr 2025/2026 (LOV 6/30/2024)</t>
        </is>
      </c>
      <c r="F17" s="6" t="inlineStr">
        <is>
          <t>Ryan LLC (D. Fassig) / Dahn Corp.</t>
        </is>
      </c>
    </row>
    <row r="18" ht="26" customHeight="1">
      <c r="A18" s="5" t="n">
        <v>13</v>
      </c>
      <c r="B18" s="6" t="inlineStr">
        <is>
          <t>R0091907.pdf</t>
        </is>
      </c>
      <c r="C18" s="6" t="inlineStr">
        <is>
          <t>Valuation protest — income analysis + rent roll + market grid + LOA</t>
        </is>
      </c>
      <c r="D18" s="6" t="inlineStr">
        <is>
          <t>5720 Holly St, Commerce City</t>
        </is>
      </c>
      <c r="E18" s="5" t="inlineStr">
        <is>
          <t>Tax Yr 2025/2026 (RR 7/1/2024)</t>
        </is>
      </c>
      <c r="F18" s="6" t="inlineStr">
        <is>
          <t>1st Net Real Estate (D. George)</t>
        </is>
      </c>
    </row>
    <row r="19">
      <c r="A19" s="5" t="n">
        <v>14</v>
      </c>
      <c r="B19" s="6" t="inlineStr">
        <is>
          <t>R0091909.pdf</t>
        </is>
      </c>
      <c r="C19" s="6" t="inlineStr">
        <is>
          <t>Valuation protest — income approach + Exhibit A income statement (2023-24) + rent rolls</t>
        </is>
      </c>
      <c r="D19" s="6" t="inlineStr">
        <is>
          <t>6125 E. 56th Ave, Commerce City</t>
        </is>
      </c>
      <c r="E19" s="5" t="inlineStr">
        <is>
          <t>Assess. Yr 2025 (DOV 6/30/2024)</t>
        </is>
      </c>
      <c r="F19" s="6" t="inlineStr">
        <is>
          <t>Sterling Property Tax (P. Leonard)</t>
        </is>
      </c>
    </row>
    <row r="20">
      <c r="A20" s="5" t="n">
        <v>15</v>
      </c>
      <c r="B20" s="6" t="inlineStr">
        <is>
          <t>R0091912.pdf</t>
        </is>
      </c>
      <c r="C20" s="6" t="inlineStr">
        <is>
          <t>IRS Form 8825 (TY2021-2024) + Metal Mart lease, extension &amp; option letters + insurance dec</t>
        </is>
      </c>
      <c r="D20" s="6" t="inlineStr">
        <is>
          <t>6475 E. 56th Ave (56th @ Monaco), Commerce City</t>
        </is>
      </c>
      <c r="E20" s="5" t="inlineStr">
        <is>
          <t>TY2021-2024</t>
        </is>
      </c>
      <c r="F20" s="6" t="inlineStr">
        <is>
          <t>Hillenmark LLC / McElroy Metal</t>
        </is>
      </c>
    </row>
    <row r="21">
      <c r="A21" s="5" t="n">
        <v>16</v>
      </c>
      <c r="B21" s="6" t="inlineStr">
        <is>
          <t>R0091931.pdf</t>
        </is>
      </c>
      <c r="C21" s="6" t="inlineStr">
        <is>
          <t>Valuation protest — income approach + Exhibit A income statement (2023-24) + rent rolls</t>
        </is>
      </c>
      <c r="D21" s="6" t="inlineStr">
        <is>
          <t>6300 E. 58th Ave, Commerce City</t>
        </is>
      </c>
      <c r="E21" s="5" t="inlineStr">
        <is>
          <t>Assess. Yr 2025 (DOV 6/30/2024)</t>
        </is>
      </c>
      <c r="F21" s="6" t="inlineStr">
        <is>
          <t>Sterling Property Tax (P. Leonard)</t>
        </is>
      </c>
    </row>
    <row r="22">
      <c r="A22" s="5" t="n">
        <v>17</v>
      </c>
      <c r="B22" s="6" t="inlineStr">
        <is>
          <t>R0091933.pdf</t>
        </is>
      </c>
      <c r="C22" s="6" t="inlineStr">
        <is>
          <t>Valuation protest — income approach + Exhibit A income statement (2023-24) + rent rolls</t>
        </is>
      </c>
      <c r="D22" s="6" t="inlineStr">
        <is>
          <t>5800 E. 58th Ave, Commerce City</t>
        </is>
      </c>
      <c r="E22" s="5" t="inlineStr">
        <is>
          <t>Assess. Yr 2025 (DOV 6/30/2024)</t>
        </is>
      </c>
      <c r="F22" s="6" t="inlineStr">
        <is>
          <t>Sterling Property Tax (P. Leonard)</t>
        </is>
      </c>
    </row>
    <row r="23">
      <c r="A23" s="5" t="n">
        <v>18</v>
      </c>
      <c r="B23" s="6" t="inlineStr">
        <is>
          <t>R0091934.pdf</t>
        </is>
      </c>
      <c r="C23" s="6" t="inlineStr">
        <is>
          <t>Valuation protest — income approach + Exhibit A income statement (2023-24) + rent rolls</t>
        </is>
      </c>
      <c r="D23" s="6" t="inlineStr">
        <is>
          <t>5750 E. 58th Ave, Commerce City</t>
        </is>
      </c>
      <c r="E23" s="5" t="inlineStr">
        <is>
          <t>Assess. Yr 2025 (DOV 6/30/2024)</t>
        </is>
      </c>
      <c r="F23" s="6" t="inlineStr">
        <is>
          <t>Sterling Property Tax (P. Leonard)</t>
        </is>
      </c>
    </row>
    <row r="24">
      <c r="A24" s="5" t="inlineStr">
        <is>
          <t>—</t>
        </is>
      </c>
      <c r="B24" s="6" t="inlineStr">
        <is>
          <t>R0091936.pdf</t>
        </is>
      </c>
      <c r="C24" s="6" t="inlineStr">
        <is>
          <t>DUPLICATE UPLOAD — byte-for-byte copy of the R0091934 package; no R0091936 data received</t>
        </is>
      </c>
      <c r="D24" s="6" t="inlineStr">
        <is>
          <t>(none — file contains the 5750 E. 58th Ave appeal)</t>
        </is>
      </c>
      <c r="E24" s="5" t="inlineStr">
        <is>
          <t>n/a</t>
        </is>
      </c>
      <c r="F24" s="6" t="inlineStr">
        <is>
          <t>n/a</t>
        </is>
      </c>
    </row>
    <row r="25">
      <c r="A25" s="5" t="n">
        <v>19</v>
      </c>
      <c r="B25" s="6" t="inlineStr">
        <is>
          <t>R0092711.pdf</t>
        </is>
      </c>
      <c r="C25" s="6" t="inlineStr">
        <is>
          <t>Valuation protest — income analysis + Colliers rent roll (Dec 2024) + market grid + LOA/Exhibit A</t>
        </is>
      </c>
      <c r="D25" s="6" t="inlineStr">
        <is>
          <t>6701 E. 50th Ave, Commerce City (also sched. R0181935)</t>
        </is>
      </c>
      <c r="E25" s="5" t="inlineStr">
        <is>
          <t>Tax Yr 2025/2026 (RR 12/2024)</t>
        </is>
      </c>
      <c r="F25" s="6" t="inlineStr">
        <is>
          <t>1st Net Real Estate (D. George)</t>
        </is>
      </c>
    </row>
    <row r="26">
      <c r="A26" s="5" t="n">
        <v>20</v>
      </c>
      <c r="B26" s="6" t="inlineStr">
        <is>
          <t>R0092720.pdf</t>
        </is>
      </c>
      <c r="C26" s="6" t="inlineStr">
        <is>
          <t>Valuation protest + BAA Order &amp; Stipulation (docket 2025BAA2346) + LOA</t>
        </is>
      </c>
      <c r="D26" s="6" t="inlineStr">
        <is>
          <t>4950 Olive St, Commerce City</t>
        </is>
      </c>
      <c r="E26" s="5" t="inlineStr">
        <is>
          <t>Tax Yr 2026 (BAA order TY2025)</t>
        </is>
      </c>
      <c r="F26" s="6" t="inlineStr">
        <is>
          <t>1st Net Real Estate (M. Walter)</t>
        </is>
      </c>
    </row>
    <row r="28">
      <c r="A28" s="7" t="inlineStr">
        <is>
          <t>Notes: Figures transcribed from the source documents. Total / net / average cells are live formulas (SUM/AVERAGE) verified against the printed totals; they populate on open in Excel/Sheets.</t>
        </is>
      </c>
    </row>
    <row r="29">
      <c r="A29"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30">
      <c r="A30" s="7" t="inlineStr">
        <is>
          <t>5970 Marion cash-basis 'expense' includes mortgage P&amp;I and property taxes (cash flow, not NOI). R0169133 cover value ($3,408,546) differs from its schedule total ($3,114,815); both reproduced as printed.</t>
        </is>
      </c>
    </row>
    <row r="31">
      <c r="A31" s="7" t="inlineStr">
        <is>
          <t>Self-storage packages: CubeSmart/Mini U income statements are store-level accrual NOI statements (property tax &amp; 3rd-party mgmt fees included; interest/depreciation excluded except where noted). Cushman &amp; Wakefield investor-survey pages in R0040829 (market support) were skipped per database scope.</t>
        </is>
      </c>
    </row>
    <row r="32">
      <c r="A32" s="7" t="inlineStr">
        <is>
          <t>Commerce City batch: the four Sterling appeals (6125 E. 56th, 6300/5800/5750 E. 58th) share one owner/manager and one Yardi chart of accounts; their Exhibit A statements are accrual, property-level, and INCLUDE real-estate tax but EXCLUDE mortgage interest and depreciation (both carried as memo lines). Sterling's letter recast splits operating expense into RE Taxes + CAM Reimbursable + CAM Non-Reimbursable; CAM Reimbursable equals Total Operating Expenses less Tax Real Estate to the dollar, and CAM Non-Reimbursable is a Sterling-selected subset of the non-CAM block, so the letter's "Total Expenses" exceeds the statement's Total Operating Expenses.</t>
        </is>
      </c>
    </row>
    <row r="33">
      <c r="A33" s="7" t="inlineStr">
        <is>
          <t>The file uploaded as R0091936 is a byte-for-byte duplicate of the R0091934 package (all 27 pages render identically); no data for schedule R0091936 was received. 5720 Holly St and 6701 E. 50th Ave income analyses use formulaic expenses (management 3% + reserve/owner 5% of EGI), not actual operating statements. CoStar lease/sale comps and the Lowery Property Advisors cap-rate survey in these packages are market support and were skipped per database scope.</t>
        </is>
      </c>
    </row>
  </sheetData>
  <mergeCells count="8">
    <mergeCell ref="A2:F2"/>
    <mergeCell ref="A33:F33"/>
    <mergeCell ref="A28:F28"/>
    <mergeCell ref="A1:F1"/>
    <mergeCell ref="A32:F32"/>
    <mergeCell ref="A31:F31"/>
    <mergeCell ref="A30:F30"/>
    <mergeCell ref="A29:F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4"/>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6" t="inlineStr">
        <is>
          <t>R0085571</t>
        </is>
      </c>
      <c r="B13" s="6" t="inlineStr">
        <is>
          <t>R0085571</t>
        </is>
      </c>
      <c r="C13" s="6" t="inlineStr">
        <is>
          <t>0182131405022</t>
        </is>
      </c>
      <c r="D13" s="6" t="inlineStr">
        <is>
          <t>Aurora Altura Boulevard CS 6731</t>
        </is>
      </c>
      <c r="E13" s="6" t="inlineStr">
        <is>
          <t>1540 Altura Blvd</t>
        </is>
      </c>
      <c r="F13" s="6" t="inlineStr">
        <is>
          <t>Aurora</t>
        </is>
      </c>
      <c r="G13" s="5" t="inlineStr">
        <is>
          <t>CO</t>
        </is>
      </c>
      <c r="H13" s="6" t="inlineStr">
        <is>
          <t>80011</t>
        </is>
      </c>
      <c r="I13" s="6" t="inlineStr">
        <is>
          <t>Adams</t>
        </is>
      </c>
      <c r="J13" s="6" t="inlineStr">
        <is>
          <t>Winner Storage LLC / PTA USI No 731</t>
        </is>
      </c>
      <c r="K13" s="6" t="inlineStr">
        <is>
          <t>Winner Storage LLC/PTA USI No 731</t>
        </is>
      </c>
      <c r="L13" s="6" t="inlineStr">
        <is>
          <t>Specialty - Self-Storage</t>
        </is>
      </c>
      <c r="M13" s="6" t="inlineStr">
        <is>
          <t>Multi (storage units, MTM)</t>
        </is>
      </c>
      <c r="N13" s="8" t="n">
        <v>2.05</v>
      </c>
      <c r="O13" s="8" t="n">
        <v>89298</v>
      </c>
      <c r="P13" s="6" t="n"/>
      <c r="Q13" s="8" t="n">
        <v>27139</v>
      </c>
      <c r="R13" s="6" t="n">
        <v>1978</v>
      </c>
      <c r="S13" s="6" t="inlineStr">
        <is>
          <t>3.29:1</t>
        </is>
      </c>
      <c r="T13" s="6" t="inlineStr">
        <is>
          <t>— (not stated in package)</t>
        </is>
      </c>
      <c r="U13" s="9" t="n">
        <v>3309468</v>
      </c>
      <c r="V13" s="5" t="inlineStr">
        <is>
          <t>2025</t>
        </is>
      </c>
      <c r="W13" s="9" t="n">
        <v>2546900</v>
      </c>
      <c r="X13" s="6" t="inlineStr">
        <is>
          <t>CubeSmart (store #6731)</t>
        </is>
      </c>
      <c r="Y13" s="6" t="inlineStr">
        <is>
          <t>R0085571_1540_Altura_Blvd.pdf</t>
        </is>
      </c>
    </row>
    <row r="14">
      <c r="A14" s="6" t="inlineStr">
        <is>
          <t>R0086010</t>
        </is>
      </c>
      <c r="B14" s="6" t="inlineStr">
        <is>
          <t>R0086010</t>
        </is>
      </c>
      <c r="C14" s="6" t="inlineStr">
        <is>
          <t>0182132318001</t>
        </is>
      </c>
      <c r="D14" s="6" t="inlineStr">
        <is>
          <t>Aurora - 18th Avenue - CS - 6730</t>
        </is>
      </c>
      <c r="E14" s="6" t="inlineStr">
        <is>
          <t>15413 E 18th Ave</t>
        </is>
      </c>
      <c r="F14" s="6" t="inlineStr">
        <is>
          <t>Aurora</t>
        </is>
      </c>
      <c r="G14" s="5" t="inlineStr">
        <is>
          <t>CO</t>
        </is>
      </c>
      <c r="H14" s="6" t="inlineStr">
        <is>
          <t>80011</t>
        </is>
      </c>
      <c r="I14" s="6" t="inlineStr">
        <is>
          <t>Adams</t>
        </is>
      </c>
      <c r="J14" s="6" t="inlineStr">
        <is>
          <t>Winner Storage LLC / PTA USI No 730</t>
        </is>
      </c>
      <c r="K14" s="6" t="inlineStr">
        <is>
          <t>Winner Storage LLC/PTA USI No 730</t>
        </is>
      </c>
      <c r="L14" s="6" t="inlineStr">
        <is>
          <t>Self Storage</t>
        </is>
      </c>
      <c r="M14" s="6" t="inlineStr">
        <is>
          <t>Multi (478 storage units, MTM)</t>
        </is>
      </c>
      <c r="N14" s="8" t="n">
        <v>4.68</v>
      </c>
      <c r="O14" s="8" t="n">
        <v>203817</v>
      </c>
      <c r="P14" s="6" t="n"/>
      <c r="Q14" s="8" t="n">
        <v>57742</v>
      </c>
      <c r="R14" s="6" t="n">
        <v>1984</v>
      </c>
      <c r="S14" s="6" t="inlineStr">
        <is>
          <t>3.53:1 (calc)</t>
        </is>
      </c>
      <c r="T14" s="6" t="inlineStr">
        <is>
          <t>87% (Jun 2024); 87.3% of SF (Dec 2024)</t>
        </is>
      </c>
      <c r="U14" s="9" t="n">
        <v>8187500</v>
      </c>
      <c r="V14" s="5" t="inlineStr">
        <is>
          <t>2026 (petition Tax Yr 2025)</t>
        </is>
      </c>
      <c r="W14" s="9" t="n">
        <v>6610000</v>
      </c>
      <c r="X14" s="6" t="inlineStr">
        <is>
          <t>CubeSmart (store #6730)</t>
        </is>
      </c>
      <c r="Y14" s="6" t="inlineStr">
        <is>
          <t>R0086010_15413_E_18th_Avenue.pdf</t>
        </is>
      </c>
    </row>
    <row r="15">
      <c r="A15" s="6" t="inlineStr">
        <is>
          <t>R0040829</t>
        </is>
      </c>
      <c r="B15" s="6" t="inlineStr">
        <is>
          <t>R0040829</t>
        </is>
      </c>
      <c r="C15" s="6" t="inlineStr">
        <is>
          <t>0171914201013</t>
        </is>
      </c>
      <c r="D15" s="6" t="inlineStr">
        <is>
          <t>Thornton (TH) - Dahn - 21548 (Mini U Storage)</t>
        </is>
      </c>
      <c r="E15" s="6" t="inlineStr">
        <is>
          <t>10350 Washington St</t>
        </is>
      </c>
      <c r="F15" s="6" t="inlineStr">
        <is>
          <t>Thornton</t>
        </is>
      </c>
      <c r="G15" s="5" t="inlineStr">
        <is>
          <t>CO</t>
        </is>
      </c>
      <c r="H15" s="6" t="inlineStr">
        <is>
          <t>80229</t>
        </is>
      </c>
      <c r="I15" s="6" t="inlineStr">
        <is>
          <t>Adams</t>
        </is>
      </c>
      <c r="J15" s="6" t="inlineStr">
        <is>
          <t>DSI Special Situations Fund B</t>
        </is>
      </c>
      <c r="K15" s="6" t="inlineStr">
        <is>
          <t>DSI Special Situations Fund B</t>
        </is>
      </c>
      <c r="L15" s="6" t="inlineStr">
        <is>
          <t>Self Storage</t>
        </is>
      </c>
      <c r="M15" s="6" t="inlineStr">
        <is>
          <t>Multi (471 storage units, MTM)</t>
        </is>
      </c>
      <c r="N15" s="8" t="n">
        <v>2.92</v>
      </c>
      <c r="O15" s="8" t="n">
        <v>127395</v>
      </c>
      <c r="P15" s="6" t="n"/>
      <c r="Q15" s="8" t="n">
        <v>48250</v>
      </c>
      <c r="R15" s="6" t="n">
        <v>1985</v>
      </c>
      <c r="S15" s="6" t="inlineStr">
        <is>
          <t>2.64:1 (calc)</t>
        </is>
      </c>
      <c r="T15" s="6" t="inlineStr">
        <is>
          <t>84% (Jun 2024); 83.9% of SF (Dec 2024)</t>
        </is>
      </c>
      <c r="U15" s="9" t="n">
        <v>5428808</v>
      </c>
      <c r="V15" s="5" t="inlineStr">
        <is>
          <t>2025/2026 (LOV 6/30/2024)</t>
        </is>
      </c>
      <c r="W15" s="9" t="n">
        <v>4510000</v>
      </c>
      <c r="X15" s="6" t="inlineStr">
        <is>
          <t>Dahn Corporation (Mini U Storage)</t>
        </is>
      </c>
      <c r="Y15" s="6" t="inlineStr">
        <is>
          <t>R0040829_self_storage.pdf</t>
        </is>
      </c>
    </row>
    <row r="16">
      <c r="A16" s="6" t="inlineStr">
        <is>
          <t>R0091907</t>
        </is>
      </c>
      <c r="B16" s="6" t="inlineStr">
        <is>
          <t>R0091907</t>
        </is>
      </c>
      <c r="C16" s="6" t="inlineStr">
        <is>
          <t>0182308302003</t>
        </is>
      </c>
      <c r="D16" s="6" t="inlineStr">
        <is>
          <t>5720 Holly St</t>
        </is>
      </c>
      <c r="E16" s="6" t="inlineStr">
        <is>
          <t>5720 Holly St</t>
        </is>
      </c>
      <c r="F16" s="6" t="inlineStr">
        <is>
          <t>Commerce City</t>
        </is>
      </c>
      <c r="G16" s="5" t="inlineStr">
        <is>
          <t>CO</t>
        </is>
      </c>
      <c r="H16" s="6" t="inlineStr">
        <is>
          <t>80022</t>
        </is>
      </c>
      <c r="I16" s="6" t="inlineStr">
        <is>
          <t>Adams</t>
        </is>
      </c>
      <c r="J16" s="6" t="inlineStr">
        <is>
          <t>SS Land Holdings 3 Holly LLC</t>
        </is>
      </c>
      <c r="K16" s="6" t="inlineStr">
        <is>
          <t>SS Land Holdings 3 Holly LLC</t>
        </is>
      </c>
      <c r="L16" s="6" t="inlineStr">
        <is>
          <t>Industrial - Warehouse</t>
        </is>
      </c>
      <c r="M16" s="6" t="inlineStr">
        <is>
          <t>Multi-tenant (4 tenants / 7 units)</t>
        </is>
      </c>
      <c r="N16" s="8" t="n">
        <v>2.93</v>
      </c>
      <c r="O16" s="8" t="n">
        <v>127651</v>
      </c>
      <c r="P16" s="6" t="n">
        <v>54300</v>
      </c>
      <c r="Q16" s="8" t="n">
        <v>54300</v>
      </c>
      <c r="R16" s="6" t="n">
        <v>1984</v>
      </c>
      <c r="S16" s="6" t="inlineStr">
        <is>
          <t>2.35:1</t>
        </is>
      </c>
      <c r="T16" s="6" t="inlineStr">
        <is>
          <t>100% of SF (5 of 7 units; grid states 0% vacancy)</t>
        </is>
      </c>
      <c r="U16" s="9" t="n">
        <v>6896593</v>
      </c>
      <c r="V16" s="5" t="inlineStr">
        <is>
          <t>2025</t>
        </is>
      </c>
      <c r="W16" s="9" t="n">
        <v>6113000</v>
      </c>
      <c r="X16" s="6" t="inlineStr">
        <is>
          <t>Agent: 1st Net Real Estate Services</t>
        </is>
      </c>
      <c r="Y16" s="6" t="inlineStr">
        <is>
          <t>R0091907.pdf</t>
        </is>
      </c>
    </row>
    <row r="17">
      <c r="A17" s="6" t="inlineStr">
        <is>
          <t>R0091909</t>
        </is>
      </c>
      <c r="B17" s="6" t="inlineStr">
        <is>
          <t>R0091909</t>
        </is>
      </c>
      <c r="C17" s="6" t="inlineStr">
        <is>
          <t>R0091909</t>
        </is>
      </c>
      <c r="D17" s="6" t="inlineStr">
        <is>
          <t>Park Industrial 6125</t>
        </is>
      </c>
      <c r="E17" s="6" t="inlineStr">
        <is>
          <t>6125 E. 56th Ave</t>
        </is>
      </c>
      <c r="F17" s="6" t="inlineStr">
        <is>
          <t>Commerce City</t>
        </is>
      </c>
      <c r="G17" s="5" t="inlineStr">
        <is>
          <t>CO</t>
        </is>
      </c>
      <c r="H17" s="6" t="inlineStr">
        <is>
          <t>80022</t>
        </is>
      </c>
      <c r="I17" s="6" t="inlineStr">
        <is>
          <t>Adams</t>
        </is>
      </c>
      <c r="J17" s="6" t="inlineStr">
        <is>
          <t>Park Industrial (Sterling client)</t>
        </is>
      </c>
      <c r="K17" s="6" t="inlineStr">
        <is>
          <t>—</t>
        </is>
      </c>
      <c r="L17" s="6" t="inlineStr">
        <is>
          <t>Industrial / Flex (multi-tenant)</t>
        </is>
      </c>
      <c r="M17" s="6" t="inlineStr">
        <is>
          <t>Multi-tenant (4 leased + 1 vacant)</t>
        </is>
      </c>
      <c r="N17" s="8" t="n">
        <v>2.07</v>
      </c>
      <c r="O17" s="8" t="n">
        <v>90169</v>
      </c>
      <c r="P17" s="6" t="n"/>
      <c r="Q17" s="8" t="n">
        <v>40000</v>
      </c>
      <c r="R17" s="6" t="n">
        <v>1986</v>
      </c>
      <c r="S17" s="6" t="inlineStr">
        <is>
          <t>2.25:1</t>
        </is>
      </c>
      <c r="T17" s="6" t="inlineStr">
        <is>
          <t>87% (13% vacant at 6/30/2024)</t>
        </is>
      </c>
      <c r="U17" s="9" t="n">
        <v>6018844</v>
      </c>
      <c r="V17" s="5" t="inlineStr">
        <is>
          <t>2025</t>
        </is>
      </c>
      <c r="W17" s="9" t="n">
        <v>3975000</v>
      </c>
      <c r="X17" s="6" t="inlineStr">
        <is>
          <t>Agent: Sterling Property Tax Specialists</t>
        </is>
      </c>
      <c r="Y17" s="6" t="inlineStr">
        <is>
          <t>R0091909.pdf</t>
        </is>
      </c>
    </row>
    <row r="18">
      <c r="A18" s="6" t="inlineStr">
        <is>
          <t>R0091912</t>
        </is>
      </c>
      <c r="B18" s="6" t="inlineStr">
        <is>
          <t>R0091912</t>
        </is>
      </c>
      <c r="C18" s="6" t="inlineStr">
        <is>
          <t>—</t>
        </is>
      </c>
      <c r="D18" s="6" t="inlineStr">
        <is>
          <t>Metal Mart (Hillenmark)</t>
        </is>
      </c>
      <c r="E18" s="6" t="inlineStr">
        <is>
          <t>6475 E. 56th Ave (56th Ave @ Monaco St)</t>
        </is>
      </c>
      <c r="F18" s="6" t="inlineStr">
        <is>
          <t>Commerce City</t>
        </is>
      </c>
      <c r="G18" s="5" t="inlineStr">
        <is>
          <t>CO</t>
        </is>
      </c>
      <c r="H18" s="6" t="inlineStr">
        <is>
          <t>80022</t>
        </is>
      </c>
      <c r="I18" s="6" t="inlineStr">
        <is>
          <t>Adams</t>
        </is>
      </c>
      <c r="J18" s="6" t="inlineStr">
        <is>
          <t>Hillenmark LLC</t>
        </is>
      </c>
      <c r="K18" s="6" t="inlineStr">
        <is>
          <t>Hillenmark LLC</t>
        </is>
      </c>
      <c r="L18" s="6" t="inlineStr">
        <is>
          <t>Industrial - retail/wholesale roofing distribution</t>
        </is>
      </c>
      <c r="M18" s="6" t="inlineStr">
        <is>
          <t>Single-tenant (McElroy Metal Mill Inc. dba Metal Mart)</t>
        </is>
      </c>
      <c r="N18" s="8" t="n">
        <v>2</v>
      </c>
      <c r="O18" s="8" t="n"/>
      <c r="P18" s="6" t="n"/>
      <c r="Q18" s="8" t="n">
        <v>12540</v>
      </c>
      <c r="R18" s="6" t="n"/>
      <c r="S18" s="6" t="n"/>
      <c r="T18" s="6" t="inlineStr">
        <is>
          <t>100% (single tenant since 2/1/2017)</t>
        </is>
      </c>
      <c r="U18" s="9" t="n"/>
      <c r="V18" s="5" t="inlineStr">
        <is>
          <t>TY2021-2024 (Form 8825)</t>
        </is>
      </c>
      <c r="W18" s="9" t="inlineStr">
        <is>
          <t>—</t>
        </is>
      </c>
      <c r="X18" s="6" t="inlineStr">
        <is>
          <t>Lessor self-managed (7600 Dahlia St, Commerce City)</t>
        </is>
      </c>
      <c r="Y18" s="6" t="inlineStr">
        <is>
          <t>R0091912.pdf</t>
        </is>
      </c>
    </row>
    <row r="19">
      <c r="A19" s="6" t="inlineStr">
        <is>
          <t>R0091931</t>
        </is>
      </c>
      <c r="B19" s="6" t="inlineStr">
        <is>
          <t>R0091931</t>
        </is>
      </c>
      <c r="C19" s="6" t="inlineStr">
        <is>
          <t>R0091931</t>
        </is>
      </c>
      <c r="D19" s="6" t="inlineStr">
        <is>
          <t>Park Industrial 6300/6340/6360</t>
        </is>
      </c>
      <c r="E19" s="6" t="inlineStr">
        <is>
          <t>6300 E. 58th Ave</t>
        </is>
      </c>
      <c r="F19" s="6" t="inlineStr">
        <is>
          <t>Commerce City</t>
        </is>
      </c>
      <c r="G19" s="5" t="inlineStr">
        <is>
          <t>CO</t>
        </is>
      </c>
      <c r="H19" s="6" t="inlineStr">
        <is>
          <t>80022</t>
        </is>
      </c>
      <c r="I19" s="6" t="inlineStr">
        <is>
          <t>Adams</t>
        </is>
      </c>
      <c r="J19" s="6" t="inlineStr">
        <is>
          <t>Park Industrial (Sterling client)</t>
        </is>
      </c>
      <c r="K19" s="6" t="inlineStr">
        <is>
          <t>—</t>
        </is>
      </c>
      <c r="L19" s="6" t="inlineStr">
        <is>
          <t>Industrial / Flex (multi-tenant)</t>
        </is>
      </c>
      <c r="M19" s="6" t="inlineStr">
        <is>
          <t>Multi-tenant (13 leases)</t>
        </is>
      </c>
      <c r="N19" s="8" t="n">
        <v>6.17</v>
      </c>
      <c r="O19" s="8" t="n">
        <v>268765</v>
      </c>
      <c r="P19" s="6" t="n"/>
      <c r="Q19" s="8" t="n">
        <v>90000</v>
      </c>
      <c r="R19" s="6" t="inlineStr">
        <is>
          <t>1999-2001</t>
        </is>
      </c>
      <c r="S19" s="6" t="inlineStr">
        <is>
          <t>2.99:1</t>
        </is>
      </c>
      <c r="T19" s="6" t="inlineStr">
        <is>
          <t>100% occupied at 6/30/2024 (stabilized)</t>
        </is>
      </c>
      <c r="U19" s="9" t="n">
        <v>11719385</v>
      </c>
      <c r="V19" s="5" t="inlineStr">
        <is>
          <t>2025</t>
        </is>
      </c>
      <c r="W19" s="9" t="n">
        <v>9450000</v>
      </c>
      <c r="X19" s="6" t="inlineStr">
        <is>
          <t>Agent: Sterling Property Tax Specialists</t>
        </is>
      </c>
      <c r="Y19" s="6" t="inlineStr">
        <is>
          <t>R0091931.pdf</t>
        </is>
      </c>
    </row>
    <row r="20">
      <c r="A20" s="6" t="inlineStr">
        <is>
          <t>R0091933</t>
        </is>
      </c>
      <c r="B20" s="6" t="inlineStr">
        <is>
          <t>R0091933</t>
        </is>
      </c>
      <c r="C20" s="6" t="inlineStr">
        <is>
          <t>R0091933</t>
        </is>
      </c>
      <c r="D20" s="6" t="inlineStr">
        <is>
          <t>Park Industrial 5800</t>
        </is>
      </c>
      <c r="E20" s="6" t="inlineStr">
        <is>
          <t>5800 E. 58th Ave</t>
        </is>
      </c>
      <c r="F20" s="6" t="inlineStr">
        <is>
          <t>Commerce City</t>
        </is>
      </c>
      <c r="G20" s="5" t="inlineStr">
        <is>
          <t>CO</t>
        </is>
      </c>
      <c r="H20" s="6" t="inlineStr">
        <is>
          <t>80022</t>
        </is>
      </c>
      <c r="I20" s="6" t="inlineStr">
        <is>
          <t>Adams</t>
        </is>
      </c>
      <c r="J20" s="6" t="inlineStr">
        <is>
          <t>Park Industrial (Sterling client)</t>
        </is>
      </c>
      <c r="K20" s="6" t="inlineStr">
        <is>
          <t>—</t>
        </is>
      </c>
      <c r="L20" s="6" t="inlineStr">
        <is>
          <t>Industrial / Flex (multi-tenant)</t>
        </is>
      </c>
      <c r="M20" s="6" t="inlineStr">
        <is>
          <t>Multi-tenant (3 leased + 1 vacant)</t>
        </is>
      </c>
      <c r="N20" s="8" t="n">
        <v>1.55</v>
      </c>
      <c r="O20" s="8" t="n">
        <v>67518</v>
      </c>
      <c r="P20" s="6" t="n"/>
      <c r="Q20" s="8" t="n">
        <v>28500</v>
      </c>
      <c r="R20" s="6" t="n">
        <v>1996</v>
      </c>
      <c r="S20" s="6" t="inlineStr">
        <is>
          <t>2.37:1</t>
        </is>
      </c>
      <c r="T20" s="6" t="inlineStr">
        <is>
          <t>91% (9% vacant; 26,500 of 29,000 SF per rent roll)</t>
        </is>
      </c>
      <c r="U20" s="9" t="n">
        <v>4645796</v>
      </c>
      <c r="V20" s="5" t="inlineStr">
        <is>
          <t>2025</t>
        </is>
      </c>
      <c r="W20" s="9" t="n">
        <v>3210000</v>
      </c>
      <c r="X20" s="6" t="inlineStr">
        <is>
          <t>Agent: Sterling Property Tax Specialists</t>
        </is>
      </c>
      <c r="Y20" s="6" t="inlineStr">
        <is>
          <t>R0091933.pdf</t>
        </is>
      </c>
    </row>
    <row r="21">
      <c r="A21" s="6" t="inlineStr">
        <is>
          <t>R0091934</t>
        </is>
      </c>
      <c r="B21" s="6" t="inlineStr">
        <is>
          <t>R0091934</t>
        </is>
      </c>
      <c r="C21" s="6" t="inlineStr">
        <is>
          <t>R0091934</t>
        </is>
      </c>
      <c r="D21" s="6" t="inlineStr">
        <is>
          <t>Park Industrial 5750</t>
        </is>
      </c>
      <c r="E21" s="6" t="inlineStr">
        <is>
          <t>5750 E. 58th Ave</t>
        </is>
      </c>
      <c r="F21" s="6" t="inlineStr">
        <is>
          <t>Commerce City</t>
        </is>
      </c>
      <c r="G21" s="5" t="inlineStr">
        <is>
          <t>CO</t>
        </is>
      </c>
      <c r="H21" s="6" t="inlineStr">
        <is>
          <t>80022</t>
        </is>
      </c>
      <c r="I21" s="6" t="inlineStr">
        <is>
          <t>Adams</t>
        </is>
      </c>
      <c r="J21" s="6" t="inlineStr">
        <is>
          <t>Park Industrial (Sterling client)</t>
        </is>
      </c>
      <c r="K21" s="6" t="inlineStr">
        <is>
          <t>—</t>
        </is>
      </c>
      <c r="L21" s="6" t="inlineStr">
        <is>
          <t>Industrial / Flex (multi-tenant)</t>
        </is>
      </c>
      <c r="M21" s="6" t="inlineStr">
        <is>
          <t>Multi-tenant</t>
        </is>
      </c>
      <c r="N21" s="8" t="n">
        <v>1.55</v>
      </c>
      <c r="O21" s="8" t="n">
        <v>67518</v>
      </c>
      <c r="P21" s="6" t="n"/>
      <c r="Q21" s="8" t="n">
        <v>32600</v>
      </c>
      <c r="R21" s="6" t="n">
        <v>1995</v>
      </c>
      <c r="S21" s="6" t="inlineStr">
        <is>
          <t>2.07:1</t>
        </is>
      </c>
      <c r="T21" s="6" t="inlineStr">
        <is>
          <t>100% occupied at 6/30/2024 (letter: not at stabilized occupancy)</t>
        </is>
      </c>
      <c r="U21" s="9" t="n">
        <v>4905358</v>
      </c>
      <c r="V21" s="5" t="inlineStr">
        <is>
          <t>2025</t>
        </is>
      </c>
      <c r="W21" s="9" t="n">
        <v>3710000</v>
      </c>
      <c r="X21" s="6" t="inlineStr">
        <is>
          <t>Agent: Sterling Property Tax Specialists</t>
        </is>
      </c>
      <c r="Y21" s="6" t="inlineStr">
        <is>
          <t>R0091934.pdf</t>
        </is>
      </c>
    </row>
    <row r="22">
      <c r="A22" s="6" t="inlineStr">
        <is>
          <t>R0092711</t>
        </is>
      </c>
      <c r="B22" s="6" t="inlineStr">
        <is>
          <t>R0092711 (+ R0181935)</t>
        </is>
      </c>
      <c r="C22" s="6" t="inlineStr">
        <is>
          <t>R0092711</t>
        </is>
      </c>
      <c r="D22" s="6" t="inlineStr">
        <is>
          <t>WPC 50th LLC</t>
        </is>
      </c>
      <c r="E22" s="6" t="inlineStr">
        <is>
          <t>6701 E. 50th Ave</t>
        </is>
      </c>
      <c r="F22" s="6" t="inlineStr">
        <is>
          <t>Commerce City</t>
        </is>
      </c>
      <c r="G22" s="5" t="inlineStr">
        <is>
          <t>CO</t>
        </is>
      </c>
      <c r="H22" s="6" t="inlineStr">
        <is>
          <t>80022</t>
        </is>
      </c>
      <c r="I22" s="6" t="inlineStr">
        <is>
          <t>Adams</t>
        </is>
      </c>
      <c r="J22" s="6" t="inlineStr">
        <is>
          <t>WPC 50th LLC (Watumull Properties Corp.)</t>
        </is>
      </c>
      <c r="K22" s="6" t="inlineStr">
        <is>
          <t>WPC 50th LLC</t>
        </is>
      </c>
      <c r="L22" s="6" t="inlineStr">
        <is>
          <t>Industrial - Warehouse (multi-tenant)</t>
        </is>
      </c>
      <c r="M22" s="6" t="inlineStr">
        <is>
          <t>Multi-tenant (10 leases + vacant yard)</t>
        </is>
      </c>
      <c r="N22" s="8" t="n">
        <v>4.26</v>
      </c>
      <c r="O22" s="8" t="n">
        <v>185565</v>
      </c>
      <c r="P22" s="6" t="n"/>
      <c r="Q22" s="8" t="n">
        <v>93199</v>
      </c>
      <c r="R22" s="6" t="n">
        <v>1979</v>
      </c>
      <c r="S22" s="6" t="inlineStr">
        <is>
          <t>1.99:1</t>
        </is>
      </c>
      <c r="T22" s="6" t="inlineStr">
        <is>
          <t>100% of SF per 12/2024 rent roll (market grid states 14% vacancy)</t>
        </is>
      </c>
      <c r="U22" s="9" t="n">
        <v>11783901</v>
      </c>
      <c r="V22" s="5" t="inlineStr">
        <is>
          <t>2025</t>
        </is>
      </c>
      <c r="W22" s="9" t="n">
        <v>10000000</v>
      </c>
      <c r="X22" s="6" t="inlineStr">
        <is>
          <t>Colliers International (rent roll) / 1st Net (agent)</t>
        </is>
      </c>
      <c r="Y22" s="6" t="inlineStr">
        <is>
          <t>R0092711.pdf</t>
        </is>
      </c>
    </row>
    <row r="23">
      <c r="A23" s="6" t="inlineStr">
        <is>
          <t>R0092720</t>
        </is>
      </c>
      <c r="B23" s="6" t="inlineStr">
        <is>
          <t>R0092720</t>
        </is>
      </c>
      <c r="C23" s="6" t="inlineStr">
        <is>
          <t>R0092720</t>
        </is>
      </c>
      <c r="D23" s="6" t="inlineStr">
        <is>
          <t>4950 Olive Street</t>
        </is>
      </c>
      <c r="E23" s="6" t="inlineStr">
        <is>
          <t>4950 Olive St</t>
        </is>
      </c>
      <c r="F23" s="6" t="inlineStr">
        <is>
          <t>Commerce City</t>
        </is>
      </c>
      <c r="G23" s="5" t="inlineStr">
        <is>
          <t>CO</t>
        </is>
      </c>
      <c r="H23" s="6" t="inlineStr">
        <is>
          <t>80022</t>
        </is>
      </c>
      <c r="I23" s="6" t="inlineStr">
        <is>
          <t>Adams</t>
        </is>
      </c>
      <c r="J23" s="6" t="inlineStr">
        <is>
          <t>Peoria Way Associates LLC</t>
        </is>
      </c>
      <c r="K23" s="6" t="inlineStr">
        <is>
          <t>Peoria Way Associates LLC / First California Investments (BAA docket)</t>
        </is>
      </c>
      <c r="L23" s="6" t="inlineStr">
        <is>
          <t>Commercial</t>
        </is>
      </c>
      <c r="M23" s="6" t="inlineStr">
        <is>
          <t>—</t>
        </is>
      </c>
      <c r="N23" s="8" t="n"/>
      <c r="O23" s="8" t="n"/>
      <c r="P23" s="6" t="n"/>
      <c r="Q23" s="8" t="n"/>
      <c r="R23" s="6" t="n"/>
      <c r="S23" s="6" t="n"/>
      <c r="T23" s="6" t="inlineStr">
        <is>
          <t>—</t>
        </is>
      </c>
      <c r="U23" s="9" t="n">
        <v>1812965</v>
      </c>
      <c r="V23" s="5" t="inlineStr">
        <is>
          <t>2026 (BAA order TY2025)</t>
        </is>
      </c>
      <c r="W23" s="9" t="n">
        <v>1290000</v>
      </c>
      <c r="X23" s="6" t="inlineStr">
        <is>
          <t>Agent: 1st Net Real Estate Services</t>
        </is>
      </c>
      <c r="Y23" s="6" t="inlineStr">
        <is>
          <t>R0092720.pdf</t>
        </is>
      </c>
    </row>
    <row r="24">
      <c r="A24" s="6" t="inlineStr">
        <is>
          <t>R0098149</t>
        </is>
      </c>
      <c r="B24" s="6" t="inlineStr">
        <is>
          <t>R0098149</t>
        </is>
      </c>
      <c r="C24" s="6" t="inlineStr">
        <is>
          <t>0182502308019</t>
        </is>
      </c>
      <c r="D24" s="6" t="inlineStr">
        <is>
          <t>6475 Franklin Street</t>
        </is>
      </c>
      <c r="E24" s="6" t="inlineStr">
        <is>
          <t>6475 Franklin St</t>
        </is>
      </c>
      <c r="F24" s="6" t="inlineStr">
        <is>
          <t>—</t>
        </is>
      </c>
      <c r="G24" s="5" t="inlineStr">
        <is>
          <t>CO</t>
        </is>
      </c>
      <c r="H24" s="6" t="inlineStr">
        <is>
          <t>—</t>
        </is>
      </c>
      <c r="I24" s="6" t="inlineStr">
        <is>
          <t>Adams</t>
        </is>
      </c>
      <c r="J24" s="6" t="inlineStr">
        <is>
          <t>KSTAR Investments LLC</t>
        </is>
      </c>
      <c r="K24" s="6" t="inlineStr">
        <is>
          <t>KSTAR Investments LLC</t>
        </is>
      </c>
      <c r="L24" s="6" t="inlineStr">
        <is>
          <t>Commercial office and warehouse</t>
        </is>
      </c>
      <c r="M24" s="6" t="inlineStr">
        <is>
          <t>Owner-occupied (100%)</t>
        </is>
      </c>
      <c r="N24" s="8" t="n"/>
      <c r="O24" s="8" t="n"/>
      <c r="P24" s="6" t="n"/>
      <c r="Q24" s="8" t="n">
        <v>30000</v>
      </c>
      <c r="R24" s="6" t="n"/>
      <c r="S24" s="6" t="n"/>
      <c r="T24" s="6" t="inlineStr">
        <is>
          <t>100% owner-occupied</t>
        </is>
      </c>
      <c r="U24" s="9" t="n"/>
      <c r="V24" s="5" t="inlineStr">
        <is>
          <t>2025 reappraisal (CY2023 data)</t>
        </is>
      </c>
      <c r="W24" s="9" t="inlineStr">
        <is>
          <t>—</t>
        </is>
      </c>
      <c r="X24" s="6" t="inlineStr">
        <is>
          <t>Owner contact: Mike Kienbusch</t>
        </is>
      </c>
      <c r="Y24" s="6" t="inlineStr">
        <is>
          <t>R0098149.pdf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7"/>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tax-appeal proforma assumptions, and self-storage occupancy/unit-mix snapshots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10" t="inlineStr">
        <is>
          <t>Self-storage facilities — occupancy &amp; unit-mix snapshots as of 12/31/2024 (month-to-month unit rentals; no individual tenant leases)</t>
        </is>
      </c>
      <c r="B27" s="20" t="n"/>
      <c r="C27" s="20" t="n"/>
      <c r="D27" s="20" t="n"/>
      <c r="E27" s="20" t="n"/>
      <c r="F27" s="20" t="n"/>
      <c r="G27" s="20" t="n"/>
      <c r="H27" s="20" t="n"/>
      <c r="I27" s="20" t="n"/>
      <c r="J27" s="20" t="n"/>
      <c r="K27" s="20" t="n"/>
      <c r="L27" s="20" t="n"/>
      <c r="M27" s="21" t="n"/>
    </row>
    <row r="28">
      <c r="A28" s="6" t="inlineStr">
        <is>
          <t>1540 Altura Blvd</t>
        </is>
      </c>
      <c r="B28" s="6" t="inlineStr">
        <is>
          <t>27,139 SF NLA</t>
        </is>
      </c>
      <c r="C28" s="6" t="inlineStr">
        <is>
          <t>Self-storage customers (CubeSmart #6731)</t>
        </is>
      </c>
      <c r="D28" s="6" t="inlineStr">
        <is>
          <t>Storage MTM</t>
        </is>
      </c>
      <c r="E28" s="9" t="n"/>
      <c r="F28" s="6" t="n"/>
      <c r="G28" s="6" t="n"/>
      <c r="H28" s="5" t="n"/>
      <c r="I28" s="5" t="n"/>
      <c r="J28" s="5" t="n"/>
      <c r="K28" s="9" t="n"/>
      <c r="L28" s="6" t="n"/>
      <c r="M28" s="6" t="inlineStr">
        <is>
          <t>No unit-level report in package; FY2024 net rental income $383,166 (see Income-Expense Detail)</t>
        </is>
      </c>
    </row>
    <row r="29">
      <c r="A29" s="6" t="inlineStr">
        <is>
          <t>15413 E 18th Ave</t>
        </is>
      </c>
      <c r="B29" s="6" t="inlineStr">
        <is>
          <t>478 units / 57,742 SF</t>
        </is>
      </c>
      <c r="C29" s="6" t="inlineStr">
        <is>
          <t>Self-storage customers (CubeSmart #6730)</t>
        </is>
      </c>
      <c r="D29" s="6" t="inlineStr">
        <is>
          <t>Storage MTM</t>
        </is>
      </c>
      <c r="E29" s="9" t="n">
        <v>62425.7</v>
      </c>
      <c r="F29" s="6" t="n"/>
      <c r="G29" s="6" t="n"/>
      <c r="H29" s="5" t="n"/>
      <c r="I29" s="5" t="n"/>
      <c r="J29" s="5" t="n"/>
      <c r="K29" s="9" t="n"/>
      <c r="L29" s="6" t="n"/>
      <c r="M29" s="6" t="inlineStr">
        <is>
          <t>storEDGE Consolidated Occupancy 12/31/2024: 395 occupied / 72 vacant / 6 reserved / 5 unrentable; 50,433 SF occupied (87.3% of SF; 82.6% of units); scheduled std rent $54,314/mo; occupied actual $62,425.70/mo ($1.24/SF/mo). Per-size detail in source PDF.</t>
        </is>
      </c>
    </row>
    <row r="30">
      <c r="A30" s="6" t="inlineStr">
        <is>
          <t>10350 Washington St</t>
        </is>
      </c>
      <c r="B30" s="6" t="inlineStr">
        <is>
          <t>471 units / 48,250 SF</t>
        </is>
      </c>
      <c r="C30" s="6" t="inlineStr">
        <is>
          <t>Self-storage customers (Mini U Storage)</t>
        </is>
      </c>
      <c r="D30" s="6" t="inlineStr">
        <is>
          <t>Storage MTM</t>
        </is>
      </c>
      <c r="E30" s="9" t="n"/>
      <c r="F30" s="6" t="n"/>
      <c r="G30" s="6" t="n"/>
      <c r="H30" s="5" t="n"/>
      <c r="I30" s="5" t="n"/>
      <c r="J30" s="5" t="n"/>
      <c r="K30" s="9" t="n"/>
      <c r="L30" s="6" t="n"/>
      <c r="M30" s="6" t="inlineStr">
        <is>
          <t>SiteLink Rental Activity 12/31/2024 (drive-up units): 395 rented / 76 vacant; 41,130 SF rented (83.9% of SF); gross potential $65,937/mo; rented avg $1.53/SF/mo. Unit-mix below.</t>
        </is>
      </c>
    </row>
    <row r="31">
      <c r="A31" s="6" t="inlineStr">
        <is>
          <t>10350 Washington St</t>
        </is>
      </c>
      <c r="B31" s="6" t="inlineStr">
        <is>
          <t>5x5 (25 SF)</t>
        </is>
      </c>
      <c r="C31" s="6" t="inlineStr">
        <is>
          <t>30 units / 18 rented</t>
        </is>
      </c>
      <c r="D31" s="6" t="inlineStr">
        <is>
          <t>Storage MTM</t>
        </is>
      </c>
      <c r="E31" s="9" t="n">
        <v>1950</v>
      </c>
      <c r="F31" s="6" t="n"/>
      <c r="G31" s="6" t="n"/>
      <c r="H31" s="5" t="n"/>
      <c r="I31" s="5" t="n"/>
      <c r="J31" s="5" t="n"/>
      <c r="K31" s="9" t="n"/>
      <c r="L31" s="6" t="n"/>
      <c r="M31" s="6" t="inlineStr">
        <is>
          <t>Std rate $65/unit/mo; 450 SF rented of 750 SF</t>
        </is>
      </c>
    </row>
    <row r="32">
      <c r="A32" s="6" t="inlineStr">
        <is>
          <t>10350 Washington St</t>
        </is>
      </c>
      <c r="B32" s="6" t="inlineStr">
        <is>
          <t>5x10 (50 SF)</t>
        </is>
      </c>
      <c r="C32" s="6" t="inlineStr">
        <is>
          <t>137 units / 120 rented</t>
        </is>
      </c>
      <c r="D32" s="6" t="inlineStr">
        <is>
          <t>Storage MTM</t>
        </is>
      </c>
      <c r="E32" s="9" t="n">
        <v>11645</v>
      </c>
      <c r="F32" s="6" t="n"/>
      <c r="G32" s="6" t="n"/>
      <c r="H32" s="5" t="n"/>
      <c r="I32" s="5" t="n"/>
      <c r="J32" s="5" t="n"/>
      <c r="K32" s="9" t="n"/>
      <c r="L32" s="6" t="n"/>
      <c r="M32" s="6" t="inlineStr">
        <is>
          <t>Std rate $85/unit/mo; 6,000 SF rented of 6,850 SF</t>
        </is>
      </c>
    </row>
    <row r="33">
      <c r="A33" s="6" t="inlineStr">
        <is>
          <t>10350 Washington St</t>
        </is>
      </c>
      <c r="B33" s="6" t="inlineStr">
        <is>
          <t>7x10 (70 SF)</t>
        </is>
      </c>
      <c r="C33" s="6" t="inlineStr">
        <is>
          <t>58 units / 49 rented</t>
        </is>
      </c>
      <c r="D33" s="6" t="inlineStr">
        <is>
          <t>Storage MTM</t>
        </is>
      </c>
      <c r="E33" s="9" t="n">
        <v>6670</v>
      </c>
      <c r="F33" s="6" t="n"/>
      <c r="G33" s="6" t="n"/>
      <c r="H33" s="5" t="n"/>
      <c r="I33" s="5" t="n"/>
      <c r="J33" s="5" t="n"/>
      <c r="K33" s="9" t="n"/>
      <c r="L33" s="6" t="n"/>
      <c r="M33" s="6" t="inlineStr">
        <is>
          <t>Std rate $115/unit/mo; 3,430 SF rented of 4,060 SF</t>
        </is>
      </c>
    </row>
    <row r="34">
      <c r="A34" s="6" t="inlineStr">
        <is>
          <t>10350 Washington St</t>
        </is>
      </c>
      <c r="B34" s="6" t="inlineStr">
        <is>
          <t>5x15 (75 SF)</t>
        </is>
      </c>
      <c r="C34" s="6" t="inlineStr">
        <is>
          <t>30 units / 22 rented</t>
        </is>
      </c>
      <c r="D34" s="6" t="inlineStr">
        <is>
          <t>Storage MTM</t>
        </is>
      </c>
      <c r="E34" s="9" t="n">
        <v>3570</v>
      </c>
      <c r="F34" s="6" t="n"/>
      <c r="G34" s="6" t="n"/>
      <c r="H34" s="5" t="n"/>
      <c r="I34" s="5" t="n"/>
      <c r="J34" s="5" t="n"/>
      <c r="K34" s="9" t="n"/>
      <c r="L34" s="6" t="n"/>
      <c r="M34" s="6" t="inlineStr">
        <is>
          <t>Std rate $119/unit/mo; 1,650 SF rented of 2,250 SF</t>
        </is>
      </c>
    </row>
    <row r="35">
      <c r="A35" s="6" t="inlineStr">
        <is>
          <t>10350 Washington St</t>
        </is>
      </c>
      <c r="B35" s="6" t="inlineStr">
        <is>
          <t>10x10 (100 SF)</t>
        </is>
      </c>
      <c r="C35" s="6" t="inlineStr">
        <is>
          <t>76 units / 66 rented</t>
        </is>
      </c>
      <c r="D35" s="6" t="inlineStr">
        <is>
          <t>Storage MTM</t>
        </is>
      </c>
      <c r="E35" s="9" t="n">
        <v>11324</v>
      </c>
      <c r="F35" s="6" t="n"/>
      <c r="G35" s="6" t="n"/>
      <c r="H35" s="5" t="n"/>
      <c r="I35" s="5" t="n"/>
      <c r="J35" s="5" t="n"/>
      <c r="K35" s="9" t="n"/>
      <c r="L35" s="6" t="n"/>
      <c r="M35" s="6" t="inlineStr">
        <is>
          <t>Std rate $149/unit/mo; 6,600 SF rented of 7,600 SF</t>
        </is>
      </c>
    </row>
    <row r="36">
      <c r="A36" s="6" t="inlineStr">
        <is>
          <t>10350 Washington St</t>
        </is>
      </c>
      <c r="B36" s="6" t="inlineStr">
        <is>
          <t>7x20 (140 SF)</t>
        </is>
      </c>
      <c r="C36" s="6" t="inlineStr">
        <is>
          <t>1 units / 0 rented</t>
        </is>
      </c>
      <c r="D36" s="6" t="inlineStr">
        <is>
          <t>Storage MTM</t>
        </is>
      </c>
      <c r="E36" s="9" t="n">
        <v>159</v>
      </c>
      <c r="F36" s="6" t="n"/>
      <c r="G36" s="6" t="n"/>
      <c r="H36" s="5" t="n"/>
      <c r="I36" s="5" t="n"/>
      <c r="J36" s="5" t="n"/>
      <c r="K36" s="9" t="n"/>
      <c r="L36" s="6" t="n"/>
      <c r="M36" s="6" t="inlineStr">
        <is>
          <t>Std rate $159/unit/mo; 0 SF rented of 140 SF</t>
        </is>
      </c>
    </row>
    <row r="37">
      <c r="A37" s="6" t="inlineStr">
        <is>
          <t>10350 Washington St</t>
        </is>
      </c>
      <c r="B37" s="6" t="inlineStr">
        <is>
          <t>10x15 (150 SF)</t>
        </is>
      </c>
      <c r="C37" s="6" t="inlineStr">
        <is>
          <t>68 units / 58 rented</t>
        </is>
      </c>
      <c r="D37" s="6" t="inlineStr">
        <is>
          <t>Storage MTM</t>
        </is>
      </c>
      <c r="E37" s="9" t="n">
        <v>11900</v>
      </c>
      <c r="F37" s="6" t="n"/>
      <c r="G37" s="6" t="n"/>
      <c r="H37" s="5" t="n"/>
      <c r="I37" s="5" t="n"/>
      <c r="J37" s="5" t="n"/>
      <c r="K37" s="9" t="n"/>
      <c r="L37" s="6" t="n"/>
      <c r="M37" s="6" t="inlineStr">
        <is>
          <t>Std rate $175/unit/mo; 8,700 SF rented of 10,200 SF</t>
        </is>
      </c>
    </row>
    <row r="38">
      <c r="A38" s="6" t="inlineStr">
        <is>
          <t>10350 Washington St</t>
        </is>
      </c>
      <c r="B38" s="6" t="inlineStr">
        <is>
          <t>10x20 (200 SF)</t>
        </is>
      </c>
      <c r="C38" s="6" t="inlineStr">
        <is>
          <t>47 units / 43 rented</t>
        </is>
      </c>
      <c r="D38" s="6" t="inlineStr">
        <is>
          <t>Storage MTM</t>
        </is>
      </c>
      <c r="E38" s="9" t="n">
        <v>11703</v>
      </c>
      <c r="F38" s="6" t="n"/>
      <c r="G38" s="6" t="n"/>
      <c r="H38" s="5" t="n"/>
      <c r="I38" s="5" t="n"/>
      <c r="J38" s="5" t="n"/>
      <c r="K38" s="9" t="n"/>
      <c r="L38" s="6" t="n"/>
      <c r="M38" s="6" t="inlineStr">
        <is>
          <t>Std rate $249/unit/mo; 8,600 SF rented of 9,400 SF</t>
        </is>
      </c>
    </row>
    <row r="39">
      <c r="A39" s="6" t="inlineStr">
        <is>
          <t>10350 Washington St</t>
        </is>
      </c>
      <c r="B39" s="6" t="inlineStr">
        <is>
          <t>20x10 (200 SF)</t>
        </is>
      </c>
      <c r="C39" s="6" t="inlineStr">
        <is>
          <t>5 units / 3 rented</t>
        </is>
      </c>
      <c r="D39" s="6" t="inlineStr">
        <is>
          <t>Storage MTM</t>
        </is>
      </c>
      <c r="E39" s="9" t="n">
        <v>1125</v>
      </c>
      <c r="F39" s="6" t="n"/>
      <c r="G39" s="6" t="n"/>
      <c r="H39" s="5" t="n"/>
      <c r="I39" s="5" t="n"/>
      <c r="J39" s="5" t="n"/>
      <c r="K39" s="9" t="n"/>
      <c r="L39" s="6" t="n"/>
      <c r="M39" s="6" t="inlineStr">
        <is>
          <t>Std rate $225/unit/mo; 600 SF rented of 1,000 SF</t>
        </is>
      </c>
    </row>
    <row r="40">
      <c r="A40" s="6" t="inlineStr">
        <is>
          <t>10350 Washington St</t>
        </is>
      </c>
      <c r="B40" s="6" t="inlineStr">
        <is>
          <t>10x30 (300 SF)</t>
        </is>
      </c>
      <c r="C40" s="6" t="inlineStr">
        <is>
          <t>17 units / 15 rented</t>
        </is>
      </c>
      <c r="D40" s="6" t="inlineStr">
        <is>
          <t>Storage MTM</t>
        </is>
      </c>
      <c r="E40" s="9" t="n">
        <v>5083</v>
      </c>
      <c r="F40" s="6" t="n"/>
      <c r="G40" s="6" t="n"/>
      <c r="H40" s="5" t="n"/>
      <c r="I40" s="5" t="n"/>
      <c r="J40" s="5" t="n"/>
      <c r="K40" s="9" t="n"/>
      <c r="L40" s="6" t="n"/>
      <c r="M40" s="6" t="inlineStr">
        <is>
          <t>Std rate $299/unit/mo; 4,500 SF rented of 5,100 SF</t>
        </is>
      </c>
    </row>
    <row r="41">
      <c r="A41" s="6" t="inlineStr">
        <is>
          <t>10350 Washington St</t>
        </is>
      </c>
      <c r="B41" s="6" t="inlineStr">
        <is>
          <t>15x20 (300 SF)</t>
        </is>
      </c>
      <c r="C41" s="6" t="inlineStr">
        <is>
          <t>1 units / 0 rented</t>
        </is>
      </c>
      <c r="D41" s="6" t="inlineStr">
        <is>
          <t>Storage MTM</t>
        </is>
      </c>
      <c r="E41" s="9" t="n">
        <v>299</v>
      </c>
      <c r="F41" s="6" t="n"/>
      <c r="G41" s="6" t="n"/>
      <c r="H41" s="5" t="n"/>
      <c r="I41" s="5" t="n"/>
      <c r="J41" s="5" t="n"/>
      <c r="K41" s="9" t="n"/>
      <c r="L41" s="6" t="n"/>
      <c r="M41" s="6" t="inlineStr">
        <is>
          <t>Std rate $299/unit/mo; 0 SF rented of 300 SF</t>
        </is>
      </c>
    </row>
    <row r="42">
      <c r="A42" s="6" t="inlineStr">
        <is>
          <t>10350 Washington St</t>
        </is>
      </c>
      <c r="B42" s="6" t="inlineStr">
        <is>
          <t>20x30 (600 SF)</t>
        </is>
      </c>
      <c r="C42" s="6" t="inlineStr">
        <is>
          <t>1 units / 1 rented</t>
        </is>
      </c>
      <c r="D42" s="6" t="inlineStr">
        <is>
          <t>Storage MTM</t>
        </is>
      </c>
      <c r="E42" s="9" t="n">
        <v>509</v>
      </c>
      <c r="F42" s="6" t="n"/>
      <c r="G42" s="6" t="n"/>
      <c r="H42" s="5" t="n"/>
      <c r="I42" s="5" t="n"/>
      <c r="J42" s="5" t="n"/>
      <c r="K42" s="9" t="n"/>
      <c r="L42" s="6" t="n"/>
      <c r="M42" s="6" t="inlineStr">
        <is>
          <t>Std rate $509/unit/mo; 600 SF rented of 600 SF</t>
        </is>
      </c>
    </row>
    <row r="43">
      <c r="A43" s="11" t="inlineStr">
        <is>
          <t>10350 Washington St</t>
        </is>
      </c>
      <c r="B43" s="12" t="inlineStr">
        <is>
          <t>TOTALS</t>
        </is>
      </c>
      <c r="C43" s="12" t="inlineStr">
        <is>
          <t>471 units / 395 rented</t>
        </is>
      </c>
      <c r="D43" s="13" t="n"/>
      <c r="E43" s="14">
        <f>SUM(E31:E42)</f>
        <v/>
      </c>
      <c r="F43" s="14" t="n"/>
      <c r="G43" s="13" t="n"/>
      <c r="H43" s="13" t="n"/>
      <c r="I43" s="13" t="n"/>
      <c r="J43" s="13" t="n"/>
      <c r="K43" s="14" t="n"/>
      <c r="L43" s="13" t="n"/>
      <c r="M43" s="15" t="inlineStr">
        <is>
          <t>Gross scheduled (potential) monthly rent; printed total $65,937 (SiteLink Rental Activity 12/31/2024)</t>
        </is>
      </c>
    </row>
    <row r="45">
      <c r="A45" s="10" t="inlineStr">
        <is>
          <t>Commerce City industrial/flex portfolio — actual rent rolls (5720 Holly St 7/1/2024; Sterling appeals 6/30/2024; 6701 E. 50th Ave 12/2024)</t>
        </is>
      </c>
      <c r="B45" s="20" t="n"/>
      <c r="C45" s="20" t="n"/>
      <c r="D45" s="20" t="n"/>
      <c r="E45" s="20" t="n"/>
      <c r="F45" s="20" t="n"/>
      <c r="G45" s="20" t="n"/>
      <c r="H45" s="20" t="n"/>
      <c r="I45" s="20" t="n"/>
      <c r="J45" s="20" t="n"/>
      <c r="K45" s="20" t="n"/>
      <c r="L45" s="20" t="n"/>
      <c r="M45" s="21" t="n"/>
    </row>
    <row r="46">
      <c r="A46" s="6" t="inlineStr">
        <is>
          <t>5720 Holly St</t>
        </is>
      </c>
      <c r="B46" s="6" t="inlineStr">
        <is>
          <t>A</t>
        </is>
      </c>
      <c r="C46" s="6" t="inlineStr">
        <is>
          <t>Mallory Safety &amp; Supply</t>
        </is>
      </c>
      <c r="D46" s="6" t="inlineStr">
        <is>
          <t>NNN</t>
        </is>
      </c>
      <c r="E46" s="9" t="n">
        <v>17578.75</v>
      </c>
      <c r="F46" s="6" t="n">
        <v>210945</v>
      </c>
      <c r="G46" s="6" t="n">
        <v>8.970000000000001</v>
      </c>
      <c r="H46" s="5" t="inlineStr">
        <is>
          <t>9/1/2012</t>
        </is>
      </c>
      <c r="I46" s="5" t="inlineStr">
        <is>
          <t>8/31/2029</t>
        </is>
      </c>
      <c r="J46" s="5" t="inlineStr">
        <is>
          <t>204-mo term</t>
        </is>
      </c>
      <c r="K46" s="9" t="n">
        <v>7044.71</v>
      </c>
      <c r="L46" s="6" t="n">
        <v>15000</v>
      </c>
      <c r="M46" s="6" t="inlineStr">
        <is>
          <t>23,520 SF (43.31%); CAM $84,536.52/yr ($3.59/SF); rent start 12/7/2011</t>
        </is>
      </c>
    </row>
    <row r="47">
      <c r="A47" s="6" t="inlineStr">
        <is>
          <t>5720 Holly St</t>
        </is>
      </c>
      <c r="B47" s="6" t="inlineStr">
        <is>
          <t>B-E</t>
        </is>
      </c>
      <c r="C47" s="6" t="inlineStr">
        <is>
          <t>Suncor Energy</t>
        </is>
      </c>
      <c r="D47" s="6" t="inlineStr">
        <is>
          <t>NNN</t>
        </is>
      </c>
      <c r="E47" s="9" t="n">
        <v>12687.46</v>
      </c>
      <c r="F47" s="6" t="n">
        <v>152249.52</v>
      </c>
      <c r="G47" s="6" t="n">
        <v>9.529999999999999</v>
      </c>
      <c r="H47" s="5" t="inlineStr">
        <is>
          <t>8/15/2022</t>
        </is>
      </c>
      <c r="I47" s="5" t="inlineStr">
        <is>
          <t>9/14/2025</t>
        </is>
      </c>
      <c r="J47" s="5" t="inlineStr">
        <is>
          <t>37-mo term</t>
        </is>
      </c>
      <c r="K47" s="9" t="n">
        <v>4786.33</v>
      </c>
      <c r="L47" s="6" t="n"/>
      <c r="M47" s="6" t="inlineStr">
        <is>
          <t>15,980 SF (29.43%); CAM $57,435.96/yr ($3.59/SF); rent start 6/1/2024; units D &amp; E carried as vacant/0 SF on the Yardi roll; balance due $9,023.14</t>
        </is>
      </c>
    </row>
    <row r="48">
      <c r="A48" s="6" t="inlineStr">
        <is>
          <t>5720 Holly St</t>
        </is>
      </c>
      <c r="B48" s="6" t="inlineStr">
        <is>
          <t>F</t>
        </is>
      </c>
      <c r="C48" s="6" t="inlineStr">
        <is>
          <t>Colorado Wassall CO</t>
        </is>
      </c>
      <c r="D48" s="6" t="inlineStr">
        <is>
          <t>NNN</t>
        </is>
      </c>
      <c r="E48" s="9" t="n">
        <v>2730</v>
      </c>
      <c r="F48" s="6" t="n">
        <v>32760</v>
      </c>
      <c r="G48" s="6" t="n">
        <v>8.19</v>
      </c>
      <c r="H48" s="5" t="inlineStr">
        <is>
          <t>6/15/2021</t>
        </is>
      </c>
      <c r="I48" s="5" t="inlineStr">
        <is>
          <t>6/30/2029</t>
        </is>
      </c>
      <c r="J48" s="5" t="inlineStr">
        <is>
          <t>97-mo term</t>
        </is>
      </c>
      <c r="K48" s="9" t="n">
        <v>1198.08</v>
      </c>
      <c r="L48" s="6" t="n">
        <v>3387.39</v>
      </c>
      <c r="M48" s="6" t="inlineStr">
        <is>
          <t>4,000 SF (7.37%); CAM $14,376.96/yr ($3.59/SF); rent start 11/3/2011; balance due $2,083.35</t>
        </is>
      </c>
    </row>
    <row r="49">
      <c r="A49" s="6" t="inlineStr">
        <is>
          <t>5720 Holly St</t>
        </is>
      </c>
      <c r="B49" s="6" t="inlineStr">
        <is>
          <t>G</t>
        </is>
      </c>
      <c r="C49" s="6" t="inlineStr">
        <is>
          <t>Ginzel Enterprises</t>
        </is>
      </c>
      <c r="D49" s="6" t="inlineStr">
        <is>
          <t>NNN</t>
        </is>
      </c>
      <c r="E49" s="9" t="n">
        <v>7371</v>
      </c>
      <c r="F49" s="6" t="n">
        <v>88452</v>
      </c>
      <c r="G49" s="6" t="n">
        <v>8.19</v>
      </c>
      <c r="H49" s="5" t="inlineStr">
        <is>
          <t>10/1/2023</t>
        </is>
      </c>
      <c r="I49" s="5" t="inlineStr">
        <is>
          <t>6/30/2026</t>
        </is>
      </c>
      <c r="J49" s="5" t="inlineStr">
        <is>
          <t>38-mo term</t>
        </is>
      </c>
      <c r="K49" s="9" t="n">
        <v>3234.82</v>
      </c>
      <c r="L49" s="6" t="n">
        <v>9145.950000000001</v>
      </c>
      <c r="M49" s="6" t="inlineStr">
        <is>
          <t>10,800 SF (19.89%); CAM $38,817.84/yr ($3.59/SF); rent start 11/3/2011; owner summary shows lease end 11/30/2026 vs 6/30/2026 on the Yardi roll — both as printed; balance due $1,459.87</t>
        </is>
      </c>
    </row>
    <row r="50">
      <c r="A50" s="11" t="inlineStr">
        <is>
          <t>5720 Holly St</t>
        </is>
      </c>
      <c r="B50" s="12" t="inlineStr">
        <is>
          <t>TOTALS</t>
        </is>
      </c>
      <c r="C50" s="12" t="inlineStr">
        <is>
          <t>4 line(s)</t>
        </is>
      </c>
      <c r="D50" s="13" t="n"/>
      <c r="E50" s="14" t="n"/>
      <c r="F50" s="14">
        <f>SUM(F46:F49)</f>
        <v/>
      </c>
      <c r="G50" s="13" t="n"/>
      <c r="H50" s="13" t="n"/>
      <c r="I50" s="13" t="n"/>
      <c r="J50" s="13" t="n"/>
      <c r="K50" s="14">
        <f>SUM(K46:K49)</f>
        <v/>
      </c>
      <c r="L50" s="13" t="n"/>
      <c r="M50" s="15" t="inlineStr">
        <is>
          <t>Printed totals: 54,300 SF; annual base rent $484,406.52; annual CAM $195,167.28; deposits $27,533.34. The Monthly CAM column annualizes to $195,167.28 ($16,263.94/mo x 12). Rent roll dated 7/1/2024.</t>
        </is>
      </c>
    </row>
    <row r="51">
      <c r="A51" s="6" t="inlineStr">
        <is>
          <t>6125 E. 56th Ave</t>
        </is>
      </c>
      <c r="B51" s="6" t="inlineStr">
        <is>
          <t>6125A</t>
        </is>
      </c>
      <c r="C51" s="6" t="inlineStr">
        <is>
          <t>Colorado Overhead Door</t>
        </is>
      </c>
      <c r="D51" s="6" t="inlineStr">
        <is>
          <t>NNN</t>
        </is>
      </c>
      <c r="E51" s="9" t="n"/>
      <c r="F51" s="6" t="n">
        <v>47850</v>
      </c>
      <c r="G51" s="6" t="n">
        <v>9.57</v>
      </c>
      <c r="H51" s="5" t="inlineStr">
        <is>
          <t>6/2020</t>
        </is>
      </c>
      <c r="I51" s="5" t="inlineStr">
        <is>
          <t>7/2025</t>
        </is>
      </c>
      <c r="J51" s="5" t="inlineStr">
        <is>
          <t>—</t>
        </is>
      </c>
      <c r="K51" s="9" t="n"/>
      <c r="L51" s="6" t="n"/>
      <c r="M51" s="6" t="inlineStr">
        <is>
          <t>5,000 SF; recoveries $23,150 ($4.63/SF); gross rent $14.20/SF</t>
        </is>
      </c>
    </row>
    <row r="52">
      <c r="A52" s="6" t="inlineStr">
        <is>
          <t>6125 E. 56th Ave</t>
        </is>
      </c>
      <c r="B52" s="6" t="inlineStr">
        <is>
          <t>6125B</t>
        </is>
      </c>
      <c r="C52" s="6" t="inlineStr">
        <is>
          <t>Comlink Solutions</t>
        </is>
      </c>
      <c r="D52" s="6" t="inlineStr">
        <is>
          <t>NNN</t>
        </is>
      </c>
      <c r="E52" s="9" t="n"/>
      <c r="F52" s="6" t="n">
        <v>46900</v>
      </c>
      <c r="G52" s="6" t="n">
        <v>9.380000000000001</v>
      </c>
      <c r="H52" s="5" t="inlineStr">
        <is>
          <t>9/2021</t>
        </is>
      </c>
      <c r="I52" s="5" t="inlineStr">
        <is>
          <t>9/2027</t>
        </is>
      </c>
      <c r="J52" s="5" t="inlineStr">
        <is>
          <t>—</t>
        </is>
      </c>
      <c r="K52" s="9" t="n"/>
      <c r="L52" s="6" t="n"/>
      <c r="M52" s="6" t="inlineStr">
        <is>
          <t>5,000 SF; recoveries $23,150 ($4.63/SF); gross rent $14.01/SF</t>
        </is>
      </c>
    </row>
    <row r="53">
      <c r="A53" s="6" t="inlineStr">
        <is>
          <t>6125 E. 56th Ave</t>
        </is>
      </c>
      <c r="B53" s="6" t="inlineStr">
        <is>
          <t>6125F</t>
        </is>
      </c>
      <c r="C53" s="6" t="inlineStr">
        <is>
          <t>Kerr Panel Manufacturing LLC</t>
        </is>
      </c>
      <c r="D53" s="6" t="inlineStr">
        <is>
          <t>NNN</t>
        </is>
      </c>
      <c r="E53" s="9" t="n"/>
      <c r="F53" s="6" t="n">
        <v>155000</v>
      </c>
      <c r="G53" s="6" t="n">
        <v>7.75</v>
      </c>
      <c r="H53" s="5" t="inlineStr">
        <is>
          <t>5/2021</t>
        </is>
      </c>
      <c r="I53" s="5" t="inlineStr">
        <is>
          <t>4/2026</t>
        </is>
      </c>
      <c r="J53" s="5" t="inlineStr">
        <is>
          <t>—</t>
        </is>
      </c>
      <c r="K53" s="9" t="n"/>
      <c r="L53" s="6" t="n"/>
      <c r="M53" s="6" t="inlineStr">
        <is>
          <t>20,000 SF; recoveries $92,600 ($4.63/SF); gross rent $12.38/SF</t>
        </is>
      </c>
    </row>
    <row r="54">
      <c r="A54" s="6" t="inlineStr">
        <is>
          <t>6125 E. 56th Ave</t>
        </is>
      </c>
      <c r="B54" s="6" t="inlineStr">
        <is>
          <t>6125G</t>
        </is>
      </c>
      <c r="C54" s="6" t="inlineStr">
        <is>
          <t>Summit Lighting Inc</t>
        </is>
      </c>
      <c r="D54" s="6" t="inlineStr">
        <is>
          <t>NNN</t>
        </is>
      </c>
      <c r="E54" s="9" t="n"/>
      <c r="F54" s="6" t="n">
        <v>46250</v>
      </c>
      <c r="G54" s="6" t="n">
        <v>9.25</v>
      </c>
      <c r="H54" s="5" t="inlineStr">
        <is>
          <t>5/2021</t>
        </is>
      </c>
      <c r="I54" s="5" t="inlineStr">
        <is>
          <t>4/2026</t>
        </is>
      </c>
      <c r="J54" s="5" t="inlineStr">
        <is>
          <t>—</t>
        </is>
      </c>
      <c r="K54" s="9" t="n"/>
      <c r="L54" s="6" t="n"/>
      <c r="M54" s="6" t="inlineStr">
        <is>
          <t>5,000 SF; recoveries $23,150 ($4.63/SF); gross rent $13.88/SF</t>
        </is>
      </c>
    </row>
    <row r="55">
      <c r="A55" s="6" t="inlineStr">
        <is>
          <t>6125 E. 56th Ave</t>
        </is>
      </c>
      <c r="B55" s="6" t="inlineStr">
        <is>
          <t>6125H</t>
        </is>
      </c>
      <c r="C55" s="6" t="inlineStr">
        <is>
          <t>VACANT</t>
        </is>
      </c>
      <c r="D55" s="6" t="inlineStr">
        <is>
          <t>—</t>
        </is>
      </c>
      <c r="E55" s="9" t="n"/>
      <c r="F55" s="6" t="n"/>
      <c r="G55" s="6" t="n"/>
      <c r="H55" s="5" t="inlineStr">
        <is>
          <t>—</t>
        </is>
      </c>
      <c r="I55" s="5" t="inlineStr">
        <is>
          <t>—</t>
        </is>
      </c>
      <c r="J55" s="5" t="inlineStr">
        <is>
          <t>—</t>
        </is>
      </c>
      <c r="K55" s="9" t="n"/>
      <c r="L55" s="6" t="n"/>
      <c r="M55" s="6" t="inlineStr">
        <is>
          <t>5,000 SF vacant at 6/30/2024 (13% of building); market rent forecast $10.00/SF net + $4.75/SF recoveries = $14.75/SF; prior tenant ZB Express Inc (modified gross) on the 6/30/2023 roll</t>
        </is>
      </c>
    </row>
    <row r="56">
      <c r="A56" s="11" t="inlineStr">
        <is>
          <t>6125 E. 56th Ave</t>
        </is>
      </c>
      <c r="B56" s="12" t="inlineStr">
        <is>
          <t>Total (occupied)</t>
        </is>
      </c>
      <c r="C56" s="12" t="inlineStr">
        <is>
          <t>5 line(s)</t>
        </is>
      </c>
      <c r="D56" s="13" t="n"/>
      <c r="E56" s="14" t="n"/>
      <c r="F56" s="14">
        <f>SUM(F51:F55)</f>
        <v/>
      </c>
      <c r="G56" s="13" t="n"/>
      <c r="H56" s="13" t="n"/>
      <c r="I56" s="13" t="n"/>
      <c r="J56" s="13" t="n"/>
      <c r="K56" s="14" t="n"/>
      <c r="L56" s="13" t="n"/>
      <c r="M56" s="15" t="inlineStr">
        <is>
          <t>Printed total: annual $296,000.00; expense recoveries $162,050; 35,000 SF.</t>
        </is>
      </c>
    </row>
    <row r="57">
      <c r="A57" s="6" t="inlineStr">
        <is>
          <t>6300 E. 58th Ave</t>
        </is>
      </c>
      <c r="B57" s="6" t="inlineStr">
        <is>
          <t>6300A</t>
        </is>
      </c>
      <c r="C57" s="6" t="inlineStr">
        <is>
          <t>Daniel J Sewolt Inc (dba Danny's Meat Service)</t>
        </is>
      </c>
      <c r="D57" s="6" t="inlineStr">
        <is>
          <t>Modified Gross</t>
        </is>
      </c>
      <c r="E57" s="9" t="n"/>
      <c r="F57" s="6" t="n">
        <v>82500</v>
      </c>
      <c r="G57" s="6" t="n">
        <v>11</v>
      </c>
      <c r="H57" s="5" t="inlineStr">
        <is>
          <t>8/2018</t>
        </is>
      </c>
      <c r="I57" s="5" t="inlineStr">
        <is>
          <t>11/2028</t>
        </is>
      </c>
      <c r="J57" s="5" t="inlineStr">
        <is>
          <t>—</t>
        </is>
      </c>
      <c r="K57" s="9" t="n"/>
      <c r="L57" s="6" t="n"/>
      <c r="M57" s="6" t="inlineStr">
        <is>
          <t>7,500 SF; recoveries $20,325 ($2.71/SF); gross rent $13.71/SF</t>
        </is>
      </c>
    </row>
    <row r="58">
      <c r="A58" s="6" t="inlineStr">
        <is>
          <t>6300 E. 58th Ave</t>
        </is>
      </c>
      <c r="B58" s="6" t="inlineStr">
        <is>
          <t>6300D</t>
        </is>
      </c>
      <c r="C58" s="6" t="inlineStr">
        <is>
          <t>Concrete Conservation LLC</t>
        </is>
      </c>
      <c r="D58" s="6" t="inlineStr">
        <is>
          <t>Modified Gross</t>
        </is>
      </c>
      <c r="E58" s="9" t="n"/>
      <c r="F58" s="6" t="n">
        <v>90540</v>
      </c>
      <c r="G58" s="6" t="n">
        <v>12.07</v>
      </c>
      <c r="H58" s="5" t="inlineStr">
        <is>
          <t>4/2018</t>
        </is>
      </c>
      <c r="I58" s="5" t="inlineStr">
        <is>
          <t>8/2028</t>
        </is>
      </c>
      <c r="J58" s="5" t="inlineStr">
        <is>
          <t>—</t>
        </is>
      </c>
      <c r="K58" s="9" t="n"/>
      <c r="L58" s="6" t="n"/>
      <c r="M58" s="6" t="inlineStr">
        <is>
          <t>7,500 SF; recoveries $20,325 ($2.71/SF); gross rent $14.78/SF</t>
        </is>
      </c>
    </row>
    <row r="59">
      <c r="A59" s="6" t="inlineStr">
        <is>
          <t>6300 E. 58th Ave</t>
        </is>
      </c>
      <c r="B59" s="6" t="inlineStr">
        <is>
          <t>6300G</t>
        </is>
      </c>
      <c r="C59" s="6" t="inlineStr">
        <is>
          <t>Trac Distribution Inc</t>
        </is>
      </c>
      <c r="D59" s="6" t="inlineStr">
        <is>
          <t>NNN</t>
        </is>
      </c>
      <c r="E59" s="9" t="n"/>
      <c r="F59" s="6" t="n">
        <v>50000</v>
      </c>
      <c r="G59" s="6" t="n">
        <v>10</v>
      </c>
      <c r="H59" s="5" t="inlineStr">
        <is>
          <t>12/2022</t>
        </is>
      </c>
      <c r="I59" s="5" t="inlineStr">
        <is>
          <t>11/2027</t>
        </is>
      </c>
      <c r="J59" s="5" t="inlineStr">
        <is>
          <t>—</t>
        </is>
      </c>
      <c r="K59" s="9" t="n"/>
      <c r="L59" s="6" t="n"/>
      <c r="M59" s="6" t="inlineStr">
        <is>
          <t>5,000 SF; recoveries $25,850 ($5.17/SF); gross rent $15.17/SF</t>
        </is>
      </c>
    </row>
    <row r="60">
      <c r="A60" s="6" t="inlineStr">
        <is>
          <t>6300 E. 58th Ave</t>
        </is>
      </c>
      <c r="B60" s="6" t="inlineStr">
        <is>
          <t>6300I</t>
        </is>
      </c>
      <c r="C60" s="6" t="inlineStr">
        <is>
          <t>Proximo Distillers LLC</t>
        </is>
      </c>
      <c r="D60" s="6" t="inlineStr">
        <is>
          <t>NNN</t>
        </is>
      </c>
      <c r="E60" s="9" t="n"/>
      <c r="F60" s="6" t="n">
        <v>100000</v>
      </c>
      <c r="G60" s="6" t="n">
        <v>10</v>
      </c>
      <c r="H60" s="5" t="inlineStr">
        <is>
          <t>6/2019</t>
        </is>
      </c>
      <c r="I60" s="5" t="inlineStr">
        <is>
          <t>7/2029</t>
        </is>
      </c>
      <c r="J60" s="5" t="inlineStr">
        <is>
          <t>—</t>
        </is>
      </c>
      <c r="K60" s="9" t="n"/>
      <c r="L60" s="6" t="n"/>
      <c r="M60" s="6" t="inlineStr">
        <is>
          <t>10,000 SF; recoveries $51,600 ($5.16/SF); gross rent $15.16/SF</t>
        </is>
      </c>
    </row>
    <row r="61">
      <c r="A61" s="6" t="inlineStr">
        <is>
          <t>6300 E. 58th Ave</t>
        </is>
      </c>
      <c r="B61" s="6" t="inlineStr">
        <is>
          <t>6340A</t>
        </is>
      </c>
      <c r="C61" s="6" t="inlineStr">
        <is>
          <t>Backlash Inc</t>
        </is>
      </c>
      <c r="D61" s="6" t="inlineStr">
        <is>
          <t>Modified Gross</t>
        </is>
      </c>
      <c r="E61" s="9" t="n"/>
      <c r="F61" s="6" t="n">
        <v>99000</v>
      </c>
      <c r="G61" s="6" t="n">
        <v>9.9</v>
      </c>
      <c r="H61" s="5" t="inlineStr">
        <is>
          <t>12/2007</t>
        </is>
      </c>
      <c r="I61" s="5" t="inlineStr">
        <is>
          <t>6/2025</t>
        </is>
      </c>
      <c r="J61" s="5" t="inlineStr">
        <is>
          <t>—</t>
        </is>
      </c>
      <c r="K61" s="9" t="n"/>
      <c r="L61" s="6" t="n"/>
      <c r="M61" s="6" t="inlineStr">
        <is>
          <t>10,000 SF; recoveries $32,000 ($3.20/SF); gross rent $13.10/SF</t>
        </is>
      </c>
    </row>
    <row r="62">
      <c r="A62" s="6" t="inlineStr">
        <is>
          <t>6300 E. 58th Ave</t>
        </is>
      </c>
      <c r="B62" s="6" t="inlineStr">
        <is>
          <t>6340C</t>
        </is>
      </c>
      <c r="C62" s="6" t="inlineStr">
        <is>
          <t>Nevada Tap Master</t>
        </is>
      </c>
      <c r="D62" s="6" t="inlineStr">
        <is>
          <t>NNN</t>
        </is>
      </c>
      <c r="E62" s="9" t="n"/>
      <c r="F62" s="6" t="n">
        <v>50000</v>
      </c>
      <c r="G62" s="6" t="n">
        <v>10</v>
      </c>
      <c r="H62" s="5" t="inlineStr">
        <is>
          <t>5/2024</t>
        </is>
      </c>
      <c r="I62" s="5" t="inlineStr">
        <is>
          <t>7/2029</t>
        </is>
      </c>
      <c r="J62" s="5" t="inlineStr">
        <is>
          <t>—</t>
        </is>
      </c>
      <c r="K62" s="9" t="n"/>
      <c r="L62" s="6" t="n"/>
      <c r="M62" s="6" t="inlineStr">
        <is>
          <t>5,000 SF; recoveries $24,450 ($4.89/SF); gross rent $14.89/SF; replaced All American Records Management (modified gross) from the 6/30/2023 roll</t>
        </is>
      </c>
    </row>
    <row r="63">
      <c r="A63" s="6" t="inlineStr">
        <is>
          <t>6300 E. 58th Ave</t>
        </is>
      </c>
      <c r="B63" s="6" t="inlineStr">
        <is>
          <t>6340G</t>
        </is>
      </c>
      <c r="C63" s="6" t="inlineStr">
        <is>
          <t>Biotrans LLC</t>
        </is>
      </c>
      <c r="D63" s="6" t="inlineStr">
        <is>
          <t>NNN</t>
        </is>
      </c>
      <c r="E63" s="9" t="n"/>
      <c r="F63" s="6" t="n">
        <v>50000</v>
      </c>
      <c r="G63" s="6" t="n">
        <v>10</v>
      </c>
      <c r="H63" s="5" t="inlineStr">
        <is>
          <t>5/2022</t>
        </is>
      </c>
      <c r="I63" s="5" t="inlineStr">
        <is>
          <t>5/2027</t>
        </is>
      </c>
      <c r="J63" s="5" t="inlineStr">
        <is>
          <t>—</t>
        </is>
      </c>
      <c r="K63" s="9" t="n"/>
      <c r="L63" s="6" t="n"/>
      <c r="M63" s="6" t="inlineStr">
        <is>
          <t>5,000 SF; recoveries $24,800 ($4.96/SF); gross rent $14.96/SF</t>
        </is>
      </c>
    </row>
    <row r="64">
      <c r="A64" s="6" t="inlineStr">
        <is>
          <t>6300 E. 58th Ave</t>
        </is>
      </c>
      <c r="B64" s="6" t="inlineStr">
        <is>
          <t>6340I</t>
        </is>
      </c>
      <c r="C64" s="6" t="inlineStr">
        <is>
          <t>The Whiskey Cartel Inc</t>
        </is>
      </c>
      <c r="D64" s="6" t="inlineStr">
        <is>
          <t>NNN</t>
        </is>
      </c>
      <c r="E64" s="9" t="n"/>
      <c r="F64" s="6" t="n">
        <v>25000</v>
      </c>
      <c r="G64" s="6" t="n">
        <v>10</v>
      </c>
      <c r="H64" s="5" t="inlineStr">
        <is>
          <t>5/2024</t>
        </is>
      </c>
      <c r="I64" s="5" t="inlineStr">
        <is>
          <t>4/2027</t>
        </is>
      </c>
      <c r="J64" s="5" t="inlineStr">
        <is>
          <t>—</t>
        </is>
      </c>
      <c r="K64" s="9" t="n"/>
      <c r="L64" s="6" t="n"/>
      <c r="M64" s="6" t="inlineStr">
        <is>
          <t>2,500 SF; recoveries $12,225 ($4.89/SF); gross rent $14.89/SF</t>
        </is>
      </c>
    </row>
    <row r="65">
      <c r="A65" s="6" t="inlineStr">
        <is>
          <t>6300 E. 58th Ave</t>
        </is>
      </c>
      <c r="B65" s="6" t="inlineStr">
        <is>
          <t>6340J</t>
        </is>
      </c>
      <c r="C65" s="6" t="inlineStr">
        <is>
          <t>Anders Beverage LLC</t>
        </is>
      </c>
      <c r="D65" s="6" t="inlineStr">
        <is>
          <t>NNN</t>
        </is>
      </c>
      <c r="E65" s="9" t="n"/>
      <c r="F65" s="6" t="n">
        <v>25500</v>
      </c>
      <c r="G65" s="6" t="n">
        <v>10.2</v>
      </c>
      <c r="H65" s="5" t="inlineStr">
        <is>
          <t>6/2020</t>
        </is>
      </c>
      <c r="I65" s="5" t="inlineStr">
        <is>
          <t>6/2025</t>
        </is>
      </c>
      <c r="J65" s="5" t="inlineStr">
        <is>
          <t>—</t>
        </is>
      </c>
      <c r="K65" s="9" t="n"/>
      <c r="L65" s="6" t="n"/>
      <c r="M65" s="6" t="inlineStr">
        <is>
          <t>2,500 SF; recoveries $12,400 ($4.96/SF); gross rent $15.16/SF</t>
        </is>
      </c>
    </row>
    <row r="66">
      <c r="A66" s="6" t="inlineStr">
        <is>
          <t>6300 E. 58th Ave</t>
        </is>
      </c>
      <c r="B66" s="6" t="inlineStr">
        <is>
          <t>6340K</t>
        </is>
      </c>
      <c r="C66" s="6" t="inlineStr">
        <is>
          <t>Automotive Transmission Engineering Corp</t>
        </is>
      </c>
      <c r="D66" s="6" t="inlineStr">
        <is>
          <t>NNN</t>
        </is>
      </c>
      <c r="E66" s="9" t="n"/>
      <c r="F66" s="6" t="n">
        <v>50000</v>
      </c>
      <c r="G66" s="6" t="n">
        <v>10</v>
      </c>
      <c r="H66" s="5" t="inlineStr">
        <is>
          <t>1/2023</t>
        </is>
      </c>
      <c r="I66" s="5" t="inlineStr">
        <is>
          <t>1/2026</t>
        </is>
      </c>
      <c r="J66" s="5" t="inlineStr">
        <is>
          <t>—</t>
        </is>
      </c>
      <c r="K66" s="9" t="n"/>
      <c r="L66" s="6" t="n"/>
      <c r="M66" s="6" t="inlineStr">
        <is>
          <t>5,000 SF; recoveries $10,650 ($2.13/SF); gross rent $12.13/SF</t>
        </is>
      </c>
    </row>
    <row r="67">
      <c r="A67" s="6" t="inlineStr">
        <is>
          <t>6300 E. 58th Ave</t>
        </is>
      </c>
      <c r="B67" s="6" t="inlineStr">
        <is>
          <t>6360C</t>
        </is>
      </c>
      <c r="C67" s="6" t="inlineStr">
        <is>
          <t>5071 Inc</t>
        </is>
      </c>
      <c r="D67" s="6" t="inlineStr">
        <is>
          <t>Modified Gross</t>
        </is>
      </c>
      <c r="E67" s="9" t="n"/>
      <c r="F67" s="6" t="n">
        <v>120714</v>
      </c>
      <c r="G67" s="6" t="n">
        <v>12.07</v>
      </c>
      <c r="H67" s="5" t="inlineStr">
        <is>
          <t>8/2018</t>
        </is>
      </c>
      <c r="I67" s="5" t="inlineStr">
        <is>
          <t>10/2026</t>
        </is>
      </c>
      <c r="J67" s="5" t="inlineStr">
        <is>
          <t>—</t>
        </is>
      </c>
      <c r="K67" s="9" t="n"/>
      <c r="L67" s="6" t="n"/>
      <c r="M67" s="6" t="inlineStr">
        <is>
          <t>10,000 SF; recoveries $26,900 ($2.69/SF); gross rent $14.76/SF</t>
        </is>
      </c>
    </row>
    <row r="68">
      <c r="A68" s="6" t="inlineStr">
        <is>
          <t>6300 E. 58th Ave</t>
        </is>
      </c>
      <c r="B68" s="6" t="inlineStr">
        <is>
          <t>6360E</t>
        </is>
      </c>
      <c r="C68" s="6" t="inlineStr">
        <is>
          <t>Elite Custom Exteriors LLC</t>
        </is>
      </c>
      <c r="D68" s="6" t="inlineStr">
        <is>
          <t>Modified Gross</t>
        </is>
      </c>
      <c r="E68" s="9" t="n"/>
      <c r="F68" s="6" t="n">
        <v>97500</v>
      </c>
      <c r="G68" s="6" t="n">
        <v>13</v>
      </c>
      <c r="H68" s="5" t="inlineStr">
        <is>
          <t>6/2014</t>
        </is>
      </c>
      <c r="I68" s="5" t="inlineStr">
        <is>
          <t>9/2024</t>
        </is>
      </c>
      <c r="J68" s="5" t="inlineStr">
        <is>
          <t>—</t>
        </is>
      </c>
      <c r="K68" s="9" t="n"/>
      <c r="L68" s="6" t="n"/>
      <c r="M68" s="6" t="inlineStr">
        <is>
          <t>7,500 SF; recoveries $23,025 ($3.07/SF); gross rent $16.07/SF; above-market older lease</t>
        </is>
      </c>
    </row>
    <row r="69">
      <c r="A69" s="6" t="inlineStr">
        <is>
          <t>6300 E. 58th Ave</t>
        </is>
      </c>
      <c r="B69" s="6" t="inlineStr">
        <is>
          <t>6360H</t>
        </is>
      </c>
      <c r="C69" s="6" t="inlineStr">
        <is>
          <t>Whole Harvest LLC</t>
        </is>
      </c>
      <c r="D69" s="6" t="inlineStr">
        <is>
          <t>NNN</t>
        </is>
      </c>
      <c r="E69" s="9" t="n"/>
      <c r="F69" s="6" t="n">
        <v>134610</v>
      </c>
      <c r="G69" s="6" t="n">
        <v>10.5</v>
      </c>
      <c r="H69" s="5" t="inlineStr">
        <is>
          <t>11/2022</t>
        </is>
      </c>
      <c r="I69" s="5" t="inlineStr">
        <is>
          <t>12/2025</t>
        </is>
      </c>
      <c r="J69" s="5" t="inlineStr">
        <is>
          <t>—</t>
        </is>
      </c>
      <c r="K69" s="9" t="n"/>
      <c r="L69" s="6" t="n"/>
      <c r="M69" s="6" t="inlineStr">
        <is>
          <t>12,820 SF; recoveries $67,433 ($5.26/SF); gross rent $15.76/SF</t>
        </is>
      </c>
    </row>
    <row r="70">
      <c r="A70" s="11" t="inlineStr">
        <is>
          <t>6300 E. 58th Ave</t>
        </is>
      </c>
      <c r="B70" s="12" t="inlineStr">
        <is>
          <t>Total (occupied)</t>
        </is>
      </c>
      <c r="C70" s="12" t="inlineStr">
        <is>
          <t>13 line(s)</t>
        </is>
      </c>
      <c r="D70" s="13" t="n"/>
      <c r="E70" s="14" t="n"/>
      <c r="F70" s="14">
        <f>SUM(F57:F69)</f>
        <v/>
      </c>
      <c r="G70" s="13" t="n"/>
      <c r="H70" s="13" t="n"/>
      <c r="I70" s="13" t="n"/>
      <c r="J70" s="13" t="n"/>
      <c r="K70" s="14" t="n"/>
      <c r="L70" s="13" t="n"/>
      <c r="M70" s="15" t="inlineStr">
        <is>
          <t>Printed total: annual $975,364.00; expense recoveries $351,983; 90,320 SF.</t>
        </is>
      </c>
    </row>
    <row r="71">
      <c r="A71" s="6" t="inlineStr">
        <is>
          <t>5800 E. 58th Ave</t>
        </is>
      </c>
      <c r="B71" s="6" t="inlineStr">
        <is>
          <t>5800A</t>
        </is>
      </c>
      <c r="C71" s="6" t="inlineStr">
        <is>
          <t>Solabev LLC</t>
        </is>
      </c>
      <c r="D71" s="6" t="inlineStr">
        <is>
          <t>Modified Gross</t>
        </is>
      </c>
      <c r="E71" s="9" t="n"/>
      <c r="F71" s="6" t="n">
        <v>99375</v>
      </c>
      <c r="G71" s="6" t="n">
        <v>13.25</v>
      </c>
      <c r="H71" s="5" t="inlineStr">
        <is>
          <t>10/2014</t>
        </is>
      </c>
      <c r="I71" s="5" t="inlineStr">
        <is>
          <t>12/2025</t>
        </is>
      </c>
      <c r="J71" s="5" t="inlineStr">
        <is>
          <t>—</t>
        </is>
      </c>
      <c r="K71" s="9" t="n"/>
      <c r="L71" s="6" t="n"/>
      <c r="M71" s="6" t="inlineStr">
        <is>
          <t>7,500 SF; recoveries $16,950 ($2.26/SF); gross rent $15.51/SF</t>
        </is>
      </c>
    </row>
    <row r="72">
      <c r="A72" s="6" t="inlineStr">
        <is>
          <t>5800 E. 58th Ave</t>
        </is>
      </c>
      <c r="B72" s="6" t="inlineStr">
        <is>
          <t>5800E</t>
        </is>
      </c>
      <c r="C72" s="6" t="inlineStr">
        <is>
          <t>Industrial Resources Inc</t>
        </is>
      </c>
      <c r="D72" s="6" t="inlineStr">
        <is>
          <t>Modified Gross</t>
        </is>
      </c>
      <c r="E72" s="9" t="n"/>
      <c r="F72" s="6" t="n">
        <v>86250</v>
      </c>
      <c r="G72" s="6" t="n">
        <v>11.5</v>
      </c>
      <c r="H72" s="5" t="inlineStr">
        <is>
          <t>5/2018</t>
        </is>
      </c>
      <c r="I72" s="5" t="inlineStr">
        <is>
          <t>5/2028</t>
        </is>
      </c>
      <c r="J72" s="5" t="inlineStr">
        <is>
          <t>—</t>
        </is>
      </c>
      <c r="K72" s="9" t="n"/>
      <c r="L72" s="6" t="n"/>
      <c r="M72" s="6" t="inlineStr">
        <is>
          <t>7,500 SF; recoveries $18,150 ($2.42/SF); gross rent $13.92/SF</t>
        </is>
      </c>
    </row>
    <row r="73">
      <c r="A73" s="6" t="inlineStr">
        <is>
          <t>5800 E. 58th Ave</t>
        </is>
      </c>
      <c r="B73" s="6" t="inlineStr">
        <is>
          <t>5800K</t>
        </is>
      </c>
      <c r="C73" s="6" t="inlineStr">
        <is>
          <t>Heritage Window Restoration LLC</t>
        </is>
      </c>
      <c r="D73" s="6" t="inlineStr">
        <is>
          <t>Modified Gross</t>
        </is>
      </c>
      <c r="E73" s="9" t="n"/>
      <c r="F73" s="6" t="n">
        <v>135125</v>
      </c>
      <c r="G73" s="6" t="n">
        <v>11.75</v>
      </c>
      <c r="H73" s="5" t="inlineStr">
        <is>
          <t>9/2016</t>
        </is>
      </c>
      <c r="I73" s="5" t="inlineStr">
        <is>
          <t>10/2025</t>
        </is>
      </c>
      <c r="J73" s="5" t="inlineStr">
        <is>
          <t>—</t>
        </is>
      </c>
      <c r="K73" s="9" t="n"/>
      <c r="L73" s="6" t="n"/>
      <c r="M73" s="6" t="inlineStr">
        <is>
          <t>11,500 SF; recoveries $32,775 ($2.85/SF); gross rent $14.60/SF</t>
        </is>
      </c>
    </row>
    <row r="74">
      <c r="A74" s="6" t="inlineStr">
        <is>
          <t>5800 E. 58th Ave</t>
        </is>
      </c>
      <c r="B74" s="6" t="inlineStr">
        <is>
          <t>5880G</t>
        </is>
      </c>
      <c r="C74" s="6" t="inlineStr">
        <is>
          <t>VACANT</t>
        </is>
      </c>
      <c r="D74" s="6" t="inlineStr">
        <is>
          <t>—</t>
        </is>
      </c>
      <c r="E74" s="9" t="n"/>
      <c r="F74" s="6" t="n"/>
      <c r="G74" s="6" t="n"/>
      <c r="H74" s="5" t="inlineStr">
        <is>
          <t>—</t>
        </is>
      </c>
      <c r="I74" s="5" t="inlineStr">
        <is>
          <t>—</t>
        </is>
      </c>
      <c r="J74" s="5" t="inlineStr">
        <is>
          <t>—</t>
        </is>
      </c>
      <c r="K74" s="9" t="n"/>
      <c r="L74" s="6" t="n"/>
      <c r="M74" s="6" t="inlineStr">
        <is>
          <t>2,500 SF vacant (9% of 29,000 SF total); market rent forecast $11.00/SF net + $5.00/SF expenses = $16.00/SF; prior tenant Unloading Services Inc (NNN) on the 6/30/2023 roll</t>
        </is>
      </c>
    </row>
    <row r="75">
      <c r="A75" s="11" t="inlineStr">
        <is>
          <t>5800 E. 58th Ave</t>
        </is>
      </c>
      <c r="B75" s="12" t="inlineStr">
        <is>
          <t>Total (occupied)</t>
        </is>
      </c>
      <c r="C75" s="12" t="inlineStr">
        <is>
          <t>4 line(s)</t>
        </is>
      </c>
      <c r="D75" s="13" t="n"/>
      <c r="E75" s="14" t="n"/>
      <c r="F75" s="14">
        <f>SUM(F71:F74)</f>
        <v/>
      </c>
      <c r="G75" s="13" t="n"/>
      <c r="H75" s="13" t="n"/>
      <c r="I75" s="13" t="n"/>
      <c r="J75" s="13" t="n"/>
      <c r="K75" s="14" t="n"/>
      <c r="L75" s="13" t="n"/>
      <c r="M75" s="15" t="inlineStr">
        <is>
          <t>Printed total: annual $320,750.00; expense recoveries $67,875; 26,500 SF.</t>
        </is>
      </c>
    </row>
    <row r="76">
      <c r="A76" s="6" t="inlineStr">
        <is>
          <t>6701 E. 50th Ave</t>
        </is>
      </c>
      <c r="B76" s="6" t="inlineStr">
        <is>
          <t>496-6701AB-CU</t>
        </is>
      </c>
      <c r="C76" s="6" t="inlineStr">
        <is>
          <t>Environmental Materials</t>
        </is>
      </c>
      <c r="D76" s="6" t="inlineStr">
        <is>
          <t>NNN (base + recoveries)</t>
        </is>
      </c>
      <c r="E76" s="9" t="n">
        <v>4339.96</v>
      </c>
      <c r="F76" s="6" t="n">
        <v>52079.52</v>
      </c>
      <c r="G76" s="6" t="n">
        <v>8.5</v>
      </c>
      <c r="H76" s="5" t="inlineStr">
        <is>
          <t>4/1/2020</t>
        </is>
      </c>
      <c r="I76" s="5" t="inlineStr">
        <is>
          <t>2/28/2025</t>
        </is>
      </c>
      <c r="J76" s="5" t="inlineStr">
        <is>
          <t>—</t>
        </is>
      </c>
      <c r="K76" s="9" t="n">
        <v>2179</v>
      </c>
      <c r="L76" s="6" t="n"/>
      <c r="M76" s="6" t="inlineStr">
        <is>
          <t>6,127 SF; recoveries/mo: op-exp $847.00 ($1.66/SF), RE tax $1,242.00 ($2.43/SF), other $90.00 ($0.18/SF); gross $6,518.96/mo ($12.77/SF)</t>
        </is>
      </c>
    </row>
    <row r="77">
      <c r="A77" s="6" t="inlineStr">
        <is>
          <t>6701 E. 50th Ave</t>
        </is>
      </c>
      <c r="B77" s="6" t="inlineStr">
        <is>
          <t>496-6707-CU</t>
        </is>
      </c>
      <c r="C77" s="6" t="inlineStr">
        <is>
          <t>Environmental Materials LLC</t>
        </is>
      </c>
      <c r="D77" s="6" t="inlineStr">
        <is>
          <t>NNN (base + recoveries)</t>
        </is>
      </c>
      <c r="E77" s="9" t="n">
        <v>9442.16</v>
      </c>
      <c r="F77" s="6" t="n">
        <v>113305.92</v>
      </c>
      <c r="G77" s="6" t="n">
        <v>7.06</v>
      </c>
      <c r="H77" s="5" t="inlineStr">
        <is>
          <t>1/1/2017</t>
        </is>
      </c>
      <c r="I77" s="5" t="inlineStr">
        <is>
          <t>2/28/2025</t>
        </is>
      </c>
      <c r="J77" s="5" t="inlineStr">
        <is>
          <t>—</t>
        </is>
      </c>
      <c r="K77" s="9" t="n">
        <v>5706</v>
      </c>
      <c r="L77" s="6" t="n"/>
      <c r="M77" s="6" t="inlineStr">
        <is>
          <t>16,049 SF; recoveries/mo: op-exp $2,218.00 ($1.66/SF), RE tax $3,253.00 ($2.43/SF), other $235.00 ($0.18/SF); gross $15,148.16/mo ($11.33/SF)</t>
        </is>
      </c>
    </row>
    <row r="78">
      <c r="A78" s="6" t="inlineStr">
        <is>
          <t>6701 E. 50th Ave</t>
        </is>
      </c>
      <c r="B78" s="6" t="inlineStr">
        <is>
          <t>496-6717-CU</t>
        </is>
      </c>
      <c r="C78" s="6" t="inlineStr">
        <is>
          <t>Comunidad Latina LLC</t>
        </is>
      </c>
      <c r="D78" s="6" t="inlineStr">
        <is>
          <t>NNN (base + recoveries)</t>
        </is>
      </c>
      <c r="E78" s="9" t="n">
        <v>8277</v>
      </c>
      <c r="F78" s="6" t="n">
        <v>99324</v>
      </c>
      <c r="G78" s="6" t="n">
        <v>7.75</v>
      </c>
      <c r="H78" s="5" t="inlineStr">
        <is>
          <t>5/3/2024</t>
        </is>
      </c>
      <c r="I78" s="5" t="inlineStr">
        <is>
          <t>4/30/2029</t>
        </is>
      </c>
      <c r="J78" s="5" t="inlineStr">
        <is>
          <t>—</t>
        </is>
      </c>
      <c r="K78" s="9" t="n">
        <v>4560.36</v>
      </c>
      <c r="L78" s="6" t="n"/>
      <c r="M78" s="6" t="inlineStr">
        <is>
          <t>12,816 SF; recoveries/mo: op-exp $1,772.88 ($1.66/SF), RE tax $2,595.24 ($2.43/SF), other $192.24 ($0.18/SF); gross $12,837.36/mo ($12.02/SF)</t>
        </is>
      </c>
    </row>
    <row r="79">
      <c r="A79" s="6" t="inlineStr">
        <is>
          <t>6701 E. 50th Ave</t>
        </is>
      </c>
      <c r="B79" s="6" t="inlineStr">
        <is>
          <t>496-6723-CU</t>
        </is>
      </c>
      <c r="C79" s="6" t="inlineStr">
        <is>
          <t>Lockwood Facades Inc</t>
        </is>
      </c>
      <c r="D79" s="6" t="inlineStr">
        <is>
          <t>NNN (base + recoveries)</t>
        </is>
      </c>
      <c r="E79" s="9" t="n">
        <v>7625.57</v>
      </c>
      <c r="F79" s="6" t="n">
        <v>91506.84</v>
      </c>
      <c r="G79" s="6" t="n">
        <v>7.7</v>
      </c>
      <c r="H79" s="5" t="inlineStr">
        <is>
          <t>5/1/2018</t>
        </is>
      </c>
      <c r="I79" s="5" t="inlineStr">
        <is>
          <t>4/30/2026</t>
        </is>
      </c>
      <c r="J79" s="5" t="inlineStr">
        <is>
          <t>—</t>
        </is>
      </c>
      <c r="K79" s="9" t="n">
        <v>4226</v>
      </c>
      <c r="L79" s="6" t="n"/>
      <c r="M79" s="6" t="inlineStr">
        <is>
          <t>11,884 SF; recoveries/mo: op-exp $1,643.00 ($1.66/SF), RE tax $2,409.00 ($2.43/SF), other $174.00 ($0.18/SF); gross $11,851.57/mo ($11.97/SF)</t>
        </is>
      </c>
    </row>
    <row r="80">
      <c r="A80" s="6" t="inlineStr">
        <is>
          <t>6701 E. 50th Ave</t>
        </is>
      </c>
      <c r="B80" s="6" t="inlineStr">
        <is>
          <t>496-6727-CU</t>
        </is>
      </c>
      <c r="C80" s="6" t="inlineStr">
        <is>
          <t>True World Foods</t>
        </is>
      </c>
      <c r="D80" s="6" t="inlineStr">
        <is>
          <t>NNN (base + recoveries)</t>
        </is>
      </c>
      <c r="E80" s="9" t="n">
        <v>8288.040000000001</v>
      </c>
      <c r="F80" s="6" t="n">
        <v>79565.16</v>
      </c>
      <c r="G80" s="6" t="n">
        <v>7.15</v>
      </c>
      <c r="H80" s="5" t="inlineStr">
        <is>
          <t>5/1/2016</t>
        </is>
      </c>
      <c r="I80" s="5" t="inlineStr">
        <is>
          <t>4/30/2024</t>
        </is>
      </c>
      <c r="J80" s="5" t="inlineStr">
        <is>
          <t>—</t>
        </is>
      </c>
      <c r="K80" s="9" t="n">
        <v>3957</v>
      </c>
      <c r="L80" s="6" t="n"/>
      <c r="M80" s="6" t="inlineStr">
        <is>
          <t>11,128 SF; recoveries/mo: op-exp $1,538.00 ($1.66/SF), RE tax $2,256.00 ($2.43/SF), other $163.00 ($0.18/SF); gross $10,587.43/mo ($11.42/SF); lease expired 4/30/2024 — holdover; prorated annual reflects the 5/1/2023 step to $6,630.43/mo</t>
        </is>
      </c>
    </row>
    <row r="81">
      <c r="A81" s="6" t="inlineStr">
        <is>
          <t>6701 E. 50th Ave</t>
        </is>
      </c>
      <c r="B81" s="6" t="inlineStr">
        <is>
          <t>496-6731A-CU</t>
        </is>
      </c>
      <c r="C81" s="6" t="inlineStr">
        <is>
          <t>1-800 Hansons LLC</t>
        </is>
      </c>
      <c r="D81" s="6" t="inlineStr">
        <is>
          <t>NNN (base + recoveries)</t>
        </is>
      </c>
      <c r="E81" s="9" t="n">
        <v>4944</v>
      </c>
      <c r="F81" s="6" t="n">
        <v>59328</v>
      </c>
      <c r="G81" s="6" t="n">
        <v>8.24</v>
      </c>
      <c r="H81" s="5" t="inlineStr">
        <is>
          <t>7/1/2023</t>
        </is>
      </c>
      <c r="I81" s="5" t="inlineStr">
        <is>
          <t>6/30/2026</t>
        </is>
      </c>
      <c r="J81" s="5" t="inlineStr">
        <is>
          <t>—</t>
        </is>
      </c>
      <c r="K81" s="9" t="n">
        <v>2559</v>
      </c>
      <c r="L81" s="6" t="n"/>
      <c r="M81" s="6" t="inlineStr">
        <is>
          <t>7,200 SF; recoveries/mo: op-exp $995.00 ($1.66/SF), RE tax $1,459.00 ($2.43/SF), other $105.00 ($0.18/SF); gross $7,503.00/mo ($12.51/SF)</t>
        </is>
      </c>
    </row>
    <row r="82">
      <c r="A82" s="6" t="inlineStr">
        <is>
          <t>6701 E. 50th Ave</t>
        </is>
      </c>
      <c r="B82" s="6" t="inlineStr">
        <is>
          <t>496-6731B-CU</t>
        </is>
      </c>
      <c r="C82" s="6" t="inlineStr">
        <is>
          <t>One Clear Choice</t>
        </is>
      </c>
      <c r="D82" s="6" t="inlineStr">
        <is>
          <t>NNN (base + recoveries)</t>
        </is>
      </c>
      <c r="E82" s="9" t="n">
        <v>5478</v>
      </c>
      <c r="F82" s="6" t="n">
        <v>65736</v>
      </c>
      <c r="G82" s="6" t="n">
        <v>8</v>
      </c>
      <c r="H82" s="5" t="inlineStr">
        <is>
          <t>4/1/2022</t>
        </is>
      </c>
      <c r="I82" s="5" t="inlineStr">
        <is>
          <t>3/31/2026</t>
        </is>
      </c>
      <c r="J82" s="5" t="inlineStr">
        <is>
          <t>—</t>
        </is>
      </c>
      <c r="K82" s="9" t="n">
        <v>2922</v>
      </c>
      <c r="L82" s="6" t="n"/>
      <c r="M82" s="6" t="inlineStr">
        <is>
          <t>8,217 SF; recoveries/mo: op-exp $1,136.00 ($1.66/SF), RE tax $1,666.00 ($2.43/SF), other $120.00 ($0.18/SF); gross $8,400.00/mo ($12.27/SF)</t>
        </is>
      </c>
    </row>
    <row r="83">
      <c r="A83" s="6" t="inlineStr">
        <is>
          <t>6701 E. 50th Ave</t>
        </is>
      </c>
      <c r="B83" s="6" t="inlineStr">
        <is>
          <t>496-6735-CU</t>
        </is>
      </c>
      <c r="C83" s="6" t="inlineStr">
        <is>
          <t>Squeezed Colorado LLC</t>
        </is>
      </c>
      <c r="D83" s="6" t="inlineStr">
        <is>
          <t>NNN (base + recoveries)</t>
        </is>
      </c>
      <c r="E83" s="9" t="n">
        <v>2335.6</v>
      </c>
      <c r="F83" s="6" t="n">
        <v>28027.2</v>
      </c>
      <c r="G83" s="6" t="n">
        <v>7.82</v>
      </c>
      <c r="H83" s="5" t="inlineStr">
        <is>
          <t>9/1/2020</t>
        </is>
      </c>
      <c r="I83" s="5" t="inlineStr">
        <is>
          <t>10/31/2025</t>
        </is>
      </c>
      <c r="J83" s="5" t="inlineStr">
        <is>
          <t>—</t>
        </is>
      </c>
      <c r="K83" s="9" t="n">
        <v>1276</v>
      </c>
      <c r="L83" s="6" t="n"/>
      <c r="M83" s="6" t="inlineStr">
        <is>
          <t>3,583 SF; recoveries/mo: op-exp $495.00 ($1.66/SF), RE tax $726.00 ($2.43/SF), other $55.00 ($0.18/SF); gross $3,611.60/mo ($12.1/SF)</t>
        </is>
      </c>
    </row>
    <row r="84">
      <c r="A84" s="6" t="inlineStr">
        <is>
          <t>6701 E. 50th Ave</t>
        </is>
      </c>
      <c r="B84" s="6" t="inlineStr">
        <is>
          <t>496-6741-CU</t>
        </is>
      </c>
      <c r="C84" s="6" t="inlineStr">
        <is>
          <t>Wizbang Solutions</t>
        </is>
      </c>
      <c r="D84" s="6" t="inlineStr">
        <is>
          <t>NNN (base + recoveries)</t>
        </is>
      </c>
      <c r="E84" s="9" t="n">
        <v>3025.67</v>
      </c>
      <c r="F84" s="6" t="n">
        <v>36308.04</v>
      </c>
      <c r="G84" s="6" t="n">
        <v>7.25</v>
      </c>
      <c r="H84" s="5" t="inlineStr">
        <is>
          <t>3/1/2022</t>
        </is>
      </c>
      <c r="I84" s="5" t="inlineStr">
        <is>
          <t>4/30/2028</t>
        </is>
      </c>
      <c r="J84" s="5" t="inlineStr">
        <is>
          <t>—</t>
        </is>
      </c>
      <c r="K84" s="9" t="n">
        <v>1784</v>
      </c>
      <c r="L84" s="6" t="n"/>
      <c r="M84" s="6" t="inlineStr">
        <is>
          <t>5,008 SF; recoveries/mo: op-exp $692.00 ($1.66/SF), RE tax $1,015.00 ($2.43/SF), other $77.00 ($0.18/SF); gross $4,809.67/mo ($11.52/SF)</t>
        </is>
      </c>
    </row>
    <row r="85">
      <c r="A85" s="6" t="inlineStr">
        <is>
          <t>6701 E. 50th Ave</t>
        </is>
      </c>
      <c r="B85" s="6" t="inlineStr">
        <is>
          <t>496-6747-CU</t>
        </is>
      </c>
      <c r="C85" s="6" t="inlineStr">
        <is>
          <t>Wiz Bang Solutions</t>
        </is>
      </c>
      <c r="D85" s="6" t="inlineStr">
        <is>
          <t>NNN (base + recoveries)</t>
        </is>
      </c>
      <c r="E85" s="9" t="n">
        <v>6758.81</v>
      </c>
      <c r="F85" s="6" t="n">
        <v>81105.72</v>
      </c>
      <c r="G85" s="6" t="n">
        <v>7.25</v>
      </c>
      <c r="H85" s="5" t="inlineStr">
        <is>
          <t>1/1/2018</t>
        </is>
      </c>
      <c r="I85" s="5" t="inlineStr">
        <is>
          <t>4/30/2028</t>
        </is>
      </c>
      <c r="J85" s="5" t="inlineStr">
        <is>
          <t>—</t>
        </is>
      </c>
      <c r="K85" s="9" t="n">
        <v>3978</v>
      </c>
      <c r="L85" s="6" t="n"/>
      <c r="M85" s="6" t="inlineStr">
        <is>
          <t>11,187 SF; recoveries/mo: op-exp $1,546.00 ($1.66/SF), RE tax $2,268.00 ($2.43/SF), other $164.00 ($0.18/SF); gross $10,736.81/mo ($11.52/SF)</t>
        </is>
      </c>
    </row>
    <row r="86">
      <c r="A86" s="6" t="inlineStr">
        <is>
          <t>6701 E. 50th Ave</t>
        </is>
      </c>
      <c r="B86" s="6" t="inlineStr">
        <is>
          <t>496-YARD1-CU</t>
        </is>
      </c>
      <c r="C86" s="6" t="inlineStr">
        <is>
          <t>VACANT (yard)</t>
        </is>
      </c>
      <c r="D86" s="6" t="inlineStr">
        <is>
          <t>NNN (base + recoveries)</t>
        </is>
      </c>
      <c r="E86" s="9" t="n">
        <v>750</v>
      </c>
      <c r="F86" s="6" t="n">
        <v>0</v>
      </c>
      <c r="G86" s="6" t="n">
        <v>0</v>
      </c>
      <c r="H86" s="5" t="inlineStr">
        <is>
          <t>—</t>
        </is>
      </c>
      <c r="I86" s="5" t="inlineStr">
        <is>
          <t>—</t>
        </is>
      </c>
      <c r="J86" s="5" t="inlineStr">
        <is>
          <t>—</t>
        </is>
      </c>
      <c r="K86" s="9" t="n">
        <v>0</v>
      </c>
      <c r="L86" s="6" t="n"/>
      <c r="M86" s="6" t="inlineStr">
        <is>
          <t>0 SF; recoveries/mo: op-exp $0.00 ($1.66/SF), RE tax $0.00 ($2.43/SF), other $0.00 ($0.18/SF); gross $0.00/mo ($0.0/SF); carried at 0 SF with $750.00/mo yard rent</t>
        </is>
      </c>
    </row>
    <row r="87">
      <c r="A87" s="11" t="inlineStr">
        <is>
          <t>6701 E. 50th Ave</t>
        </is>
      </c>
      <c r="B87" s="12" t="inlineStr">
        <is>
          <t>TOTALS</t>
        </is>
      </c>
      <c r="C87" s="12" t="inlineStr">
        <is>
          <t>11 units</t>
        </is>
      </c>
      <c r="D87" s="13" t="n"/>
      <c r="E87" s="14">
        <f>SUM(E76:E86)</f>
        <v/>
      </c>
      <c r="F87" s="14">
        <f>SUM(F76:F86)</f>
        <v/>
      </c>
      <c r="G87" s="13" t="n"/>
      <c r="H87" s="13" t="n"/>
      <c r="I87" s="13" t="n"/>
      <c r="J87" s="13" t="n"/>
      <c r="K87" s="14">
        <f>SUM(K76:K86)</f>
        <v/>
      </c>
      <c r="L87" s="13" t="n"/>
      <c r="M87" s="15" t="inlineStr">
        <is>
          <t>Printed totals: 93,199 SF (0 vacant); base rent $61,264.81/mo; prorated annual $706,286.40 ($7.58/SF); recoveries $12,882.88 + $18,889.24 + $1,375.24/mo; gross rents $92,004.56/mo ($11.85/SF). Colliers report run 1/7/2025 for 12/1-12/31/2024.</t>
        </is>
      </c>
    </row>
    <row r="88"/>
    <row r="89">
      <c r="A89" s="10" t="inlineStr">
        <is>
          <t>6475 E. 56th Ave (R0091912) — McElroy Metal Mill Inc. dba Metal Mart, single-tenant lease chronology (rent includes taxes &amp; insurance)</t>
        </is>
      </c>
      <c r="B89" s="20" t="n"/>
      <c r="C89" s="20" t="n"/>
      <c r="D89" s="20" t="n"/>
      <c r="E89" s="20" t="n"/>
      <c r="F89" s="20" t="n"/>
      <c r="G89" s="20" t="n"/>
      <c r="H89" s="20" t="n"/>
      <c r="I89" s="20" t="n"/>
      <c r="J89" s="20" t="n"/>
      <c r="K89" s="20" t="n"/>
      <c r="L89" s="20" t="n"/>
      <c r="M89" s="21" t="n"/>
    </row>
    <row r="90">
      <c r="A90" s="6" t="inlineStr">
        <is>
          <t>6475 E. 56th Ave</t>
        </is>
      </c>
      <c r="B90" s="6" t="inlineStr">
        <is>
          <t>Base term</t>
        </is>
      </c>
      <c r="C90" s="6" t="inlineStr">
        <is>
          <t>McElroy Metal Mill Inc. dba Metal Mart</t>
        </is>
      </c>
      <c r="D90" s="6" t="inlineStr">
        <is>
          <t>Gross (taxes &amp; insurance included)</t>
        </is>
      </c>
      <c r="E90" s="9" t="n">
        <v>9125</v>
      </c>
      <c r="F90" s="6" t="n">
        <v>109500</v>
      </c>
      <c r="G90" s="6" t="n">
        <v>8.73</v>
      </c>
      <c r="H90" s="5" t="inlineStr">
        <is>
          <t>2/1/2017</t>
        </is>
      </c>
      <c r="I90" s="5" t="inlineStr">
        <is>
          <t>1/31/2018</t>
        </is>
      </c>
      <c r="J90" s="5" t="inlineStr">
        <is>
          <t>—</t>
        </is>
      </c>
      <c r="K90" s="9" t="n"/>
      <c r="L90" s="6" t="n"/>
      <c r="M90" s="6" t="inlineStr">
        <is>
          <t>Original Short Form Lease dated 10/11/2016; taxes &amp; insurance included in rent | 12,540 SF building on ~2 acres</t>
        </is>
      </c>
    </row>
    <row r="91">
      <c r="A91" s="6" t="inlineStr">
        <is>
          <t>6475 E. 56th Ave</t>
        </is>
      </c>
      <c r="B91" s="6" t="inlineStr">
        <is>
          <t>Option 1</t>
        </is>
      </c>
      <c r="C91" s="6" t="inlineStr">
        <is>
          <t>McElroy Metal Mill Inc. dba Metal Mart</t>
        </is>
      </c>
      <c r="D91" s="6" t="inlineStr">
        <is>
          <t>Gross (taxes &amp; insurance included)</t>
        </is>
      </c>
      <c r="E91" s="9" t="n">
        <v>9125</v>
      </c>
      <c r="F91" s="6" t="n">
        <v>109500</v>
      </c>
      <c r="G91" s="6" t="n">
        <v>8.73</v>
      </c>
      <c r="H91" s="5" t="inlineStr">
        <is>
          <t>2/1/2018</t>
        </is>
      </c>
      <c r="I91" s="5" t="inlineStr">
        <is>
          <t>1/31/2019</t>
        </is>
      </c>
      <c r="J91" s="5" t="inlineStr">
        <is>
          <t>1-yr option</t>
        </is>
      </c>
      <c r="K91" s="9" t="n"/>
      <c r="L91" s="6" t="n"/>
      <c r="M91" s="6" t="inlineStr">
        <is>
          <t>First of four 1-yr options under the original lease</t>
        </is>
      </c>
    </row>
    <row r="92">
      <c r="A92" s="6" t="inlineStr">
        <is>
          <t>6475 E. 56th Ave</t>
        </is>
      </c>
      <c r="B92" s="6" t="inlineStr">
        <is>
          <t>Option 2</t>
        </is>
      </c>
      <c r="C92" s="6" t="inlineStr">
        <is>
          <t>McElroy Metal Mill Inc. dba Metal Mart</t>
        </is>
      </c>
      <c r="D92" s="6" t="inlineStr">
        <is>
          <t>Gross (taxes &amp; insurance included)</t>
        </is>
      </c>
      <c r="E92" s="9" t="n">
        <v>9250</v>
      </c>
      <c r="F92" s="6" t="n">
        <v>111000</v>
      </c>
      <c r="G92" s="6" t="n">
        <v>8.85</v>
      </c>
      <c r="H92" s="5" t="inlineStr">
        <is>
          <t>2/1/2019</t>
        </is>
      </c>
      <c r="I92" s="5" t="inlineStr">
        <is>
          <t>1/31/2020</t>
        </is>
      </c>
      <c r="J92" s="5" t="inlineStr">
        <is>
          <t>1-yr option</t>
        </is>
      </c>
      <c r="K92" s="9" t="n"/>
      <c r="L92" s="6" t="n"/>
      <c r="M92" s="6" t="inlineStr"/>
    </row>
    <row r="93">
      <c r="A93" s="6" t="inlineStr">
        <is>
          <t>6475 E. 56th Ave</t>
        </is>
      </c>
      <c r="B93" s="6" t="inlineStr">
        <is>
          <t>Option 3</t>
        </is>
      </c>
      <c r="C93" s="6" t="inlineStr">
        <is>
          <t>McElroy Metal Mill Inc. dba Metal Mart</t>
        </is>
      </c>
      <c r="D93" s="6" t="inlineStr">
        <is>
          <t>Gross (taxes &amp; insurance included)</t>
        </is>
      </c>
      <c r="E93" s="9" t="n">
        <v>9375</v>
      </c>
      <c r="F93" s="6" t="n">
        <v>112500</v>
      </c>
      <c r="G93" s="6" t="n">
        <v>8.970000000000001</v>
      </c>
      <c r="H93" s="5" t="inlineStr">
        <is>
          <t>2/1/2020</t>
        </is>
      </c>
      <c r="I93" s="5" t="inlineStr">
        <is>
          <t>1/31/2021</t>
        </is>
      </c>
      <c r="J93" s="5" t="inlineStr">
        <is>
          <t>1-yr option</t>
        </is>
      </c>
      <c r="K93" s="9" t="n"/>
      <c r="L93" s="6" t="n"/>
      <c r="M93" s="6" t="inlineStr"/>
    </row>
    <row r="94">
      <c r="A94" s="6" t="inlineStr">
        <is>
          <t>6475 E. 56th Ave</t>
        </is>
      </c>
      <c r="B94" s="6" t="inlineStr">
        <is>
          <t>Option 4</t>
        </is>
      </c>
      <c r="C94" s="6" t="inlineStr">
        <is>
          <t>McElroy Metal Mill Inc. dba Metal Mart</t>
        </is>
      </c>
      <c r="D94" s="6" t="inlineStr">
        <is>
          <t>Gross (taxes &amp; insurance included)</t>
        </is>
      </c>
      <c r="E94" s="9" t="n">
        <v>9500</v>
      </c>
      <c r="F94" s="6" t="n">
        <v>114000</v>
      </c>
      <c r="G94" s="6" t="n">
        <v>9.09</v>
      </c>
      <c r="H94" s="5" t="inlineStr">
        <is>
          <t>2/1/2021</t>
        </is>
      </c>
      <c r="I94" s="5" t="inlineStr">
        <is>
          <t>1/31/2022</t>
        </is>
      </c>
      <c r="J94" s="5" t="inlineStr">
        <is>
          <t>1-yr option</t>
        </is>
      </c>
      <c r="K94" s="9" t="n"/>
      <c r="L94" s="6" t="n"/>
      <c r="M94" s="6" t="inlineStr"/>
    </row>
    <row r="95">
      <c r="A95" s="6" t="inlineStr">
        <is>
          <t>6475 E. 56th Ave</t>
        </is>
      </c>
      <c r="B95" s="6" t="inlineStr">
        <is>
          <t>Extension</t>
        </is>
      </c>
      <c r="C95" s="6" t="inlineStr">
        <is>
          <t>McElroy Metal Mill Inc. dba Metal Mart</t>
        </is>
      </c>
      <c r="D95" s="6" t="inlineStr">
        <is>
          <t>Gross (taxes &amp; insurance included)</t>
        </is>
      </c>
      <c r="E95" s="9" t="n">
        <v>13750</v>
      </c>
      <c r="F95" s="6" t="n">
        <v>165000</v>
      </c>
      <c r="G95" s="6" t="n">
        <v>13.16</v>
      </c>
      <c r="H95" s="5" t="inlineStr">
        <is>
          <t>2/1/2022</t>
        </is>
      </c>
      <c r="I95" s="5" t="inlineStr">
        <is>
          <t>1/31/2025</t>
        </is>
      </c>
      <c r="J95" s="5" t="inlineStr">
        <is>
          <t>—</t>
        </is>
      </c>
      <c r="K95" s="9" t="n"/>
      <c r="L95" s="6" t="n"/>
      <c r="M95" s="6" t="inlineStr">
        <is>
          <t>Lease Extension Agreement dated 10/25/2021; three further 1-yr options at +$250/mo each</t>
        </is>
      </c>
    </row>
    <row r="96">
      <c r="A96" s="6" t="inlineStr">
        <is>
          <t>6475 E. 56th Ave</t>
        </is>
      </c>
      <c r="B96" s="6" t="inlineStr">
        <is>
          <t>Ext. option 1</t>
        </is>
      </c>
      <c r="C96" s="6" t="inlineStr">
        <is>
          <t>McElroy Metal Mill Inc. dba Metal Mart</t>
        </is>
      </c>
      <c r="D96" s="6" t="inlineStr">
        <is>
          <t>Gross (taxes &amp; insurance included)</t>
        </is>
      </c>
      <c r="E96" s="9" t="n">
        <v>14000</v>
      </c>
      <c r="F96" s="6" t="n">
        <v>168000</v>
      </c>
      <c r="G96" s="6" t="n">
        <v>13.4</v>
      </c>
      <c r="H96" s="5" t="inlineStr">
        <is>
          <t>2/1/2025</t>
        </is>
      </c>
      <c r="I96" s="5" t="inlineStr">
        <is>
          <t>1/31/2026</t>
        </is>
      </c>
      <c r="J96" s="5" t="inlineStr">
        <is>
          <t>1-yr option</t>
        </is>
      </c>
      <c r="K96" s="9" t="n"/>
      <c r="L96" s="6" t="n"/>
      <c r="M96" s="6" t="inlineStr">
        <is>
          <t>Exercised by McElroy letter dated 10/22/2024</t>
        </is>
      </c>
    </row>
    <row r="97">
      <c r="A97" s="6" t="inlineStr">
        <is>
          <t>6475 E. 56th Ave</t>
        </is>
      </c>
      <c r="B97" s="6" t="inlineStr">
        <is>
          <t>Ext. option 2</t>
        </is>
      </c>
      <c r="C97" s="6" t="inlineStr">
        <is>
          <t>McElroy Metal Mill Inc. dba Metal Mart</t>
        </is>
      </c>
      <c r="D97" s="6" t="inlineStr">
        <is>
          <t>Gross (taxes &amp; insurance included)</t>
        </is>
      </c>
      <c r="E97" s="9" t="n">
        <v>14250</v>
      </c>
      <c r="F97" s="6" t="n">
        <v>171000</v>
      </c>
      <c r="G97" s="6" t="n">
        <v>13.64</v>
      </c>
      <c r="H97" s="5" t="inlineStr">
        <is>
          <t>2/1/2026</t>
        </is>
      </c>
      <c r="I97" s="5" t="inlineStr">
        <is>
          <t>1/31/2027</t>
        </is>
      </c>
      <c r="J97" s="5" t="inlineStr">
        <is>
          <t>1-yr option</t>
        </is>
      </c>
      <c r="K97" s="9" t="n"/>
      <c r="L97" s="6" t="n"/>
      <c r="M97" s="6" t="inlineStr">
        <is>
          <t>Exercised by McElroy letter dated 10/10/2025</t>
        </is>
      </c>
    </row>
  </sheetData>
  <mergeCells count="8">
    <mergeCell ref="A1:M1"/>
    <mergeCell ref="A45:M45"/>
    <mergeCell ref="A5:M5"/>
    <mergeCell ref="A27:M27"/>
    <mergeCell ref="A89:M89"/>
    <mergeCell ref="A18:M18"/>
    <mergeCell ref="A21:M2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5"/>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6" t="inlineStr">
        <is>
          <t>1540 Altura Blvd (R0085571)</t>
        </is>
      </c>
      <c r="B11" s="5" t="inlineStr">
        <is>
          <t>2025</t>
        </is>
      </c>
      <c r="C11" s="9" t="n">
        <v>3309468</v>
      </c>
      <c r="D11" s="16" t="n">
        <v>121.95</v>
      </c>
      <c r="E11" s="9" t="n">
        <v>2546900</v>
      </c>
      <c r="F11" s="16" t="n">
        <v>93.84999999999999</v>
      </c>
      <c r="G11" s="9" t="n">
        <v>3571199</v>
      </c>
      <c r="H11" s="6" t="inlineStr">
        <is>
          <t>R0085571</t>
        </is>
      </c>
    </row>
    <row r="12" ht="28" customHeight="1">
      <c r="A12" s="6" t="inlineStr">
        <is>
          <t>15413 E 18th Ave (R0086010)</t>
        </is>
      </c>
      <c r="B12" s="5" t="inlineStr">
        <is>
          <t>2026</t>
        </is>
      </c>
      <c r="C12" s="9" t="n">
        <v>8187500</v>
      </c>
      <c r="D12" s="16" t="n">
        <v>141.79</v>
      </c>
      <c r="E12" s="9" t="n">
        <v>6610000</v>
      </c>
      <c r="F12" s="16" t="n">
        <v>114.47</v>
      </c>
      <c r="G12" s="9" t="n"/>
      <c r="H12" s="6" t="inlineStr">
        <is>
          <t>R0086010</t>
        </is>
      </c>
    </row>
    <row r="13">
      <c r="A13" s="6" t="inlineStr">
        <is>
          <t>10350 Washington St (R0040829)</t>
        </is>
      </c>
      <c r="B13" s="5" t="inlineStr">
        <is>
          <t>2025/2026</t>
        </is>
      </c>
      <c r="C13" s="9" t="n">
        <v>5428808</v>
      </c>
      <c r="D13" s="16" t="n">
        <v>112.51</v>
      </c>
      <c r="E13" s="9" t="n">
        <v>4510000</v>
      </c>
      <c r="F13" s="16" t="n">
        <v>93.47</v>
      </c>
      <c r="G13" s="9" t="n"/>
      <c r="H13" s="6" t="inlineStr">
        <is>
          <t>R0040829</t>
        </is>
      </c>
    </row>
    <row r="14">
      <c r="A14" s="6" t="inlineStr">
        <is>
          <t>5720 Holly St (R0091907)</t>
        </is>
      </c>
      <c r="B14" s="5" t="inlineStr">
        <is>
          <t>2025</t>
        </is>
      </c>
      <c r="C14" s="9" t="n">
        <v>6896593</v>
      </c>
      <c r="D14" s="16" t="n">
        <v>126.99</v>
      </c>
      <c r="E14" s="9" t="n">
        <v>6113000</v>
      </c>
      <c r="F14" s="16" t="n">
        <v>112.58</v>
      </c>
      <c r="G14" s="9" t="n"/>
      <c r="H14" s="6" t="inlineStr">
        <is>
          <t>R0091907</t>
        </is>
      </c>
    </row>
    <row r="15" ht="30" customHeight="1">
      <c r="A15" s="6" t="inlineStr">
        <is>
          <t>6125 E. 56th Ave (R0091909)</t>
        </is>
      </c>
      <c r="B15" s="5" t="inlineStr">
        <is>
          <t>2025</t>
        </is>
      </c>
      <c r="C15" s="9" t="n">
        <v>6018844</v>
      </c>
      <c r="D15" s="16" t="n">
        <v>150.47</v>
      </c>
      <c r="E15" s="9" t="n">
        <v>3975000</v>
      </c>
      <c r="F15" s="16" t="n">
        <v>99.38</v>
      </c>
      <c r="G15" s="9" t="n"/>
      <c r="H15" s="6" t="inlineStr">
        <is>
          <t>R0091909</t>
        </is>
      </c>
    </row>
    <row r="16">
      <c r="A16" s="6" t="inlineStr">
        <is>
          <t>6300 E. 58th Ave (R0091931)</t>
        </is>
      </c>
      <c r="B16" s="5" t="inlineStr">
        <is>
          <t>2025</t>
        </is>
      </c>
      <c r="C16" s="9" t="n">
        <v>11719385</v>
      </c>
      <c r="D16" s="16" t="n">
        <v>130.22</v>
      </c>
      <c r="E16" s="9" t="n">
        <v>9450000</v>
      </c>
      <c r="F16" s="16" t="n">
        <v>105</v>
      </c>
      <c r="G16" s="9" t="n"/>
      <c r="H16" s="6" t="inlineStr">
        <is>
          <t>R0091931</t>
        </is>
      </c>
    </row>
    <row r="17">
      <c r="A17" s="6" t="inlineStr">
        <is>
          <t>5800 E. 58th Ave (R0091933)</t>
        </is>
      </c>
      <c r="B17" s="5" t="inlineStr">
        <is>
          <t>2025</t>
        </is>
      </c>
      <c r="C17" s="9" t="n">
        <v>4645796</v>
      </c>
      <c r="D17" s="16" t="n">
        <v>163.01</v>
      </c>
      <c r="E17" s="9" t="n">
        <v>3210000</v>
      </c>
      <c r="F17" s="16" t="n">
        <v>112.63</v>
      </c>
      <c r="G17" s="9" t="n"/>
      <c r="H17" s="6" t="inlineStr">
        <is>
          <t>R0091933</t>
        </is>
      </c>
    </row>
    <row r="18">
      <c r="A18" s="6" t="inlineStr">
        <is>
          <t>5750 E. 58th Ave (R0091934)</t>
        </is>
      </c>
      <c r="B18" s="5" t="inlineStr">
        <is>
          <t>2025</t>
        </is>
      </c>
      <c r="C18" s="9" t="n">
        <v>4905358</v>
      </c>
      <c r="D18" s="16" t="n">
        <v>150.47</v>
      </c>
      <c r="E18" s="9" t="n">
        <v>3710000</v>
      </c>
      <c r="F18" s="16" t="n">
        <v>113.8</v>
      </c>
      <c r="G18" s="9" t="n"/>
      <c r="H18" s="6" t="inlineStr">
        <is>
          <t>R0091934</t>
        </is>
      </c>
    </row>
    <row r="19">
      <c r="A19" s="6" t="inlineStr">
        <is>
          <t>6701 E. 50th Ave (R0092711)</t>
        </is>
      </c>
      <c r="B19" s="5" t="inlineStr">
        <is>
          <t>2025</t>
        </is>
      </c>
      <c r="C19" s="9" t="n">
        <v>11783901</v>
      </c>
      <c r="D19" s="16" t="n">
        <v>126.44</v>
      </c>
      <c r="E19" s="9" t="n">
        <v>10000000</v>
      </c>
      <c r="F19" s="16" t="n">
        <v>107.3</v>
      </c>
      <c r="G19" s="9" t="n"/>
      <c r="H19" s="6" t="inlineStr">
        <is>
          <t>R0092711</t>
        </is>
      </c>
    </row>
    <row r="20">
      <c r="A20" s="6" t="inlineStr">
        <is>
          <t>4950 Olive St (R0092720)</t>
        </is>
      </c>
      <c r="B20" s="5" t="inlineStr">
        <is>
          <t>2026</t>
        </is>
      </c>
      <c r="C20" s="9" t="n">
        <v>1812965</v>
      </c>
      <c r="D20" s="16" t="n"/>
      <c r="E20" s="9" t="n">
        <v>1290000</v>
      </c>
      <c r="F20" s="16" t="n"/>
      <c r="G20" s="9" t="n"/>
      <c r="H20" s="6" t="inlineStr">
        <is>
          <t>R0092720</t>
        </is>
      </c>
    </row>
    <row r="21">
      <c r="A21" s="6" t="inlineStr">
        <is>
          <t>4950 Olive St (R0092720) — BAA</t>
        </is>
      </c>
      <c r="B21" s="5" t="inlineStr">
        <is>
          <t>2025 (as ordered)</t>
        </is>
      </c>
      <c r="C21" s="9" t="n">
        <v>1812965</v>
      </c>
      <c r="D21" s="16" t="n"/>
      <c r="E21" s="9" t="n">
        <v>1290000</v>
      </c>
      <c r="F21" s="16" t="n"/>
      <c r="G21" s="9" t="n"/>
      <c r="H21" s="6" t="inlineStr">
        <is>
          <t>BAA docket 2025BAA2346</t>
        </is>
      </c>
    </row>
    <row r="22" ht="28" customHeight="1">
      <c r="A22" s="6" t="inlineStr">
        <is>
          <t>6475 Franklin St (R0098149)</t>
        </is>
      </c>
      <c r="B22" s="5" t="inlineStr">
        <is>
          <t>2025 reappraisal</t>
        </is>
      </c>
      <c r="C22" s="9" t="inlineStr">
        <is>
          <t>—</t>
        </is>
      </c>
      <c r="D22" s="16" t="n"/>
      <c r="E22" s="9" t="inlineStr">
        <is>
          <t>—</t>
        </is>
      </c>
      <c r="F22" s="16" t="n"/>
      <c r="G22" s="9" t="n"/>
      <c r="H22" s="6" t="inlineStr">
        <is>
          <t>R0098149 (survey only)</t>
        </is>
      </c>
    </row>
    <row r="24">
      <c r="A24" s="18" t="inlineStr">
        <is>
          <t>Historical detail — R0178308: 2025 Land $1,125,150 / Imp $4,025,175 / Total $5,150,325; 2024 Total $4,999,770.  R0169133: 2025 Land $992,519 / Imp $2,122,296 / schedule Total $3,114,815 (cover shows $3,408,546); 2024 Total $2,900,000.  R0024442: 2024 County $2,000,000 → 2025 $3,876,387 (+93.8%).  R0085571: 2025 Land $312,543 / Imp $2,996,925; 2024 total $3,571,199 ($131.59/SF). R0086010: 2026 Land $1,834,350 / Imp $6,353,150. R0040829: Land $955,465 / Imp $4,473,343.  4950 Olive St: BAA Order approving Stipulation (docket 2025BAA2346, dated 4/30/2026) reduced the TY2025 actual value from $1,812,965 (Land $87,457 + Improvements $1,725,508) to $1,290,000 (Land $87,457 + Improvements $1,202,543); stated reason — "On review of the area base leases the mass appraisal rent rate was adjusted to reflect the income for this property type and location." The TY2026 protest asks that the same value carry over. 6475 E. 56th Ave (R0091912) carries no assessor value in its package; the 2025 insurance declaration states a building limit of $1,291,900. 6475 Franklin St (R0098149) is an assessor income/expense survey with no value stated.</t>
        </is>
      </c>
      <c r="B24" s="20" t="n"/>
      <c r="C24" s="20" t="n"/>
      <c r="D24" s="20" t="n"/>
      <c r="E24" s="20" t="n"/>
      <c r="F24" s="20" t="n"/>
      <c r="G24" s="20" t="n"/>
      <c r="H24" s="21" t="n"/>
    </row>
    <row r="26">
      <c r="A26" s="17" t="inlineStr">
        <is>
          <t>B. Income-Approach Proformas</t>
        </is>
      </c>
      <c r="B26" s="20" t="n"/>
      <c r="C26" s="20" t="n"/>
      <c r="D26" s="20" t="n"/>
      <c r="E26" s="20" t="n"/>
      <c r="F26" s="20" t="n"/>
      <c r="G26" s="20" t="n"/>
      <c r="H26" s="21" t="n"/>
    </row>
    <row r="27">
      <c r="A27" s="4" t="inlineStr">
        <is>
          <t>Property</t>
        </is>
      </c>
      <c r="B27" s="4" t="inlineStr">
        <is>
          <t>PGI</t>
        </is>
      </c>
      <c r="C27" s="4" t="inlineStr">
        <is>
          <t>Vacancy</t>
        </is>
      </c>
      <c r="D27" s="4" t="inlineStr">
        <is>
          <t>EGI</t>
        </is>
      </c>
      <c r="E27" s="4" t="inlineStr">
        <is>
          <t>Operating Exp</t>
        </is>
      </c>
      <c r="F27" s="4" t="inlineStr">
        <is>
          <t>NOI</t>
        </is>
      </c>
      <c r="G27" s="4" t="inlineStr">
        <is>
          <t>Cap Rate</t>
        </is>
      </c>
      <c r="H27" s="4" t="inlineStr">
        <is>
          <t>Indicated Value</t>
        </is>
      </c>
    </row>
    <row r="28">
      <c r="A28" s="6" t="inlineStr">
        <is>
          <t>7205 Gilpin Way</t>
        </is>
      </c>
      <c r="B28" s="9" t="n">
        <v>359394</v>
      </c>
      <c r="C28" s="9" t="n">
        <v>-17970</v>
      </c>
      <c r="D28" s="9" t="n">
        <v>341424</v>
      </c>
      <c r="E28" s="9" t="n">
        <v>-27314</v>
      </c>
      <c r="F28" s="14" t="n">
        <v>314110</v>
      </c>
      <c r="G28" s="19" t="n">
        <v>0.065</v>
      </c>
      <c r="H28" s="14" t="n">
        <v>4832500</v>
      </c>
    </row>
    <row r="29">
      <c r="A29" s="6" t="inlineStr">
        <is>
          <t>17608 E. 24th Dr</t>
        </is>
      </c>
      <c r="B29" s="9" t="n">
        <v>209100</v>
      </c>
      <c r="C29" s="9" t="n">
        <v>-10455</v>
      </c>
      <c r="D29" s="9" t="n">
        <v>198645</v>
      </c>
      <c r="E29" s="9" t="n">
        <v>-15892</v>
      </c>
      <c r="F29" s="14" t="n">
        <v>182753</v>
      </c>
      <c r="G29" s="19" t="n">
        <v>0.06</v>
      </c>
      <c r="H29" s="14" t="n">
        <v>3050000</v>
      </c>
    </row>
    <row r="30">
      <c r="A30" s="6" t="inlineStr">
        <is>
          <t>12260 Pennsylvania St</t>
        </is>
      </c>
      <c r="B30" s="9" t="n">
        <v>237290</v>
      </c>
      <c r="C30" s="9" t="n">
        <v>-16610</v>
      </c>
      <c r="D30" s="9" t="n">
        <v>220680</v>
      </c>
      <c r="E30" s="9" t="n">
        <v>-22068</v>
      </c>
      <c r="F30" s="14" t="n">
        <v>198612</v>
      </c>
      <c r="G30" s="19" t="n">
        <v>0.07000000000000001</v>
      </c>
      <c r="H30" s="14" t="n">
        <v>2837000</v>
      </c>
    </row>
    <row r="31">
      <c r="A31" s="6" t="inlineStr">
        <is>
          <t>6770 E. 56th Ave</t>
        </is>
      </c>
      <c r="B31" s="9" t="n">
        <v>115824</v>
      </c>
      <c r="C31" s="9" t="n">
        <v>-5791</v>
      </c>
      <c r="D31" s="9" t="n">
        <v>110033</v>
      </c>
      <c r="E31" s="9" t="n">
        <v>-5502</v>
      </c>
      <c r="F31" s="14" t="n">
        <v>104531</v>
      </c>
      <c r="G31" s="19" t="n">
        <v>0.07000000000000001</v>
      </c>
      <c r="H31" s="14" t="n">
        <v>1493302</v>
      </c>
    </row>
    <row r="32">
      <c r="A32" s="6" t="inlineStr">
        <is>
          <t>5970 Marion Drive (mkt)</t>
        </is>
      </c>
      <c r="B32" s="9" t="n">
        <v>172800</v>
      </c>
      <c r="C32" s="9" t="n">
        <v>-8640</v>
      </c>
      <c r="D32" s="9" t="n">
        <v>164160</v>
      </c>
      <c r="E32" s="9" t="n">
        <v>-4223</v>
      </c>
      <c r="F32" s="14" t="n">
        <v>159937</v>
      </c>
      <c r="G32" s="19" t="n">
        <v>0.065</v>
      </c>
      <c r="H32" s="14" t="n">
        <v>2460577</v>
      </c>
    </row>
    <row r="33">
      <c r="A33" s="6" t="inlineStr">
        <is>
          <t>1540 Altura Blvd</t>
        </is>
      </c>
      <c r="B33" s="9" t="n">
        <v>413870</v>
      </c>
      <c r="C33" s="9" t="n">
        <v>0</v>
      </c>
      <c r="D33" s="9" t="n">
        <v>413870</v>
      </c>
      <c r="E33" s="9" t="n">
        <v>-248322</v>
      </c>
      <c r="F33" s="14" t="n">
        <v>165548</v>
      </c>
      <c r="G33" s="19" t="n">
        <v>0.065</v>
      </c>
      <c r="H33" s="14" t="n">
        <v>2546900</v>
      </c>
    </row>
    <row r="34">
      <c r="A34" s="6" t="inlineStr">
        <is>
          <t>15413 E 18th Ave</t>
        </is>
      </c>
      <c r="B34" s="9" t="n">
        <v>750646</v>
      </c>
      <c r="C34" s="9" t="n">
        <v>-90078</v>
      </c>
      <c r="D34" s="9" t="n">
        <v>660568</v>
      </c>
      <c r="E34" s="9" t="n">
        <v>-231199</v>
      </c>
      <c r="F34" s="14" t="n">
        <v>429370</v>
      </c>
      <c r="G34" s="19" t="n">
        <v>0.065</v>
      </c>
      <c r="H34" s="14" t="n">
        <v>6610000</v>
      </c>
    </row>
    <row r="35">
      <c r="A35" s="6" t="inlineStr">
        <is>
          <t>10350 Washington St</t>
        </is>
      </c>
      <c r="B35" s="9" t="n">
        <v>796125</v>
      </c>
      <c r="C35" s="9" t="n">
        <v>-119419</v>
      </c>
      <c r="D35" s="9" t="n">
        <v>676706</v>
      </c>
      <c r="E35" s="9" t="n">
        <v>-372188</v>
      </c>
      <c r="F35" s="14" t="n">
        <v>304518</v>
      </c>
      <c r="G35" s="19" t="n">
        <v>0.0675</v>
      </c>
      <c r="H35" s="14" t="n">
        <v>4510000</v>
      </c>
    </row>
    <row r="36">
      <c r="A36" s="6" t="inlineStr">
        <is>
          <t>5720 Holly St (2024 actual rent)</t>
        </is>
      </c>
      <c r="B36" s="9" t="n">
        <v>473496</v>
      </c>
      <c r="C36" s="9" t="n">
        <v>-23675</v>
      </c>
      <c r="D36" s="9" t="n">
        <v>449821</v>
      </c>
      <c r="E36" s="9" t="n">
        <v>-35986</v>
      </c>
      <c r="F36" s="14" t="n">
        <v>413836</v>
      </c>
      <c r="G36" s="19" t="n">
        <v>0.06619999999999999</v>
      </c>
      <c r="H36" s="14" t="n">
        <v>6251292</v>
      </c>
    </row>
    <row r="37">
      <c r="A37" s="6" t="inlineStr">
        <is>
          <t>6701 E. 50th Ave (2024 actual rent)</t>
        </is>
      </c>
      <c r="B37" s="9" t="n">
        <v>726952</v>
      </c>
      <c r="C37" s="9" t="n">
        <v>-36348</v>
      </c>
      <c r="D37" s="9" t="n">
        <v>690605</v>
      </c>
      <c r="E37" s="9" t="n">
        <v>-55248</v>
      </c>
      <c r="F37" s="14" t="n">
        <v>635356</v>
      </c>
      <c r="G37" s="19" t="n">
        <v>0.065</v>
      </c>
      <c r="H37" s="14" t="n">
        <v>9774711</v>
      </c>
    </row>
    <row r="38">
      <c r="A38" s="6" t="inlineStr">
        <is>
          <t>6125 E. 56th Ave (direct cap)</t>
        </is>
      </c>
      <c r="B38" s="9" t="n">
        <v>531800</v>
      </c>
      <c r="C38" s="9" t="n">
        <v>-42544</v>
      </c>
      <c r="D38" s="9" t="n">
        <v>489256</v>
      </c>
      <c r="E38" s="9" t="n">
        <v>-94678</v>
      </c>
      <c r="F38" s="14" t="n">
        <v>394578</v>
      </c>
      <c r="G38" s="19" t="n">
        <v>0.097</v>
      </c>
      <c r="H38" s="14" t="n">
        <v>4067814</v>
      </c>
    </row>
    <row r="39">
      <c r="A39" s="6" t="inlineStr">
        <is>
          <t>6125 E. 56th Ave (avg 2023-24 actual)</t>
        </is>
      </c>
      <c r="B39" s="9" t="n"/>
      <c r="C39" s="9" t="n"/>
      <c r="D39" s="9" t="n">
        <v>471549</v>
      </c>
      <c r="E39" s="9" t="n"/>
      <c r="F39" s="14" t="n">
        <v>383857</v>
      </c>
      <c r="G39" s="19" t="n">
        <v>0.097</v>
      </c>
      <c r="H39" s="14" t="n">
        <v>3957289</v>
      </c>
    </row>
    <row r="40">
      <c r="A40" s="6" t="inlineStr">
        <is>
          <t>6300 E. 58th Ave (avg 2023-24 actual)</t>
        </is>
      </c>
      <c r="B40" s="9" t="n"/>
      <c r="C40" s="9" t="n"/>
      <c r="D40" s="9" t="n">
        <v>1170943</v>
      </c>
      <c r="E40" s="9" t="n"/>
      <c r="F40" s="14" t="n">
        <v>916917</v>
      </c>
      <c r="G40" s="19" t="n">
        <v>0.097</v>
      </c>
      <c r="H40" s="14" t="n">
        <v>9452753</v>
      </c>
    </row>
    <row r="41">
      <c r="A41" s="6" t="inlineStr">
        <is>
          <t>5800 E. 58th Ave (direct cap)</t>
        </is>
      </c>
      <c r="B41" s="9" t="n">
        <v>428625</v>
      </c>
      <c r="C41" s="9" t="n">
        <v>-34290</v>
      </c>
      <c r="D41" s="9" t="n">
        <v>394335</v>
      </c>
      <c r="E41" s="9" t="n">
        <v>-83830</v>
      </c>
      <c r="F41" s="14" t="n">
        <v>310505</v>
      </c>
      <c r="G41" s="19" t="n">
        <v>0.097</v>
      </c>
      <c r="H41" s="14" t="n">
        <v>3201082</v>
      </c>
    </row>
    <row r="42">
      <c r="A42" s="6" t="inlineStr">
        <is>
          <t>5800 E. 58th Ave (avg 2023-24 actual)</t>
        </is>
      </c>
      <c r="B42" s="9" t="n"/>
      <c r="C42" s="9" t="n"/>
      <c r="D42" s="9" t="n">
        <v>376821</v>
      </c>
      <c r="E42" s="9" t="n"/>
      <c r="F42" s="14" t="n">
        <v>312287</v>
      </c>
      <c r="G42" s="19" t="n">
        <v>0.097</v>
      </c>
      <c r="H42" s="14" t="n">
        <v>3219454</v>
      </c>
    </row>
    <row r="43">
      <c r="A43" s="6" t="inlineStr">
        <is>
          <t>5750 E. 58th Ave (avg 2023-24 actual)</t>
        </is>
      </c>
      <c r="B43" s="9" t="n"/>
      <c r="C43" s="9" t="n"/>
      <c r="D43" s="9" t="n">
        <v>435616</v>
      </c>
      <c r="E43" s="9" t="n"/>
      <c r="F43" s="14" t="n">
        <v>359682</v>
      </c>
      <c r="G43" s="19" t="n">
        <v>0.097</v>
      </c>
      <c r="H43" s="14" t="n">
        <v>3708062</v>
      </c>
    </row>
    <row r="45">
      <c r="A45" s="18" t="inlineStr">
        <is>
          <t>Proforma vacancy/EGI figures as reported by each preparer (Ryan, Property Tax Advisors, or owner's analysis). 5970 Marion figures are from the owner's income-approach block in the 2024 P&amp;L workbook (PGI $172,800, 95% occ, NOI $159,938, 6.5% cap → $2,460,577; assigned $2,527,915). Self-storage proformas (Ryan): Altura EGI at 0% vacancy, OpEx 60% of EGI; 18th Ave base rent $13.00/SF NNN, 12% vacancy, non-reimbursable expenses 35%; Washington St base rent $16.50/SF NNN, 15% vacancy, non-reimbursable expenses 55%. Indicated values rounded by preparer. Commerce City batch: 5720 Holly St and 6701 E. 50th Ave (1st Net) capitalize actual rent-roll income at an unloaded rate with formulaic expenses (management 3% + reserve/owner 5% of EGI). The four Sterling appeals capitalize at 7.25% plus a 2.45% real-estate tax load = 9.70% and therefore exclude RE tax from expenses. Sterling shows two indications per property — a direct-capitalization proforma and an average of actual 2023/2024 income — and the EGI shown here for the average-income rows is the mean of the two years' effective gross income. 6125 E. 56th Ave deducts lease-up costs (rent loss $18,200 + TI/commissions $73,700) from $4,067,814 to reach $3,975,914, rounded to $3,975,000. 5800 E. 58th Ave's two indications ($3,200,000 and $3,220,000) bracket the $3,210,000 actually requested. 5720 Holly St's 6.62% rate is the Lowery Property Advisors 2024 warehouse rate; its sales grid indicated $5,870,959 ($108.12/SF) versus the $6,113,000 requested, and 6701 E. 50th Ave's grid indicated $10,076,750 versus $10,000,000 requested.</t>
        </is>
      </c>
      <c r="B45" s="20" t="n"/>
      <c r="C45" s="20" t="n"/>
      <c r="D45" s="20" t="n"/>
      <c r="E45" s="20" t="n"/>
      <c r="F45" s="20" t="n"/>
      <c r="G45" s="20" t="n"/>
      <c r="H45" s="21" t="n"/>
    </row>
  </sheetData>
  <mergeCells count="6">
    <mergeCell ref="A45:H45"/>
    <mergeCell ref="A4:H4"/>
    <mergeCell ref="A26:H26"/>
    <mergeCell ref="A24:H24"/>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11" t="inlineStr">
        <is>
          <t>1540 Altura Blvd (CubeSmart #6731) — FY2024</t>
        </is>
      </c>
      <c r="B9" s="22" t="n">
        <v>414633.83</v>
      </c>
      <c r="C9" s="22" t="n">
        <v>328355.94</v>
      </c>
      <c r="D9" s="23">
        <f>B9-C9</f>
        <v/>
      </c>
      <c r="E9" s="6" t="inlineStr">
        <is>
          <t>CubeSmart consolidated income statement (store-level NOI basis; incl. property tax &amp; 3rd-party mgmt fee)</t>
        </is>
      </c>
    </row>
    <row r="10" ht="28" customHeight="1">
      <c r="A10" s="11" t="inlineStr">
        <is>
          <t>15413 E 18th Ave (CubeSmart #6730) — FY2024</t>
        </is>
      </c>
      <c r="B10" s="22" t="n">
        <v>783123.25</v>
      </c>
      <c r="C10" s="22" t="n">
        <v>499759.18</v>
      </c>
      <c r="D10" s="23">
        <f>B10-C10</f>
        <v/>
      </c>
      <c r="E10" s="6" t="inlineStr">
        <is>
          <t>CubeSmart consolidated income statement (store-level NOI basis; incl. property tax &amp; 3rd-party mgmt fee)</t>
        </is>
      </c>
    </row>
    <row r="11">
      <c r="A11" s="11" t="inlineStr">
        <is>
          <t>10350 Washington St (Mini U) — FY2024</t>
        </is>
      </c>
      <c r="B11" s="22" t="n">
        <v>790386.21</v>
      </c>
      <c r="C11" s="22" t="n">
        <v>533121.11</v>
      </c>
      <c r="D11" s="23">
        <f>B11-C11</f>
        <v/>
      </c>
      <c r="E11" s="6" t="inlineStr">
        <is>
          <t>Mini U Storage NOI &amp; NI detail (NOI basis; excl. interest/extraordinary — net cash flow before D&amp;A $158,744.75)</t>
        </is>
      </c>
    </row>
    <row r="12">
      <c r="A12" s="11" t="inlineStr">
        <is>
          <t>10350 Washington St (Mini U) — FY2023</t>
        </is>
      </c>
      <c r="B12" s="22" t="n">
        <v>899471.29</v>
      </c>
      <c r="C12" s="22" t="n">
        <v>590318.63</v>
      </c>
      <c r="D12" s="23">
        <f>B12-C12</f>
        <v/>
      </c>
      <c r="E12" s="6" t="inlineStr">
        <is>
          <t>Mini U Storage NOI &amp; NI detail, prior year (NOI basis; net cash flow before D&amp;A $162,198.05)</t>
        </is>
      </c>
    </row>
    <row r="13">
      <c r="A13" s="11" t="inlineStr">
        <is>
          <t>6125 E. 56th Ave (R0091909) — FY2023</t>
        </is>
      </c>
      <c r="B13" s="22" t="n">
        <v>493305.45</v>
      </c>
      <c r="C13" s="22" t="n">
        <v>185896.74</v>
      </c>
      <c r="D13" s="23">
        <f>B13-C13</f>
        <v/>
      </c>
      <c r="E13" s="6" t="inlineStr">
        <is>
          <t>Yardi Exhibit A income statement (accrual; incl. RE tax, excl. interest &amp; depreciation). Property NOI as printed $307,408.71.</t>
        </is>
      </c>
    </row>
    <row r="14">
      <c r="A14" s="11" t="inlineStr">
        <is>
          <t>6125 E. 56th Ave (R0091909) — FY2024</t>
        </is>
      </c>
      <c r="B14" s="22" t="n">
        <v>493211.07</v>
      </c>
      <c r="C14" s="22" t="n">
        <v>202426.5</v>
      </c>
      <c r="D14" s="23">
        <f>B14-C14</f>
        <v/>
      </c>
      <c r="E14" s="6" t="inlineStr">
        <is>
          <t>Yardi Exhibit A income statement (accrual; incl. RE tax, excl. interest &amp; depreciation). Property NOI as printed $290,784.57.</t>
        </is>
      </c>
    </row>
    <row r="15">
      <c r="A15" s="11" t="inlineStr">
        <is>
          <t>6300 E. 58th Ave (R0091931) — FY2023</t>
        </is>
      </c>
      <c r="B15" s="22" t="n">
        <v>1238350.08</v>
      </c>
      <c r="C15" s="22" t="n">
        <v>446085.22</v>
      </c>
      <c r="D15" s="23">
        <f>B15-C15</f>
        <v/>
      </c>
      <c r="E15" s="6" t="inlineStr">
        <is>
          <t>Yardi Exhibit A income statement (accrual; incl. RE tax, excl. interest &amp; depreciation). Property NOI as printed $792,264.86.</t>
        </is>
      </c>
    </row>
    <row r="16">
      <c r="A16" s="11" t="inlineStr">
        <is>
          <t>6300 E. 58th Ave (R0091931) — FY2024</t>
        </is>
      </c>
      <c r="B16" s="22" t="n">
        <v>1307177.99</v>
      </c>
      <c r="C16" s="22" t="n">
        <v>464449.6</v>
      </c>
      <c r="D16" s="23">
        <f>B16-C16</f>
        <v/>
      </c>
      <c r="E16" s="6" t="inlineStr">
        <is>
          <t>Yardi Exhibit A income statement (accrual; incl. RE tax, excl. interest &amp; depreciation). Property NOI as printed $842,728.39.</t>
        </is>
      </c>
    </row>
    <row r="17">
      <c r="A17" s="11" t="inlineStr">
        <is>
          <t>5800 E. 58th Ave (R0091933) — FY2023</t>
        </is>
      </c>
      <c r="B17" s="22" t="n">
        <v>361752.52</v>
      </c>
      <c r="C17" s="22" t="n">
        <v>136160.9</v>
      </c>
      <c r="D17" s="23">
        <f>B17-C17</f>
        <v/>
      </c>
      <c r="E17" s="6" t="inlineStr">
        <is>
          <t>Yardi Exhibit A income statement (accrual; incl. RE tax, excl. interest &amp; depreciation). Property NOI as printed $225,591.62.</t>
        </is>
      </c>
    </row>
    <row r="18">
      <c r="A18" s="11" t="inlineStr">
        <is>
          <t>5800 E. 58th Ave (R0091933) — FY2024</t>
        </is>
      </c>
      <c r="B18" s="22" t="n">
        <v>457421.94</v>
      </c>
      <c r="C18" s="22" t="n">
        <v>151255.45</v>
      </c>
      <c r="D18" s="23">
        <f>B18-C18</f>
        <v/>
      </c>
      <c r="E18" s="6" t="inlineStr">
        <is>
          <t>Yardi Exhibit A income statement (accrual; incl. RE tax, excl. interest &amp; depreciation). Property NOI as printed $306,166.49.</t>
        </is>
      </c>
    </row>
    <row r="19">
      <c r="A19" s="11" t="inlineStr">
        <is>
          <t>5750 E. 58th Ave (R0091934) — FY2023</t>
        </is>
      </c>
      <c r="B19" s="22" t="n">
        <v>449003.35</v>
      </c>
      <c r="C19" s="22" t="n">
        <v>159537.14</v>
      </c>
      <c r="D19" s="23">
        <f>B19-C19</f>
        <v/>
      </c>
      <c r="E19" s="6" t="inlineStr">
        <is>
          <t>Yardi Exhibit A income statement (accrual; incl. RE tax, excl. interest &amp; depreciation). Property NOI as printed $289,466.21.</t>
        </is>
      </c>
    </row>
    <row r="20">
      <c r="A20" s="11" t="inlineStr">
        <is>
          <t>5750 E. 58th Ave (R0091934) — FY2024</t>
        </is>
      </c>
      <c r="B20" s="22" t="n">
        <v>497987.25</v>
      </c>
      <c r="C20" s="22" t="n">
        <v>163679.88</v>
      </c>
      <c r="D20" s="23">
        <f>B20-C20</f>
        <v/>
      </c>
      <c r="E20" s="6" t="inlineStr">
        <is>
          <t>Yardi Exhibit A income statement (accrual; incl. RE tax, excl. interest &amp; depreciation). Property NOI as printed $334,307.37.</t>
        </is>
      </c>
    </row>
    <row r="21">
      <c r="A21" s="11" t="inlineStr">
        <is>
          <t>6475 E. 56th Ave (R0091912) — FY2021</t>
        </is>
      </c>
      <c r="B21" s="22" t="n">
        <v>111569</v>
      </c>
      <c r="C21" s="22" t="n">
        <v>42992</v>
      </c>
      <c r="D21" s="23">
        <f>B21-C21</f>
        <v/>
      </c>
      <c r="E21" s="6" t="inlineStr">
        <is>
          <t>IRS Form 8825 (tax basis; incl. depreciation $14,648/yr). Single tenant Metal Mart.</t>
        </is>
      </c>
    </row>
    <row r="22">
      <c r="A22" s="11" t="inlineStr">
        <is>
          <t>6475 E. 56th Ave (R0091912) — FY2022</t>
        </is>
      </c>
      <c r="B22" s="22" t="n">
        <v>160750</v>
      </c>
      <c r="C22" s="22" t="n">
        <v>56658</v>
      </c>
      <c r="D22" s="23">
        <f>B22-C22</f>
        <v/>
      </c>
      <c r="E22" s="6" t="inlineStr">
        <is>
          <t>IRS Form 8825 (tax basis; incl. depreciation $14,648/yr). Single tenant Metal Mart.</t>
        </is>
      </c>
    </row>
    <row r="23">
      <c r="A23" s="11" t="inlineStr">
        <is>
          <t>6475 E. 56th Ave (R0091912) — FY2023</t>
        </is>
      </c>
      <c r="B23" s="22" t="n">
        <v>165437</v>
      </c>
      <c r="C23" s="22" t="n">
        <v>52215</v>
      </c>
      <c r="D23" s="23">
        <f>B23-C23</f>
        <v/>
      </c>
      <c r="E23" s="6" t="inlineStr">
        <is>
          <t>IRS Form 8825 (tax basis; incl. depreciation $14,648/yr). Single tenant Metal Mart.</t>
        </is>
      </c>
    </row>
    <row r="24">
      <c r="A24" s="11" t="inlineStr">
        <is>
          <t>6475 E. 56th Ave (R0091912) — FY2024</t>
        </is>
      </c>
      <c r="B24" s="22" t="n">
        <v>171406</v>
      </c>
      <c r="C24" s="22" t="n">
        <v>57592</v>
      </c>
      <c r="D24" s="23">
        <f>B24-C24</f>
        <v/>
      </c>
      <c r="E24" s="6" t="inlineStr">
        <is>
          <t>IRS Form 8825 (tax basis; incl. depreciation $14,648/yr). Single tenant Metal Mart.</t>
        </is>
      </c>
    </row>
    <row r="25">
      <c r="A25" s="11" t="inlineStr">
        <is>
          <t>5720 Holly St (R0091907) — 2024</t>
        </is>
      </c>
      <c r="B25" s="22" t="n">
        <v>484406.52</v>
      </c>
      <c r="C25" s="22" t="n"/>
      <c r="D25" s="23" t="inlineStr">
        <is>
          <t>—</t>
        </is>
      </c>
      <c r="E25" s="6" t="inlineStr">
        <is>
          <t>Rent-roll annualized base rent at 7/1/2024; owner operating expenses not reported (the appeal analysis substitutes management 3% + reserve/owner 5%). CAM billed $195,167.28/yr.</t>
        </is>
      </c>
    </row>
    <row r="26">
      <c r="A26" s="11" t="inlineStr">
        <is>
          <t>6701 E. 50th Ave (R0092711) — Dec 2024</t>
        </is>
      </c>
      <c r="B26" s="22" t="n">
        <v>1104054.72</v>
      </c>
      <c r="C26" s="22" t="n"/>
      <c r="D26" s="23" t="inlineStr">
        <is>
          <t>—</t>
        </is>
      </c>
      <c r="E26" s="6" t="inlineStr">
        <is>
          <t>Colliers rent roll annualized gross rents ($92,004.56/mo = base $706,286.40 + recoveries $397,768.32). Owner operating expenses not reported.</t>
        </is>
      </c>
    </row>
    <row r="27">
      <c r="A27" s="11" t="inlineStr">
        <is>
          <t>6475 Franklin St (R0098149) — CY2023</t>
        </is>
      </c>
      <c r="B27" s="22" t="n"/>
      <c r="C27" s="22" t="n">
        <v>157173</v>
      </c>
      <c r="D27" s="23" t="inlineStr">
        <is>
          <t>—</t>
        </is>
      </c>
      <c r="E27" s="6" t="inlineStr">
        <is>
          <t>100% owner-occupied — no rental income. Adams County survey: 4 grid items $66,545 plus property taxes $90,477 and bank fees $151 from the Comments line; no printed total.</t>
        </is>
      </c>
    </row>
    <row r="29">
      <c r="A29"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29" s="20" t="n"/>
      <c r="C29" s="20" t="n"/>
      <c r="D29" s="20" t="n"/>
      <c r="E29" s="21" t="n"/>
    </row>
  </sheetData>
  <mergeCells count="3">
    <mergeCell ref="A2:E2"/>
    <mergeCell ref="A1:E1"/>
    <mergeCell ref="A29:E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07"/>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6" t="inlineStr">
        <is>
          <t>1540 Altura Blvd — FY2024</t>
        </is>
      </c>
      <c r="B66" s="25" t="inlineStr">
        <is>
          <t>Income</t>
        </is>
      </c>
      <c r="C66" s="6" t="inlineStr">
        <is>
          <t>Net Rental Income</t>
        </is>
      </c>
      <c r="D66" s="22" t="n">
        <v>383165.98</v>
      </c>
      <c r="E66" s="6" t="n"/>
    </row>
    <row r="67">
      <c r="A67" s="6" t="inlineStr">
        <is>
          <t>1540 Altura Blvd — FY2024</t>
        </is>
      </c>
      <c r="B67" s="25" t="inlineStr">
        <is>
          <t>Income</t>
        </is>
      </c>
      <c r="C67" s="6" t="inlineStr">
        <is>
          <t>4281 - Admin Fee</t>
        </is>
      </c>
      <c r="D67" s="22" t="n">
        <v>6322</v>
      </c>
      <c r="E67" s="6" t="n"/>
    </row>
    <row r="68">
      <c r="A68" s="6" t="inlineStr">
        <is>
          <t>1540 Altura Blvd — FY2024</t>
        </is>
      </c>
      <c r="B68" s="25" t="inlineStr">
        <is>
          <t>Income</t>
        </is>
      </c>
      <c r="C68" s="6" t="inlineStr">
        <is>
          <t>4282 - Late Fee Revenue</t>
        </is>
      </c>
      <c r="D68" s="22" t="n">
        <v>29772.29</v>
      </c>
      <c r="E68" s="6" t="n"/>
    </row>
    <row r="69">
      <c r="A69" s="6" t="inlineStr">
        <is>
          <t>1540 Altura Blvd — FY2024</t>
        </is>
      </c>
      <c r="B69" s="25" t="inlineStr">
        <is>
          <t>Income</t>
        </is>
      </c>
      <c r="C69" s="6" t="inlineStr">
        <is>
          <t>4283 - Other Fee Revenue</t>
        </is>
      </c>
      <c r="D69" s="22" t="n">
        <v>294.71</v>
      </c>
      <c r="E69" s="6" t="n"/>
    </row>
    <row r="70">
      <c r="A70" s="6" t="inlineStr">
        <is>
          <t>1540 Altura Blvd — FY2024</t>
        </is>
      </c>
      <c r="B70" s="25" t="inlineStr">
        <is>
          <t>Income</t>
        </is>
      </c>
      <c r="C70" s="6" t="inlineStr">
        <is>
          <t>4284 - NSF Fees</t>
        </is>
      </c>
      <c r="D70" s="22" t="n">
        <v>90</v>
      </c>
      <c r="E70" s="6" t="n"/>
    </row>
    <row r="71">
      <c r="A71" s="6" t="inlineStr">
        <is>
          <t>1540 Altura Blvd — FY2024</t>
        </is>
      </c>
      <c r="B71" s="25" t="inlineStr">
        <is>
          <t>Income</t>
        </is>
      </c>
      <c r="C71" s="6" t="inlineStr">
        <is>
          <t>4286 - Convenience Fee Payments</t>
        </is>
      </c>
      <c r="D71" s="22" t="n">
        <v>2910.49</v>
      </c>
      <c r="E71" s="6" t="n"/>
    </row>
    <row r="72">
      <c r="A72" s="6" t="inlineStr">
        <is>
          <t>1540 Altura Blvd — FY2024</t>
        </is>
      </c>
      <c r="B72" s="25" t="inlineStr">
        <is>
          <t>Income</t>
        </is>
      </c>
      <c r="C72" s="6" t="inlineStr">
        <is>
          <t>4285 - Fees Waived</t>
        </is>
      </c>
      <c r="D72" s="22" t="n">
        <v>-23.55</v>
      </c>
      <c r="E72" s="6" t="n"/>
    </row>
    <row r="73">
      <c r="A73" s="6" t="inlineStr">
        <is>
          <t>1540 Altura Blvd — FY2024</t>
        </is>
      </c>
      <c r="B73" s="25" t="inlineStr">
        <is>
          <t>Income</t>
        </is>
      </c>
      <c r="C73" s="6" t="inlineStr">
        <is>
          <t>4287 - Fees Waived - Admin</t>
        </is>
      </c>
      <c r="D73" s="22" t="n">
        <v>-58</v>
      </c>
      <c r="E73" s="6" t="n"/>
    </row>
    <row r="74">
      <c r="A74" s="6" t="inlineStr">
        <is>
          <t>1540 Altura Blvd — FY2024</t>
        </is>
      </c>
      <c r="B74" s="25" t="inlineStr">
        <is>
          <t>Income</t>
        </is>
      </c>
      <c r="C74" s="6" t="inlineStr">
        <is>
          <t>4288 - Fees Waived - Late Fee</t>
        </is>
      </c>
      <c r="D74" s="22" t="n">
        <v>-1359.52</v>
      </c>
      <c r="E74" s="6" t="n"/>
    </row>
    <row r="75">
      <c r="A75" s="6" t="inlineStr">
        <is>
          <t>1540 Altura Blvd — FY2024</t>
        </is>
      </c>
      <c r="B75" s="25" t="inlineStr">
        <is>
          <t>Income</t>
        </is>
      </c>
      <c r="C75" s="6" t="inlineStr">
        <is>
          <t>4255 - Credit Card Chargebacks</t>
        </is>
      </c>
      <c r="D75" s="22" t="n">
        <v>-265</v>
      </c>
      <c r="E75" s="6" t="n"/>
    </row>
    <row r="76">
      <c r="A76" s="6" t="inlineStr">
        <is>
          <t>1540 Altura Blvd — FY2024</t>
        </is>
      </c>
      <c r="B76" s="25" t="inlineStr">
        <is>
          <t>Income</t>
        </is>
      </c>
      <c r="C76" s="6" t="inlineStr">
        <is>
          <t>7102 - Fees Written Off</t>
        </is>
      </c>
      <c r="D76" s="22" t="n">
        <v>-6215.58</v>
      </c>
      <c r="E76" s="6" t="n"/>
    </row>
    <row r="77">
      <c r="A77" s="6" t="inlineStr">
        <is>
          <t>1540 Altura Blvd — FY2024</t>
        </is>
      </c>
      <c r="B77" s="25" t="inlineStr">
        <is>
          <t>Income</t>
        </is>
      </c>
      <c r="C77" s="6" t="inlineStr">
        <is>
          <t>4999 - Miscellaneous</t>
        </is>
      </c>
      <c r="D77" s="22" t="n">
        <v>0.01</v>
      </c>
      <c r="E77" s="6" t="n"/>
    </row>
    <row r="78">
      <c r="A78" s="11" t="inlineStr">
        <is>
          <t>1540 Altura Blvd — FY2024</t>
        </is>
      </c>
      <c r="B78" s="26" t="inlineStr">
        <is>
          <t>Income</t>
        </is>
      </c>
      <c r="C78" s="12" t="inlineStr">
        <is>
          <t>TOTAL INCOME</t>
        </is>
      </c>
      <c r="D78" s="23">
        <f>SUM(D66:D77)</f>
        <v/>
      </c>
      <c r="E78" s="18" t="inlineStr">
        <is>
          <t>Printed total: $414,633.83.</t>
        </is>
      </c>
    </row>
    <row r="79">
      <c r="A79" s="6" t="inlineStr">
        <is>
          <t>1540 Altura Blvd — FY2024</t>
        </is>
      </c>
      <c r="B79" s="25" t="inlineStr">
        <is>
          <t>Expense</t>
        </is>
      </c>
      <c r="C79" s="6" t="inlineStr">
        <is>
          <t>6100 - Payroll</t>
        </is>
      </c>
      <c r="D79" s="22" t="n">
        <v>50113.05</v>
      </c>
      <c r="E79" s="6" t="n"/>
    </row>
    <row r="80">
      <c r="A80" s="6" t="inlineStr">
        <is>
          <t>1540 Altura Blvd — FY2024</t>
        </is>
      </c>
      <c r="B80" s="25" t="inlineStr">
        <is>
          <t>Expense</t>
        </is>
      </c>
      <c r="C80" s="6" t="inlineStr">
        <is>
          <t>6112 - Medical Expense</t>
        </is>
      </c>
      <c r="D80" s="22" t="n">
        <v>10224</v>
      </c>
      <c r="E80" s="6" t="n"/>
    </row>
    <row r="81">
      <c r="A81" s="6" t="inlineStr">
        <is>
          <t>1540 Altura Blvd — FY2024</t>
        </is>
      </c>
      <c r="B81" s="25" t="inlineStr">
        <is>
          <t>Expense</t>
        </is>
      </c>
      <c r="C81" s="6" t="inlineStr">
        <is>
          <t>6118 - 401K Expense</t>
        </is>
      </c>
      <c r="D81" s="22" t="n">
        <v>524.02</v>
      </c>
      <c r="E81" s="6" t="n"/>
    </row>
    <row r="82">
      <c r="A82" s="6" t="inlineStr">
        <is>
          <t>1540 Altura Blvd — FY2024</t>
        </is>
      </c>
      <c r="B82" s="25" t="inlineStr">
        <is>
          <t>Expense</t>
        </is>
      </c>
      <c r="C82" s="6" t="inlineStr">
        <is>
          <t>6128 - Teammate Rewards</t>
        </is>
      </c>
      <c r="D82" s="22" t="n">
        <v>120</v>
      </c>
      <c r="E82" s="6" t="n"/>
    </row>
    <row r="83">
      <c r="A83" s="6" t="inlineStr">
        <is>
          <t>1540 Altura Blvd — FY2024</t>
        </is>
      </c>
      <c r="B83" s="25" t="inlineStr">
        <is>
          <t>Expense</t>
        </is>
      </c>
      <c r="C83" s="6" t="inlineStr">
        <is>
          <t>6130 - Payroll Tax</t>
        </is>
      </c>
      <c r="D83" s="22" t="n">
        <v>3255.82</v>
      </c>
      <c r="E83" s="6" t="n"/>
    </row>
    <row r="84">
      <c r="A84" s="6" t="inlineStr">
        <is>
          <t>1540 Altura Blvd — FY2024</t>
        </is>
      </c>
      <c r="B84" s="25" t="inlineStr">
        <is>
          <t>Expense</t>
        </is>
      </c>
      <c r="C84" s="6" t="inlineStr">
        <is>
          <t>6135 - Bonus</t>
        </is>
      </c>
      <c r="D84" s="22" t="n">
        <v>4044.11</v>
      </c>
      <c r="E84" s="6" t="n"/>
    </row>
    <row r="85">
      <c r="A85" s="6" t="inlineStr">
        <is>
          <t>1540 Altura Blvd — FY2024</t>
        </is>
      </c>
      <c r="B85" s="25" t="inlineStr">
        <is>
          <t>Expense</t>
        </is>
      </c>
      <c r="C85" s="6" t="inlineStr">
        <is>
          <t>6283 - Workers Comp Premium</t>
        </is>
      </c>
      <c r="D85" s="22" t="n">
        <v>1196.36</v>
      </c>
      <c r="E85" s="6" t="inlineStr">
        <is>
          <t>Payroll subtotal $69,477.36</t>
        </is>
      </c>
    </row>
    <row r="86">
      <c r="A86" s="6" t="inlineStr">
        <is>
          <t>1540 Altura Blvd — FY2024</t>
        </is>
      </c>
      <c r="B86" s="25" t="inlineStr">
        <is>
          <t>Expense</t>
        </is>
      </c>
      <c r="C86" s="6" t="inlineStr">
        <is>
          <t>6150 - Rubbish Removal</t>
        </is>
      </c>
      <c r="D86" s="22" t="n">
        <v>1652.28</v>
      </c>
      <c r="E86" s="6" t="n"/>
    </row>
    <row r="87">
      <c r="A87" s="6" t="inlineStr">
        <is>
          <t>1540 Altura Blvd — FY2024</t>
        </is>
      </c>
      <c r="B87" s="25" t="inlineStr">
        <is>
          <t>Expense</t>
        </is>
      </c>
      <c r="C87" s="6" t="inlineStr">
        <is>
          <t>6158 - Exterminating</t>
        </is>
      </c>
      <c r="D87" s="22" t="n">
        <v>813.21</v>
      </c>
      <c r="E87" s="6" t="n"/>
    </row>
    <row r="88">
      <c r="A88" s="6" t="inlineStr">
        <is>
          <t>1540 Altura Blvd — FY2024</t>
        </is>
      </c>
      <c r="B88" s="25" t="inlineStr">
        <is>
          <t>Expense</t>
        </is>
      </c>
      <c r="C88" s="6" t="inlineStr">
        <is>
          <t>6184 - Electric</t>
        </is>
      </c>
      <c r="D88" s="22" t="n">
        <v>6712.38</v>
      </c>
      <c r="E88" s="6" t="n"/>
    </row>
    <row r="89">
      <c r="A89" s="6" t="inlineStr">
        <is>
          <t>1540 Altura Blvd — FY2024</t>
        </is>
      </c>
      <c r="B89" s="25" t="inlineStr">
        <is>
          <t>Expense</t>
        </is>
      </c>
      <c r="C89" s="6" t="inlineStr">
        <is>
          <t>6185 - Telephone</t>
        </is>
      </c>
      <c r="D89" s="22" t="n">
        <v>2590.36</v>
      </c>
      <c r="E89" s="6" t="n"/>
    </row>
    <row r="90">
      <c r="A90" s="6" t="inlineStr">
        <is>
          <t>1540 Altura Blvd — FY2024</t>
        </is>
      </c>
      <c r="B90" s="25" t="inlineStr">
        <is>
          <t>Expense</t>
        </is>
      </c>
      <c r="C90" s="6" t="inlineStr">
        <is>
          <t>6186 - Water/Sewer</t>
        </is>
      </c>
      <c r="D90" s="22" t="n">
        <v>4080.59</v>
      </c>
      <c r="E90" s="6" t="inlineStr">
        <is>
          <t>Utilities subtotal $15,848.82</t>
        </is>
      </c>
    </row>
    <row r="91">
      <c r="A91" s="6" t="inlineStr">
        <is>
          <t>1540 Altura Blvd — FY2024</t>
        </is>
      </c>
      <c r="B91" s="25" t="inlineStr">
        <is>
          <t>Expense</t>
        </is>
      </c>
      <c r="C91" s="6" t="inlineStr">
        <is>
          <t>6189 - R &amp; M Roof</t>
        </is>
      </c>
      <c r="D91" s="22" t="n">
        <v>2103.2</v>
      </c>
      <c r="E91" s="6" t="n"/>
    </row>
    <row r="92">
      <c r="A92" s="6" t="inlineStr">
        <is>
          <t>1540 Altura Blvd — FY2024</t>
        </is>
      </c>
      <c r="B92" s="25" t="inlineStr">
        <is>
          <t>Expense</t>
        </is>
      </c>
      <c r="C92" s="6" t="inlineStr">
        <is>
          <t>6192 - Repairs &amp; Maintenance</t>
        </is>
      </c>
      <c r="D92" s="22" t="n">
        <v>1302.17</v>
      </c>
      <c r="E92" s="6" t="n"/>
    </row>
    <row r="93">
      <c r="A93" s="6" t="inlineStr">
        <is>
          <t>1540 Altura Blvd — FY2024</t>
        </is>
      </c>
      <c r="B93" s="25" t="inlineStr">
        <is>
          <t>Expense</t>
        </is>
      </c>
      <c r="C93" s="6" t="inlineStr">
        <is>
          <t>6194 - R &amp; M Doors</t>
        </is>
      </c>
      <c r="D93" s="22" t="n">
        <v>3589.04</v>
      </c>
      <c r="E93" s="6" t="n"/>
    </row>
    <row r="94">
      <c r="A94" s="6" t="inlineStr">
        <is>
          <t>1540 Altura Blvd — FY2024</t>
        </is>
      </c>
      <c r="B94" s="25" t="inlineStr">
        <is>
          <t>Expense</t>
        </is>
      </c>
      <c r="C94" s="6" t="inlineStr">
        <is>
          <t>6195 - R &amp; M Gates</t>
        </is>
      </c>
      <c r="D94" s="22" t="n">
        <v>4333.14</v>
      </c>
      <c r="E94" s="6" t="n"/>
    </row>
    <row r="95">
      <c r="A95" s="6" t="inlineStr">
        <is>
          <t>1540 Altura Blvd — FY2024</t>
        </is>
      </c>
      <c r="B95" s="25" t="inlineStr">
        <is>
          <t>Expense</t>
        </is>
      </c>
      <c r="C95" s="6" t="inlineStr">
        <is>
          <t>6196 - R &amp; M Golf Carts</t>
        </is>
      </c>
      <c r="D95" s="22" t="n">
        <v>902.36</v>
      </c>
      <c r="E95" s="6" t="n"/>
    </row>
    <row r="96">
      <c r="A96" s="6" t="inlineStr">
        <is>
          <t>1540 Altura Blvd — FY2024</t>
        </is>
      </c>
      <c r="B96" s="25" t="inlineStr">
        <is>
          <t>Expense</t>
        </is>
      </c>
      <c r="C96" s="6" t="inlineStr">
        <is>
          <t>6197 - R &amp; M Parking Lot</t>
        </is>
      </c>
      <c r="D96" s="22" t="n">
        <v>1783.14</v>
      </c>
      <c r="E96" s="6" t="n"/>
    </row>
    <row r="97">
      <c r="A97" s="6" t="inlineStr">
        <is>
          <t>1540 Altura Blvd — FY2024</t>
        </is>
      </c>
      <c r="B97" s="25" t="inlineStr">
        <is>
          <t>Expense</t>
        </is>
      </c>
      <c r="C97" s="6" t="inlineStr">
        <is>
          <t>6198 - R &amp; M Cameras</t>
        </is>
      </c>
      <c r="D97" s="22" t="n">
        <v>597.67</v>
      </c>
      <c r="E97" s="6" t="n"/>
    </row>
    <row r="98">
      <c r="A98" s="6" t="inlineStr">
        <is>
          <t>1540 Altura Blvd — FY2024</t>
        </is>
      </c>
      <c r="B98" s="25" t="inlineStr">
        <is>
          <t>Expense</t>
        </is>
      </c>
      <c r="C98" s="6" t="inlineStr">
        <is>
          <t>6199 - R &amp; M Hvac</t>
        </is>
      </c>
      <c r="D98" s="22" t="n">
        <v>975</v>
      </c>
      <c r="E98" s="6" t="n"/>
    </row>
    <row r="99">
      <c r="A99" s="6" t="inlineStr">
        <is>
          <t>1540 Altura Blvd — FY2024</t>
        </is>
      </c>
      <c r="B99" s="25" t="inlineStr">
        <is>
          <t>Expense</t>
        </is>
      </c>
      <c r="C99" s="6" t="inlineStr">
        <is>
          <t>6201 - R &amp; M Fire Protection</t>
        </is>
      </c>
      <c r="D99" s="22" t="n">
        <v>1446.78</v>
      </c>
      <c r="E99" s="6" t="n"/>
    </row>
    <row r="100">
      <c r="A100" s="6" t="inlineStr">
        <is>
          <t>1540 Altura Blvd — FY2024</t>
        </is>
      </c>
      <c r="B100" s="25" t="inlineStr">
        <is>
          <t>Expense</t>
        </is>
      </c>
      <c r="C100" s="6" t="inlineStr">
        <is>
          <t>6203 - R &amp; M Lighting/Electrical</t>
        </is>
      </c>
      <c r="D100" s="22" t="n">
        <v>4909.65</v>
      </c>
      <c r="E100" s="6" t="n"/>
    </row>
    <row r="101">
      <c r="A101" s="6" t="inlineStr">
        <is>
          <t>1540 Altura Blvd — FY2024</t>
        </is>
      </c>
      <c r="B101" s="25" t="inlineStr">
        <is>
          <t>Expense</t>
        </is>
      </c>
      <c r="C101" s="6" t="inlineStr">
        <is>
          <t>6206 - R &amp; M Exterior Building Repair</t>
        </is>
      </c>
      <c r="D101" s="22" t="n">
        <v>2263.41</v>
      </c>
      <c r="E101" s="6" t="n"/>
    </row>
    <row r="102">
      <c r="A102" s="6" t="inlineStr">
        <is>
          <t>1540 Altura Blvd — FY2024</t>
        </is>
      </c>
      <c r="B102" s="25" t="inlineStr">
        <is>
          <t>Expense</t>
        </is>
      </c>
      <c r="C102" s="6" t="inlineStr">
        <is>
          <t>6321 - R &amp; M Apartment</t>
        </is>
      </c>
      <c r="D102" s="22" t="n">
        <v>1291.58</v>
      </c>
      <c r="E102" s="6" t="inlineStr">
        <is>
          <t>R&amp;M subtotal $25,497.14</t>
        </is>
      </c>
    </row>
    <row r="103">
      <c r="A103" s="6" t="inlineStr">
        <is>
          <t>1540 Altura Blvd — FY2024</t>
        </is>
      </c>
      <c r="B103" s="25" t="inlineStr">
        <is>
          <t>Expense</t>
        </is>
      </c>
      <c r="C103" s="6" t="inlineStr">
        <is>
          <t>6151 - Unit Cleanouts</t>
        </is>
      </c>
      <c r="D103" s="22" t="n">
        <v>5672.87</v>
      </c>
      <c r="E103" s="6" t="n"/>
    </row>
    <row r="104">
      <c r="A104" s="6" t="inlineStr">
        <is>
          <t>1540 Altura Blvd — FY2024</t>
        </is>
      </c>
      <c r="B104" s="25" t="inlineStr">
        <is>
          <t>Expense</t>
        </is>
      </c>
      <c r="C104" s="6" t="inlineStr">
        <is>
          <t>6152 - Uniforms</t>
        </is>
      </c>
      <c r="D104" s="22" t="n">
        <v>324.8</v>
      </c>
      <c r="E104" s="6" t="n"/>
    </row>
    <row r="105">
      <c r="A105" s="6" t="inlineStr">
        <is>
          <t>1540 Altura Blvd — FY2024</t>
        </is>
      </c>
      <c r="B105" s="25" t="inlineStr">
        <is>
          <t>Expense</t>
        </is>
      </c>
      <c r="C105" s="6" t="inlineStr">
        <is>
          <t>6156 - Outside Services</t>
        </is>
      </c>
      <c r="D105" s="22" t="n">
        <v>435</v>
      </c>
      <c r="E105" s="6" t="n"/>
    </row>
    <row r="106">
      <c r="A106" s="6" t="inlineStr">
        <is>
          <t>1540 Altura Blvd — FY2024</t>
        </is>
      </c>
      <c r="B106" s="25" t="inlineStr">
        <is>
          <t>Expense</t>
        </is>
      </c>
      <c r="C106" s="6" t="inlineStr">
        <is>
          <t>6159 - Sales Center</t>
        </is>
      </c>
      <c r="D106" s="22" t="n">
        <v>4140</v>
      </c>
      <c r="E106" s="6" t="n"/>
    </row>
    <row r="107">
      <c r="A107" s="6" t="inlineStr">
        <is>
          <t>1540 Altura Blvd — FY2024</t>
        </is>
      </c>
      <c r="B107" s="25" t="inlineStr">
        <is>
          <t>Expense</t>
        </is>
      </c>
      <c r="C107" s="6" t="inlineStr">
        <is>
          <t>6163 - Help Desk</t>
        </is>
      </c>
      <c r="D107" s="22" t="n">
        <v>534.12</v>
      </c>
      <c r="E107" s="6" t="n"/>
    </row>
    <row r="108">
      <c r="A108" s="6" t="inlineStr">
        <is>
          <t>1540 Altura Blvd — FY2024</t>
        </is>
      </c>
      <c r="B108" s="25" t="inlineStr">
        <is>
          <t>Expense</t>
        </is>
      </c>
      <c r="C108" s="6" t="inlineStr">
        <is>
          <t>6162 - Supplies</t>
        </is>
      </c>
      <c r="D108" s="22" t="n">
        <v>1572.32</v>
      </c>
      <c r="E108" s="6" t="n"/>
    </row>
    <row r="109">
      <c r="A109" s="6" t="inlineStr">
        <is>
          <t>1540 Altura Blvd — FY2024</t>
        </is>
      </c>
      <c r="B109" s="25" t="inlineStr">
        <is>
          <t>Expense</t>
        </is>
      </c>
      <c r="C109" s="6" t="inlineStr">
        <is>
          <t>6164 - Sale Items</t>
        </is>
      </c>
      <c r="D109" s="22" t="n">
        <v>2869.93</v>
      </c>
      <c r="E109" s="6" t="n"/>
    </row>
    <row r="110">
      <c r="A110" s="6" t="inlineStr">
        <is>
          <t>1540 Altura Blvd — FY2024</t>
        </is>
      </c>
      <c r="B110" s="25" t="inlineStr">
        <is>
          <t>Expense</t>
        </is>
      </c>
      <c r="C110" s="6" t="inlineStr">
        <is>
          <t>6168 - Dues &amp; Subscriptions</t>
        </is>
      </c>
      <c r="D110" s="22" t="n">
        <v>133.59</v>
      </c>
      <c r="E110" s="6" t="n"/>
    </row>
    <row r="111">
      <c r="A111" s="6" t="inlineStr">
        <is>
          <t>1540 Altura Blvd — FY2024</t>
        </is>
      </c>
      <c r="B111" s="25" t="inlineStr">
        <is>
          <t>Expense</t>
        </is>
      </c>
      <c r="C111" s="6" t="inlineStr">
        <is>
          <t>6170 - Landscaping</t>
        </is>
      </c>
      <c r="D111" s="22" t="n">
        <v>11211.05</v>
      </c>
      <c r="E111" s="6" t="n"/>
    </row>
    <row r="112">
      <c r="A112" s="6" t="inlineStr">
        <is>
          <t>1540 Altura Blvd — FY2024</t>
        </is>
      </c>
      <c r="B112" s="25" t="inlineStr">
        <is>
          <t>Expense</t>
        </is>
      </c>
      <c r="C112" s="6" t="inlineStr">
        <is>
          <t>6174 - Signs</t>
        </is>
      </c>
      <c r="D112" s="22" t="n">
        <v>454.49</v>
      </c>
      <c r="E112" s="6" t="n"/>
    </row>
    <row r="113">
      <c r="A113" s="6" t="inlineStr">
        <is>
          <t>1540 Altura Blvd — FY2024</t>
        </is>
      </c>
      <c r="B113" s="25" t="inlineStr">
        <is>
          <t>Expense</t>
        </is>
      </c>
      <c r="C113" s="6" t="inlineStr">
        <is>
          <t>6176 - Teammate Mileage</t>
        </is>
      </c>
      <c r="D113" s="22" t="n">
        <v>1645.19</v>
      </c>
      <c r="E113" s="6" t="n"/>
    </row>
    <row r="114">
      <c r="A114" s="6" t="inlineStr">
        <is>
          <t>1540 Altura Blvd — FY2024</t>
        </is>
      </c>
      <c r="B114" s="25" t="inlineStr">
        <is>
          <t>Expense</t>
        </is>
      </c>
      <c r="C114" s="6" t="inlineStr">
        <is>
          <t>6182 - Fees &amp; Licenses</t>
        </is>
      </c>
      <c r="D114" s="22" t="n">
        <v>235.38</v>
      </c>
      <c r="E114" s="6" t="n"/>
    </row>
    <row r="115">
      <c r="A115" s="6" t="inlineStr">
        <is>
          <t>1540 Altura Blvd — FY2024</t>
        </is>
      </c>
      <c r="B115" s="25" t="inlineStr">
        <is>
          <t>Expense</t>
        </is>
      </c>
      <c r="C115" s="6" t="inlineStr">
        <is>
          <t>6190 - Postage</t>
        </is>
      </c>
      <c r="D115" s="22" t="n">
        <v>628.63</v>
      </c>
      <c r="E115" s="6" t="n"/>
    </row>
    <row r="116">
      <c r="A116" s="6" t="inlineStr">
        <is>
          <t>1540 Altura Blvd — FY2024</t>
        </is>
      </c>
      <c r="B116" s="25" t="inlineStr">
        <is>
          <t>Expense</t>
        </is>
      </c>
      <c r="C116" s="6" t="inlineStr">
        <is>
          <t>6212 - Office Supplies</t>
        </is>
      </c>
      <c r="D116" s="22" t="n">
        <v>1187.66</v>
      </c>
      <c r="E116" s="6" t="n"/>
    </row>
    <row r="117">
      <c r="A117" s="6" t="inlineStr">
        <is>
          <t>1540 Altura Blvd — FY2024</t>
        </is>
      </c>
      <c r="B117" s="25" t="inlineStr">
        <is>
          <t>Expense</t>
        </is>
      </c>
      <c r="C117" s="6" t="inlineStr">
        <is>
          <t>6218 - Printing Expense</t>
        </is>
      </c>
      <c r="D117" s="22" t="n">
        <v>75.59999999999999</v>
      </c>
      <c r="E117" s="6" t="n"/>
    </row>
    <row r="118">
      <c r="A118" s="6" t="inlineStr">
        <is>
          <t>1540 Altura Blvd — FY2024</t>
        </is>
      </c>
      <c r="B118" s="25" t="inlineStr">
        <is>
          <t>Expense</t>
        </is>
      </c>
      <c r="C118" s="6" t="inlineStr">
        <is>
          <t>6220 - Equipment</t>
        </is>
      </c>
      <c r="D118" s="22" t="n">
        <v>99.47</v>
      </c>
      <c r="E118" s="6" t="n"/>
    </row>
    <row r="119">
      <c r="A119" s="6" t="inlineStr">
        <is>
          <t>1540 Altura Blvd — FY2024</t>
        </is>
      </c>
      <c r="B119" s="25" t="inlineStr">
        <is>
          <t>Expense</t>
        </is>
      </c>
      <c r="C119" s="6" t="inlineStr">
        <is>
          <t>6224 - Computer Equipment - Non Capex</t>
        </is>
      </c>
      <c r="D119" s="22" t="n">
        <v>934.8</v>
      </c>
      <c r="E119" s="6" t="n"/>
    </row>
    <row r="120">
      <c r="A120" s="6" t="inlineStr">
        <is>
          <t>1540 Altura Blvd — FY2024</t>
        </is>
      </c>
      <c r="B120" s="25" t="inlineStr">
        <is>
          <t>Expense</t>
        </is>
      </c>
      <c r="C120" s="6" t="inlineStr">
        <is>
          <t>6225 - CMS License Fee</t>
        </is>
      </c>
      <c r="D120" s="22" t="n">
        <v>2347.44</v>
      </c>
      <c r="E120" s="6" t="n"/>
    </row>
    <row r="121">
      <c r="A121" s="6" t="inlineStr">
        <is>
          <t>1540 Altura Blvd — FY2024</t>
        </is>
      </c>
      <c r="B121" s="25" t="inlineStr">
        <is>
          <t>Expense</t>
        </is>
      </c>
      <c r="C121" s="6" t="inlineStr">
        <is>
          <t>6228 - Bank Adjustments</t>
        </is>
      </c>
      <c r="D121" s="22" t="n">
        <v>0.14</v>
      </c>
      <c r="E121" s="6" t="n"/>
    </row>
    <row r="122">
      <c r="A122" s="6" t="inlineStr">
        <is>
          <t>1540 Altura Blvd — FY2024</t>
        </is>
      </c>
      <c r="B122" s="25" t="inlineStr">
        <is>
          <t>Expense</t>
        </is>
      </c>
      <c r="C122" s="6" t="inlineStr">
        <is>
          <t>6232 - Visa/Mastercard Fees</t>
        </is>
      </c>
      <c r="D122" s="22" t="n">
        <v>4895.03</v>
      </c>
      <c r="E122" s="6" t="n"/>
    </row>
    <row r="123">
      <c r="A123" s="6" t="inlineStr">
        <is>
          <t>1540 Altura Blvd — FY2024</t>
        </is>
      </c>
      <c r="B123" s="25" t="inlineStr">
        <is>
          <t>Expense</t>
        </is>
      </c>
      <c r="C123" s="6" t="inlineStr">
        <is>
          <t>6233 - American Express Fees</t>
        </is>
      </c>
      <c r="D123" s="22" t="n">
        <v>402.88</v>
      </c>
      <c r="E123" s="6" t="n"/>
    </row>
    <row r="124">
      <c r="A124" s="6" t="inlineStr">
        <is>
          <t>1540 Altura Blvd — FY2024</t>
        </is>
      </c>
      <c r="B124" s="25" t="inlineStr">
        <is>
          <t>Expense</t>
        </is>
      </c>
      <c r="C124" s="6" t="inlineStr">
        <is>
          <t>6235 - ACH Fees</t>
        </is>
      </c>
      <c r="D124" s="22" t="n">
        <v>46.5</v>
      </c>
      <c r="E124" s="6" t="n"/>
    </row>
    <row r="125">
      <c r="A125" s="6" t="inlineStr">
        <is>
          <t>1540 Altura Blvd — FY2024</t>
        </is>
      </c>
      <c r="B125" s="25" t="inlineStr">
        <is>
          <t>Expense</t>
        </is>
      </c>
      <c r="C125" s="6" t="inlineStr">
        <is>
          <t>6256 - Legal/Auction</t>
        </is>
      </c>
      <c r="D125" s="22" t="n">
        <v>589.6799999999999</v>
      </c>
      <c r="E125" s="6" t="inlineStr">
        <is>
          <t>Other controllable subtotal $40,436.57</t>
        </is>
      </c>
    </row>
    <row r="126">
      <c r="A126" s="6" t="inlineStr">
        <is>
          <t>1540 Altura Blvd — FY2024</t>
        </is>
      </c>
      <c r="B126" s="25" t="inlineStr">
        <is>
          <t>Expense</t>
        </is>
      </c>
      <c r="C126" s="6" t="inlineStr">
        <is>
          <t>6365 - Internet/Website Costs</t>
        </is>
      </c>
      <c r="D126" s="22" t="n">
        <v>22463.57</v>
      </c>
      <c r="E126" s="6" t="n"/>
    </row>
    <row r="127">
      <c r="A127" s="6" t="inlineStr">
        <is>
          <t>1540 Altura Blvd — FY2024</t>
        </is>
      </c>
      <c r="B127" s="25" t="inlineStr">
        <is>
          <t>Expense</t>
        </is>
      </c>
      <c r="C127" s="6" t="inlineStr">
        <is>
          <t>6375 - Store Marketing</t>
        </is>
      </c>
      <c r="D127" s="22" t="n">
        <v>2010.82</v>
      </c>
      <c r="E127" s="6" t="inlineStr">
        <is>
          <t>Marketing subtotal $24,474.39; controllable expenses $175,734.28</t>
        </is>
      </c>
    </row>
    <row r="128">
      <c r="A128" s="6" t="inlineStr">
        <is>
          <t>1540 Altura Blvd — FY2024</t>
        </is>
      </c>
      <c r="B128" s="25" t="inlineStr">
        <is>
          <t>Expense</t>
        </is>
      </c>
      <c r="C128" s="6" t="inlineStr">
        <is>
          <t>7030 - Sales Tax Collection Allowance (offset)</t>
        </is>
      </c>
      <c r="D128" s="22" t="n">
        <v>-12.01</v>
      </c>
      <c r="E128" s="6" t="n"/>
    </row>
    <row r="129">
      <c r="A129" s="6" t="inlineStr">
        <is>
          <t>1540 Altura Blvd — FY2024</t>
        </is>
      </c>
      <c r="B129" s="25" t="inlineStr">
        <is>
          <t>Expense</t>
        </is>
      </c>
      <c r="C129" s="6" t="inlineStr">
        <is>
          <t>7240 - Gross Receipts Tax (property tax)</t>
        </is>
      </c>
      <c r="D129" s="22" t="n">
        <v>121803.84</v>
      </c>
      <c r="E129" s="6" t="n"/>
    </row>
    <row r="130">
      <c r="A130" s="6" t="inlineStr">
        <is>
          <t>1540 Altura Blvd — FY2024</t>
        </is>
      </c>
      <c r="B130" s="25" t="inlineStr">
        <is>
          <t>Expense</t>
        </is>
      </c>
      <c r="C130" s="6" t="inlineStr">
        <is>
          <t>6280 - Insurance</t>
        </is>
      </c>
      <c r="D130" s="22" t="n">
        <v>5842.43</v>
      </c>
      <c r="E130" s="6" t="n"/>
    </row>
    <row r="131">
      <c r="A131" s="6" t="inlineStr">
        <is>
          <t>1540 Altura Blvd — FY2024</t>
        </is>
      </c>
      <c r="B131" s="25" t="inlineStr">
        <is>
          <t>Expense</t>
        </is>
      </c>
      <c r="C131" s="6" t="inlineStr">
        <is>
          <t>6172 - Snow Removal &amp; Salting</t>
        </is>
      </c>
      <c r="D131" s="22" t="n">
        <v>2180</v>
      </c>
      <c r="E131" s="6" t="n"/>
    </row>
    <row r="132">
      <c r="A132" s="6" t="inlineStr">
        <is>
          <t>1540 Altura Blvd — FY2024</t>
        </is>
      </c>
      <c r="B132" s="25" t="inlineStr">
        <is>
          <t>Expense</t>
        </is>
      </c>
      <c r="C132" s="6" t="inlineStr">
        <is>
          <t>7530 - Professional Fees</t>
        </is>
      </c>
      <c r="D132" s="22" t="n">
        <v>350</v>
      </c>
      <c r="E132" s="6" t="n"/>
    </row>
    <row r="133">
      <c r="A133" s="6" t="inlineStr">
        <is>
          <t>1540 Altura Blvd — FY2024</t>
        </is>
      </c>
      <c r="B133" s="25" t="inlineStr">
        <is>
          <t>Expense</t>
        </is>
      </c>
      <c r="C133" s="6" t="inlineStr">
        <is>
          <t>6801 - Third Party Management Fees</t>
        </is>
      </c>
      <c r="D133" s="22" t="n">
        <v>22457.4</v>
      </c>
      <c r="E133" s="6" t="inlineStr">
        <is>
          <t>Non-controllable expenses $152,621.66</t>
        </is>
      </c>
    </row>
    <row r="134">
      <c r="A134" s="11" t="inlineStr">
        <is>
          <t>1540 Altura Blvd — FY2024</t>
        </is>
      </c>
      <c r="B134" s="26" t="inlineStr">
        <is>
          <t>Expense</t>
        </is>
      </c>
      <c r="C134" s="12" t="inlineStr">
        <is>
          <t>TOTAL EXPENSE</t>
        </is>
      </c>
      <c r="D134" s="23">
        <f>SUM(D79:D133)</f>
        <v/>
      </c>
      <c r="E134" s="18" t="inlineStr">
        <is>
          <t>Printed total: $328,355.94. NOI per statement $86,277.89 (accrual, store-level).</t>
        </is>
      </c>
    </row>
    <row r="135">
      <c r="A135" s="6" t="inlineStr">
        <is>
          <t>15413 E 18th Ave — FY2024</t>
        </is>
      </c>
      <c r="B135" s="25" t="inlineStr">
        <is>
          <t>Income</t>
        </is>
      </c>
      <c r="C135" s="6" t="inlineStr">
        <is>
          <t>Net Rental Income</t>
        </is>
      </c>
      <c r="D135" s="22" t="n">
        <v>731252.08</v>
      </c>
      <c r="E135" s="6" t="n"/>
    </row>
    <row r="136">
      <c r="A136" s="6" t="inlineStr">
        <is>
          <t>15413 E 18th Ave — FY2024</t>
        </is>
      </c>
      <c r="B136" s="25" t="inlineStr">
        <is>
          <t>Income</t>
        </is>
      </c>
      <c r="C136" s="6" t="inlineStr">
        <is>
          <t>4281 - Admin Fee</t>
        </is>
      </c>
      <c r="D136" s="22" t="n">
        <v>9889</v>
      </c>
      <c r="E136" s="6" t="n"/>
    </row>
    <row r="137">
      <c r="A137" s="6" t="inlineStr">
        <is>
          <t>15413 E 18th Ave — FY2024</t>
        </is>
      </c>
      <c r="B137" s="25" t="inlineStr">
        <is>
          <t>Income</t>
        </is>
      </c>
      <c r="C137" s="6" t="inlineStr">
        <is>
          <t>4282 - Late Fee Revenue</t>
        </is>
      </c>
      <c r="D137" s="22" t="n">
        <v>45687.17</v>
      </c>
      <c r="E137" s="6" t="n"/>
    </row>
    <row r="138">
      <c r="A138" s="6" t="inlineStr">
        <is>
          <t>15413 E 18th Ave — FY2024</t>
        </is>
      </c>
      <c r="B138" s="25" t="inlineStr">
        <is>
          <t>Income</t>
        </is>
      </c>
      <c r="C138" s="6" t="inlineStr">
        <is>
          <t>4283 - Other Fee Revenue</t>
        </is>
      </c>
      <c r="D138" s="22" t="n">
        <v>149.54</v>
      </c>
      <c r="E138" s="6" t="n"/>
    </row>
    <row r="139">
      <c r="A139" s="6" t="inlineStr">
        <is>
          <t>15413 E 18th Ave — FY2024</t>
        </is>
      </c>
      <c r="B139" s="25" t="inlineStr">
        <is>
          <t>Income</t>
        </is>
      </c>
      <c r="C139" s="6" t="inlineStr">
        <is>
          <t>4284 - NSF Fees</t>
        </is>
      </c>
      <c r="D139" s="22" t="n">
        <v>60</v>
      </c>
      <c r="E139" s="6" t="n"/>
    </row>
    <row r="140">
      <c r="A140" s="6" t="inlineStr">
        <is>
          <t>15413 E 18th Ave — FY2024</t>
        </is>
      </c>
      <c r="B140" s="25" t="inlineStr">
        <is>
          <t>Income</t>
        </is>
      </c>
      <c r="C140" s="6" t="inlineStr">
        <is>
          <t>4286 - Convenience Fee Payments</t>
        </is>
      </c>
      <c r="D140" s="22" t="n">
        <v>4306.11</v>
      </c>
      <c r="E140" s="6" t="n"/>
    </row>
    <row r="141">
      <c r="A141" s="6" t="inlineStr">
        <is>
          <t>15413 E 18th Ave — FY2024</t>
        </is>
      </c>
      <c r="B141" s="25" t="inlineStr">
        <is>
          <t>Income</t>
        </is>
      </c>
      <c r="C141" s="6" t="inlineStr">
        <is>
          <t>4285 - Fees Waived</t>
        </is>
      </c>
      <c r="D141" s="22" t="n">
        <v>-2.32</v>
      </c>
      <c r="E141" s="6" t="n"/>
    </row>
    <row r="142">
      <c r="A142" s="6" t="inlineStr">
        <is>
          <t>15413 E 18th Ave — FY2024</t>
        </is>
      </c>
      <c r="B142" s="25" t="inlineStr">
        <is>
          <t>Income</t>
        </is>
      </c>
      <c r="C142" s="6" t="inlineStr">
        <is>
          <t>4287 - Fees Waived - Admin</t>
        </is>
      </c>
      <c r="D142" s="22" t="n">
        <v>-116</v>
      </c>
      <c r="E142" s="6" t="n"/>
    </row>
    <row r="143">
      <c r="A143" s="6" t="inlineStr">
        <is>
          <t>15413 E 18th Ave — FY2024</t>
        </is>
      </c>
      <c r="B143" s="25" t="inlineStr">
        <is>
          <t>Income</t>
        </is>
      </c>
      <c r="C143" s="6" t="inlineStr">
        <is>
          <t>4288 - Fees Waived - Late Fee</t>
        </is>
      </c>
      <c r="D143" s="22" t="n">
        <v>-787.76</v>
      </c>
      <c r="E143" s="6" t="n"/>
    </row>
    <row r="144">
      <c r="A144" s="6" t="inlineStr">
        <is>
          <t>15413 E 18th Ave — FY2024</t>
        </is>
      </c>
      <c r="B144" s="25" t="inlineStr">
        <is>
          <t>Income</t>
        </is>
      </c>
      <c r="C144" s="6" t="inlineStr">
        <is>
          <t>4255 - Credit Card Chargebacks</t>
        </is>
      </c>
      <c r="D144" s="22" t="n">
        <v>-196.9</v>
      </c>
      <c r="E144" s="6" t="n"/>
    </row>
    <row r="145">
      <c r="A145" s="6" t="inlineStr">
        <is>
          <t>15413 E 18th Ave — FY2024</t>
        </is>
      </c>
      <c r="B145" s="25" t="inlineStr">
        <is>
          <t>Income</t>
        </is>
      </c>
      <c r="C145" s="6" t="inlineStr">
        <is>
          <t>7102 - Fees Written Off</t>
        </is>
      </c>
      <c r="D145" s="22" t="n">
        <v>-7117.67</v>
      </c>
      <c r="E145" s="6" t="n"/>
    </row>
    <row r="146">
      <c r="A146" s="11" t="inlineStr">
        <is>
          <t>15413 E 18th Ave — FY2024</t>
        </is>
      </c>
      <c r="B146" s="26" t="inlineStr">
        <is>
          <t>Income</t>
        </is>
      </c>
      <c r="C146" s="12" t="inlineStr">
        <is>
          <t>TOTAL INCOME</t>
        </is>
      </c>
      <c r="D146" s="23">
        <f>SUM(D135:D145)</f>
        <v/>
      </c>
      <c r="E146" s="18" t="inlineStr">
        <is>
          <t>Printed total: $783,123.25.</t>
        </is>
      </c>
    </row>
    <row r="147">
      <c r="A147" s="6" t="inlineStr">
        <is>
          <t>15413 E 18th Ave — FY2024</t>
        </is>
      </c>
      <c r="B147" s="25" t="inlineStr">
        <is>
          <t>Expense</t>
        </is>
      </c>
      <c r="C147" s="6" t="inlineStr">
        <is>
          <t>6100 - Payroll</t>
        </is>
      </c>
      <c r="D147" s="22" t="n">
        <v>59074.43</v>
      </c>
      <c r="E147" s="6" t="n"/>
    </row>
    <row r="148">
      <c r="A148" s="6" t="inlineStr">
        <is>
          <t>15413 E 18th Ave — FY2024</t>
        </is>
      </c>
      <c r="B148" s="25" t="inlineStr">
        <is>
          <t>Expense</t>
        </is>
      </c>
      <c r="C148" s="6" t="inlineStr">
        <is>
          <t>6112 - Medical Expense</t>
        </is>
      </c>
      <c r="D148" s="22" t="n">
        <v>10224</v>
      </c>
      <c r="E148" s="6" t="n"/>
    </row>
    <row r="149">
      <c r="A149" s="6" t="inlineStr">
        <is>
          <t>15413 E 18th Ave — FY2024</t>
        </is>
      </c>
      <c r="B149" s="25" t="inlineStr">
        <is>
          <t>Expense</t>
        </is>
      </c>
      <c r="C149" s="6" t="inlineStr">
        <is>
          <t>6118 - 401K Expense</t>
        </is>
      </c>
      <c r="D149" s="22" t="n">
        <v>881.88</v>
      </c>
      <c r="E149" s="6" t="n"/>
    </row>
    <row r="150">
      <c r="A150" s="6" t="inlineStr">
        <is>
          <t>15413 E 18th Ave — FY2024</t>
        </is>
      </c>
      <c r="B150" s="25" t="inlineStr">
        <is>
          <t>Expense</t>
        </is>
      </c>
      <c r="C150" s="6" t="inlineStr">
        <is>
          <t>6128 - Teammate Rewards</t>
        </is>
      </c>
      <c r="D150" s="22" t="n">
        <v>230</v>
      </c>
      <c r="E150" s="6" t="n"/>
    </row>
    <row r="151">
      <c r="A151" s="6" t="inlineStr">
        <is>
          <t>15413 E 18th Ave — FY2024</t>
        </is>
      </c>
      <c r="B151" s="25" t="inlineStr">
        <is>
          <t>Expense</t>
        </is>
      </c>
      <c r="C151" s="6" t="inlineStr">
        <is>
          <t>6130 - Payroll Tax</t>
        </is>
      </c>
      <c r="D151" s="22" t="n">
        <v>6841.49</v>
      </c>
      <c r="E151" s="6" t="n"/>
    </row>
    <row r="152">
      <c r="A152" s="6" t="inlineStr">
        <is>
          <t>15413 E 18th Ave — FY2024</t>
        </is>
      </c>
      <c r="B152" s="25" t="inlineStr">
        <is>
          <t>Expense</t>
        </is>
      </c>
      <c r="C152" s="6" t="inlineStr">
        <is>
          <t>6135 - Bonus</t>
        </is>
      </c>
      <c r="D152" s="22" t="n">
        <v>5105.13</v>
      </c>
      <c r="E152" s="6" t="n"/>
    </row>
    <row r="153">
      <c r="A153" s="6" t="inlineStr">
        <is>
          <t>15413 E 18th Ave — FY2024</t>
        </is>
      </c>
      <c r="B153" s="25" t="inlineStr">
        <is>
          <t>Expense</t>
        </is>
      </c>
      <c r="C153" s="6" t="inlineStr">
        <is>
          <t>6283 - Workers Comp Premium</t>
        </is>
      </c>
      <c r="D153" s="22" t="n">
        <v>2011.32</v>
      </c>
      <c r="E153" s="6" t="inlineStr">
        <is>
          <t>Payroll subtotal $84,368.25</t>
        </is>
      </c>
    </row>
    <row r="154">
      <c r="A154" s="6" t="inlineStr">
        <is>
          <t>15413 E 18th Ave — FY2024</t>
        </is>
      </c>
      <c r="B154" s="25" t="inlineStr">
        <is>
          <t>Expense</t>
        </is>
      </c>
      <c r="C154" s="6" t="inlineStr">
        <is>
          <t>6150 - Rubbish Removal</t>
        </is>
      </c>
      <c r="D154" s="22" t="n">
        <v>1454.88</v>
      </c>
      <c r="E154" s="6" t="n"/>
    </row>
    <row r="155">
      <c r="A155" s="6" t="inlineStr">
        <is>
          <t>15413 E 18th Ave — FY2024</t>
        </is>
      </c>
      <c r="B155" s="25" t="inlineStr">
        <is>
          <t>Expense</t>
        </is>
      </c>
      <c r="C155" s="6" t="inlineStr">
        <is>
          <t>6158 - Exterminating</t>
        </is>
      </c>
      <c r="D155" s="22" t="n">
        <v>76.06999999999999</v>
      </c>
      <c r="E155" s="6" t="n"/>
    </row>
    <row r="156">
      <c r="A156" s="6" t="inlineStr">
        <is>
          <t>15413 E 18th Ave — FY2024</t>
        </is>
      </c>
      <c r="B156" s="25" t="inlineStr">
        <is>
          <t>Expense</t>
        </is>
      </c>
      <c r="C156" s="6" t="inlineStr">
        <is>
          <t>6184 - Electric</t>
        </is>
      </c>
      <c r="D156" s="22" t="n">
        <v>7663.98</v>
      </c>
      <c r="E156" s="6" t="n"/>
    </row>
    <row r="157">
      <c r="A157" s="6" t="inlineStr">
        <is>
          <t>15413 E 18th Ave — FY2024</t>
        </is>
      </c>
      <c r="B157" s="25" t="inlineStr">
        <is>
          <t>Expense</t>
        </is>
      </c>
      <c r="C157" s="6" t="inlineStr">
        <is>
          <t>6185 - Telephone</t>
        </is>
      </c>
      <c r="D157" s="22" t="n">
        <v>2983.92</v>
      </c>
      <c r="E157" s="6" t="n"/>
    </row>
    <row r="158">
      <c r="A158" s="6" t="inlineStr">
        <is>
          <t>15413 E 18th Ave — FY2024</t>
        </is>
      </c>
      <c r="B158" s="25" t="inlineStr">
        <is>
          <t>Expense</t>
        </is>
      </c>
      <c r="C158" s="6" t="inlineStr">
        <is>
          <t>6186 - Water/Sewer</t>
        </is>
      </c>
      <c r="D158" s="22" t="n">
        <v>8564.280000000001</v>
      </c>
      <c r="E158" s="6" t="inlineStr">
        <is>
          <t>Utilities subtotal $20,743.13</t>
        </is>
      </c>
    </row>
    <row r="159">
      <c r="A159" s="6" t="inlineStr">
        <is>
          <t>15413 E 18th Ave — FY2024</t>
        </is>
      </c>
      <c r="B159" s="25" t="inlineStr">
        <is>
          <t>Expense</t>
        </is>
      </c>
      <c r="C159" s="6" t="inlineStr">
        <is>
          <t>6189 - R &amp; M Roof</t>
        </is>
      </c>
      <c r="D159" s="22" t="n">
        <v>275</v>
      </c>
      <c r="E159" s="6" t="n"/>
    </row>
    <row r="160">
      <c r="A160" s="6" t="inlineStr">
        <is>
          <t>15413 E 18th Ave — FY2024</t>
        </is>
      </c>
      <c r="B160" s="25" t="inlineStr">
        <is>
          <t>Expense</t>
        </is>
      </c>
      <c r="C160" s="6" t="inlineStr">
        <is>
          <t>6192 - Repairs &amp; Maintenance</t>
        </is>
      </c>
      <c r="D160" s="22" t="n">
        <v>932.75</v>
      </c>
      <c r="E160" s="6" t="n"/>
    </row>
    <row r="161">
      <c r="A161" s="6" t="inlineStr">
        <is>
          <t>15413 E 18th Ave — FY2024</t>
        </is>
      </c>
      <c r="B161" s="25" t="inlineStr">
        <is>
          <t>Expense</t>
        </is>
      </c>
      <c r="C161" s="6" t="inlineStr">
        <is>
          <t>6194 - R &amp; M Doors</t>
        </is>
      </c>
      <c r="D161" s="22" t="n">
        <v>3276.33</v>
      </c>
      <c r="E161" s="6" t="n"/>
    </row>
    <row r="162">
      <c r="A162" s="6" t="inlineStr">
        <is>
          <t>15413 E 18th Ave — FY2024</t>
        </is>
      </c>
      <c r="B162" s="25" t="inlineStr">
        <is>
          <t>Expense</t>
        </is>
      </c>
      <c r="C162" s="6" t="inlineStr">
        <is>
          <t>6195 - R &amp; M Gates</t>
        </is>
      </c>
      <c r="D162" s="22" t="n">
        <v>6755</v>
      </c>
      <c r="E162" s="6" t="n"/>
    </row>
    <row r="163">
      <c r="A163" s="6" t="inlineStr">
        <is>
          <t>15413 E 18th Ave — FY2024</t>
        </is>
      </c>
      <c r="B163" s="25" t="inlineStr">
        <is>
          <t>Expense</t>
        </is>
      </c>
      <c r="C163" s="6" t="inlineStr">
        <is>
          <t>6196 - R &amp; M Golf Carts</t>
        </is>
      </c>
      <c r="D163" s="22" t="n">
        <v>767.09</v>
      </c>
      <c r="E163" s="6" t="n"/>
    </row>
    <row r="164">
      <c r="A164" s="6" t="inlineStr">
        <is>
          <t>15413 E 18th Ave — FY2024</t>
        </is>
      </c>
      <c r="B164" s="25" t="inlineStr">
        <is>
          <t>Expense</t>
        </is>
      </c>
      <c r="C164" s="6" t="inlineStr">
        <is>
          <t>6198 - R &amp; M Cameras</t>
        </is>
      </c>
      <c r="D164" s="22" t="n">
        <v>2228.74</v>
      </c>
      <c r="E164" s="6" t="n"/>
    </row>
    <row r="165">
      <c r="A165" s="6" t="inlineStr">
        <is>
          <t>15413 E 18th Ave — FY2024</t>
        </is>
      </c>
      <c r="B165" s="25" t="inlineStr">
        <is>
          <t>Expense</t>
        </is>
      </c>
      <c r="C165" s="6" t="inlineStr">
        <is>
          <t>6201 - R &amp; M Fire Protection</t>
        </is>
      </c>
      <c r="D165" s="22" t="n">
        <v>85.81</v>
      </c>
      <c r="E165" s="6" t="n"/>
    </row>
    <row r="166">
      <c r="A166" s="6" t="inlineStr">
        <is>
          <t>15413 E 18th Ave — FY2024</t>
        </is>
      </c>
      <c r="B166" s="25" t="inlineStr">
        <is>
          <t>Expense</t>
        </is>
      </c>
      <c r="C166" s="6" t="inlineStr">
        <is>
          <t>6203 - R &amp; M Lighting/Electrical</t>
        </is>
      </c>
      <c r="D166" s="22" t="n">
        <v>575</v>
      </c>
      <c r="E166" s="6" t="n"/>
    </row>
    <row r="167">
      <c r="A167" s="6" t="inlineStr">
        <is>
          <t>15413 E 18th Ave — FY2024</t>
        </is>
      </c>
      <c r="B167" s="25" t="inlineStr">
        <is>
          <t>Expense</t>
        </is>
      </c>
      <c r="C167" s="6" t="inlineStr">
        <is>
          <t>6206 - R &amp; M Exterior Building Repair</t>
        </is>
      </c>
      <c r="D167" s="22" t="n">
        <v>1574.82</v>
      </c>
      <c r="E167" s="6" t="n"/>
    </row>
    <row r="168">
      <c r="A168" s="6" t="inlineStr">
        <is>
          <t>15413 E 18th Ave — FY2024</t>
        </is>
      </c>
      <c r="B168" s="25" t="inlineStr">
        <is>
          <t>Expense</t>
        </is>
      </c>
      <c r="C168" s="6" t="inlineStr">
        <is>
          <t>6321 - R &amp; M Apartment</t>
        </is>
      </c>
      <c r="D168" s="22" t="n">
        <v>892.25</v>
      </c>
      <c r="E168" s="6" t="inlineStr">
        <is>
          <t>R&amp;M subtotal $17,362.79</t>
        </is>
      </c>
    </row>
    <row r="169">
      <c r="A169" s="6" t="inlineStr">
        <is>
          <t>15413 E 18th Ave — FY2024</t>
        </is>
      </c>
      <c r="B169" s="25" t="inlineStr">
        <is>
          <t>Expense</t>
        </is>
      </c>
      <c r="C169" s="6" t="inlineStr">
        <is>
          <t>6151 - Unit Cleanouts</t>
        </is>
      </c>
      <c r="D169" s="22" t="n">
        <v>870</v>
      </c>
      <c r="E169" s="6" t="n"/>
    </row>
    <row r="170">
      <c r="A170" s="6" t="inlineStr">
        <is>
          <t>15413 E 18th Ave — FY2024</t>
        </is>
      </c>
      <c r="B170" s="25" t="inlineStr">
        <is>
          <t>Expense</t>
        </is>
      </c>
      <c r="C170" s="6" t="inlineStr">
        <is>
          <t>6152 - Uniforms</t>
        </is>
      </c>
      <c r="D170" s="22" t="n">
        <v>454.01</v>
      </c>
      <c r="E170" s="6" t="n"/>
    </row>
    <row r="171">
      <c r="A171" s="6" t="inlineStr">
        <is>
          <t>15413 E 18th Ave — FY2024</t>
        </is>
      </c>
      <c r="B171" s="25" t="inlineStr">
        <is>
          <t>Expense</t>
        </is>
      </c>
      <c r="C171" s="6" t="inlineStr">
        <is>
          <t>6159 - Sales Center</t>
        </is>
      </c>
      <c r="D171" s="22" t="n">
        <v>4140</v>
      </c>
      <c r="E171" s="6" t="n"/>
    </row>
    <row r="172">
      <c r="A172" s="6" t="inlineStr">
        <is>
          <t>15413 E 18th Ave — FY2024</t>
        </is>
      </c>
      <c r="B172" s="25" t="inlineStr">
        <is>
          <t>Expense</t>
        </is>
      </c>
      <c r="C172" s="6" t="inlineStr">
        <is>
          <t>6163 - Help Desk</t>
        </is>
      </c>
      <c r="D172" s="22" t="n">
        <v>534.12</v>
      </c>
      <c r="E172" s="6" t="n"/>
    </row>
    <row r="173">
      <c r="A173" s="6" t="inlineStr">
        <is>
          <t>15413 E 18th Ave — FY2024</t>
        </is>
      </c>
      <c r="B173" s="25" t="inlineStr">
        <is>
          <t>Expense</t>
        </is>
      </c>
      <c r="C173" s="6" t="inlineStr">
        <is>
          <t>6162 - Supplies</t>
        </is>
      </c>
      <c r="D173" s="22" t="n">
        <v>465.59</v>
      </c>
      <c r="E173" s="6" t="n"/>
    </row>
    <row r="174">
      <c r="A174" s="6" t="inlineStr">
        <is>
          <t>15413 E 18th Ave — FY2024</t>
        </is>
      </c>
      <c r="B174" s="25" t="inlineStr">
        <is>
          <t>Expense</t>
        </is>
      </c>
      <c r="C174" s="6" t="inlineStr">
        <is>
          <t>6164 - Sale Items</t>
        </is>
      </c>
      <c r="D174" s="22" t="n">
        <v>3347.05</v>
      </c>
      <c r="E174" s="6" t="n"/>
    </row>
    <row r="175">
      <c r="A175" s="6" t="inlineStr">
        <is>
          <t>15413 E 18th Ave — FY2024</t>
        </is>
      </c>
      <c r="B175" s="25" t="inlineStr">
        <is>
          <t>Expense</t>
        </is>
      </c>
      <c r="C175" s="6" t="inlineStr">
        <is>
          <t>6168 - Dues &amp; Subscriptions</t>
        </is>
      </c>
      <c r="D175" s="22" t="n">
        <v>133.59</v>
      </c>
      <c r="E175" s="6" t="n"/>
    </row>
    <row r="176">
      <c r="A176" s="6" t="inlineStr">
        <is>
          <t>15413 E 18th Ave — FY2024</t>
        </is>
      </c>
      <c r="B176" s="25" t="inlineStr">
        <is>
          <t>Expense</t>
        </is>
      </c>
      <c r="C176" s="6" t="inlineStr">
        <is>
          <t>6170 - Landscaping</t>
        </is>
      </c>
      <c r="D176" s="22" t="n">
        <v>18153.74</v>
      </c>
      <c r="E176" s="6" t="n"/>
    </row>
    <row r="177">
      <c r="A177" s="6" t="inlineStr">
        <is>
          <t>15413 E 18th Ave — FY2024</t>
        </is>
      </c>
      <c r="B177" s="25" t="inlineStr">
        <is>
          <t>Expense</t>
        </is>
      </c>
      <c r="C177" s="6" t="inlineStr">
        <is>
          <t>6174 - Signs</t>
        </is>
      </c>
      <c r="D177" s="22" t="n">
        <v>78.36</v>
      </c>
      <c r="E177" s="6" t="n"/>
    </row>
    <row r="178">
      <c r="A178" s="6" t="inlineStr">
        <is>
          <t>15413 E 18th Ave — FY2024</t>
        </is>
      </c>
      <c r="B178" s="25" t="inlineStr">
        <is>
          <t>Expense</t>
        </is>
      </c>
      <c r="C178" s="6" t="inlineStr">
        <is>
          <t>6176 - Teammate Mileage</t>
        </is>
      </c>
      <c r="D178" s="22" t="n">
        <v>1430.56</v>
      </c>
      <c r="E178" s="6" t="n"/>
    </row>
    <row r="179">
      <c r="A179" s="6" t="inlineStr">
        <is>
          <t>15413 E 18th Ave — FY2024</t>
        </is>
      </c>
      <c r="B179" s="25" t="inlineStr">
        <is>
          <t>Expense</t>
        </is>
      </c>
      <c r="C179" s="6" t="inlineStr">
        <is>
          <t>6182 - Fees &amp; Licenses</t>
        </is>
      </c>
      <c r="D179" s="22" t="n">
        <v>914.6</v>
      </c>
      <c r="E179" s="6" t="n"/>
    </row>
    <row r="180">
      <c r="A180" s="6" t="inlineStr">
        <is>
          <t>15413 E 18th Ave — FY2024</t>
        </is>
      </c>
      <c r="B180" s="25" t="inlineStr">
        <is>
          <t>Expense</t>
        </is>
      </c>
      <c r="C180" s="6" t="inlineStr">
        <is>
          <t>6190 - Postage</t>
        </is>
      </c>
      <c r="D180" s="22" t="n">
        <v>869.38</v>
      </c>
      <c r="E180" s="6" t="n"/>
    </row>
    <row r="181">
      <c r="A181" s="6" t="inlineStr">
        <is>
          <t>15413 E 18th Ave — FY2024</t>
        </is>
      </c>
      <c r="B181" s="25" t="inlineStr">
        <is>
          <t>Expense</t>
        </is>
      </c>
      <c r="C181" s="6" t="inlineStr">
        <is>
          <t>6212 - Office Supplies</t>
        </is>
      </c>
      <c r="D181" s="22" t="n">
        <v>698.04</v>
      </c>
      <c r="E181" s="6" t="n"/>
    </row>
    <row r="182">
      <c r="A182" s="6" t="inlineStr">
        <is>
          <t>15413 E 18th Ave — FY2024</t>
        </is>
      </c>
      <c r="B182" s="25" t="inlineStr">
        <is>
          <t>Expense</t>
        </is>
      </c>
      <c r="C182" s="6" t="inlineStr">
        <is>
          <t>6218 - Printing Expense</t>
        </is>
      </c>
      <c r="D182" s="22" t="n">
        <v>36.61</v>
      </c>
      <c r="E182" s="6" t="n"/>
    </row>
    <row r="183">
      <c r="A183" s="6" t="inlineStr">
        <is>
          <t>15413 E 18th Ave — FY2024</t>
        </is>
      </c>
      <c r="B183" s="25" t="inlineStr">
        <is>
          <t>Expense</t>
        </is>
      </c>
      <c r="C183" s="6" t="inlineStr">
        <is>
          <t>6220 - Equipment</t>
        </is>
      </c>
      <c r="D183" s="22" t="n">
        <v>1390.33</v>
      </c>
      <c r="E183" s="6" t="n"/>
    </row>
    <row r="184">
      <c r="A184" s="6" t="inlineStr">
        <is>
          <t>15413 E 18th Ave — FY2024</t>
        </is>
      </c>
      <c r="B184" s="25" t="inlineStr">
        <is>
          <t>Expense</t>
        </is>
      </c>
      <c r="C184" s="6" t="inlineStr">
        <is>
          <t>6224 - Computer Equipment - Non Capex</t>
        </is>
      </c>
      <c r="D184" s="22" t="n">
        <v>1274.08</v>
      </c>
      <c r="E184" s="6" t="n"/>
    </row>
    <row r="185">
      <c r="A185" s="6" t="inlineStr">
        <is>
          <t>15413 E 18th Ave — FY2024</t>
        </is>
      </c>
      <c r="B185" s="25" t="inlineStr">
        <is>
          <t>Expense</t>
        </is>
      </c>
      <c r="C185" s="6" t="inlineStr">
        <is>
          <t>6225 - CMS License Fee</t>
        </is>
      </c>
      <c r="D185" s="22" t="n">
        <v>2347.44</v>
      </c>
      <c r="E185" s="6" t="n"/>
    </row>
    <row r="186">
      <c r="A186" s="6" t="inlineStr">
        <is>
          <t>15413 E 18th Ave — FY2024</t>
        </is>
      </c>
      <c r="B186" s="25" t="inlineStr">
        <is>
          <t>Expense</t>
        </is>
      </c>
      <c r="C186" s="6" t="inlineStr">
        <is>
          <t>6228 - Bank Adjustments</t>
        </is>
      </c>
      <c r="D186" s="22" t="n">
        <v>1.1</v>
      </c>
      <c r="E186" s="6" t="n"/>
    </row>
    <row r="187">
      <c r="A187" s="6" t="inlineStr">
        <is>
          <t>15413 E 18th Ave — FY2024</t>
        </is>
      </c>
      <c r="B187" s="25" t="inlineStr">
        <is>
          <t>Expense</t>
        </is>
      </c>
      <c r="C187" s="6" t="inlineStr">
        <is>
          <t>6231 - Loss &amp; Damage</t>
        </is>
      </c>
      <c r="D187" s="22" t="n">
        <v>20</v>
      </c>
      <c r="E187" s="6" t="n"/>
    </row>
    <row r="188">
      <c r="A188" s="6" t="inlineStr">
        <is>
          <t>15413 E 18th Ave — FY2024</t>
        </is>
      </c>
      <c r="B188" s="25" t="inlineStr">
        <is>
          <t>Expense</t>
        </is>
      </c>
      <c r="C188" s="6" t="inlineStr">
        <is>
          <t>6232 - Visa/Mastercard Fees</t>
        </is>
      </c>
      <c r="D188" s="22" t="n">
        <v>9072.469999999999</v>
      </c>
      <c r="E188" s="6" t="n"/>
    </row>
    <row r="189">
      <c r="A189" s="6" t="inlineStr">
        <is>
          <t>15413 E 18th Ave — FY2024</t>
        </is>
      </c>
      <c r="B189" s="25" t="inlineStr">
        <is>
          <t>Expense</t>
        </is>
      </c>
      <c r="C189" s="6" t="inlineStr">
        <is>
          <t>6233 - American Express Fees</t>
        </is>
      </c>
      <c r="D189" s="22" t="n">
        <v>1033.36</v>
      </c>
      <c r="E189" s="6" t="n"/>
    </row>
    <row r="190">
      <c r="A190" s="6" t="inlineStr">
        <is>
          <t>15413 E 18th Ave — FY2024</t>
        </is>
      </c>
      <c r="B190" s="25" t="inlineStr">
        <is>
          <t>Expense</t>
        </is>
      </c>
      <c r="C190" s="6" t="inlineStr">
        <is>
          <t>6235 - ACH Fees</t>
        </is>
      </c>
      <c r="D190" s="22" t="n">
        <v>3.6</v>
      </c>
      <c r="E190" s="6" t="n"/>
    </row>
    <row r="191">
      <c r="A191" s="6" t="inlineStr">
        <is>
          <t>15413 E 18th Ave — FY2024</t>
        </is>
      </c>
      <c r="B191" s="25" t="inlineStr">
        <is>
          <t>Expense</t>
        </is>
      </c>
      <c r="C191" s="6" t="inlineStr">
        <is>
          <t>6234 - IT - Repairs and Services</t>
        </is>
      </c>
      <c r="D191" s="22" t="n">
        <v>280</v>
      </c>
      <c r="E191" s="6" t="n"/>
    </row>
    <row r="192">
      <c r="A192" s="6" t="inlineStr">
        <is>
          <t>15413 E 18th Ave — FY2024</t>
        </is>
      </c>
      <c r="B192" s="25" t="inlineStr">
        <is>
          <t>Expense</t>
        </is>
      </c>
      <c r="C192" s="6" t="inlineStr">
        <is>
          <t>6256 - Legal/Auction</t>
        </is>
      </c>
      <c r="D192" s="22" t="n">
        <v>589.6799999999999</v>
      </c>
      <c r="E192" s="6" t="inlineStr">
        <is>
          <t>Other controllable subtotal $48,137.71</t>
        </is>
      </c>
    </row>
    <row r="193">
      <c r="A193" s="6" t="inlineStr">
        <is>
          <t>15413 E 18th Ave — FY2024</t>
        </is>
      </c>
      <c r="B193" s="25" t="inlineStr">
        <is>
          <t>Expense</t>
        </is>
      </c>
      <c r="C193" s="6" t="inlineStr">
        <is>
          <t>6365 - Internet/Website Costs</t>
        </is>
      </c>
      <c r="D193" s="22" t="n">
        <v>25650.11</v>
      </c>
      <c r="E193" s="6" t="n"/>
    </row>
    <row r="194">
      <c r="A194" s="6" t="inlineStr">
        <is>
          <t>15413 E 18th Ave — FY2024</t>
        </is>
      </c>
      <c r="B194" s="25" t="inlineStr">
        <is>
          <t>Expense</t>
        </is>
      </c>
      <c r="C194" s="6" t="inlineStr">
        <is>
          <t>6375 - Store Marketing</t>
        </is>
      </c>
      <c r="D194" s="22" t="n">
        <v>324.55</v>
      </c>
      <c r="E194" s="6" t="inlineStr">
        <is>
          <t>Marketing subtotal $25,974.66; controllable expenses $196,586.54</t>
        </is>
      </c>
    </row>
    <row r="195">
      <c r="A195" s="6" t="inlineStr">
        <is>
          <t>15413 E 18th Ave — FY2024</t>
        </is>
      </c>
      <c r="B195" s="25" t="inlineStr">
        <is>
          <t>Expense</t>
        </is>
      </c>
      <c r="C195" s="6" t="inlineStr">
        <is>
          <t>7030 - Sales Tax Collection Allowance (offset)</t>
        </is>
      </c>
      <c r="D195" s="22" t="n">
        <v>-14.31</v>
      </c>
      <c r="E195" s="6" t="n"/>
    </row>
    <row r="196">
      <c r="A196" s="6" t="inlineStr">
        <is>
          <t>15413 E 18th Ave — FY2024</t>
        </is>
      </c>
      <c r="B196" s="25" t="inlineStr">
        <is>
          <t>Expense</t>
        </is>
      </c>
      <c r="C196" s="6" t="inlineStr">
        <is>
          <t>7240 - Gross Receipts Tax (property tax)</t>
        </is>
      </c>
      <c r="D196" s="22" t="n">
        <v>246826.26</v>
      </c>
      <c r="E196" s="6" t="n"/>
    </row>
    <row r="197">
      <c r="A197" s="6" t="inlineStr">
        <is>
          <t>15413 E 18th Ave — FY2024</t>
        </is>
      </c>
      <c r="B197" s="25" t="inlineStr">
        <is>
          <t>Expense</t>
        </is>
      </c>
      <c r="C197" s="6" t="inlineStr">
        <is>
          <t>6280 - Insurance</t>
        </is>
      </c>
      <c r="D197" s="22" t="n">
        <v>10522.42</v>
      </c>
      <c r="E197" s="6" t="n"/>
    </row>
    <row r="198">
      <c r="A198" s="6" t="inlineStr">
        <is>
          <t>15413 E 18th Ave — FY2024</t>
        </is>
      </c>
      <c r="B198" s="25" t="inlineStr">
        <is>
          <t>Expense</t>
        </is>
      </c>
      <c r="C198" s="6" t="inlineStr">
        <is>
          <t>6172 - Snow Removal &amp; Salting</t>
        </is>
      </c>
      <c r="D198" s="22" t="n">
        <v>3890</v>
      </c>
      <c r="E198" s="6" t="n"/>
    </row>
    <row r="199">
      <c r="A199" s="6" t="inlineStr">
        <is>
          <t>15413 E 18th Ave — FY2024</t>
        </is>
      </c>
      <c r="B199" s="25" t="inlineStr">
        <is>
          <t>Expense</t>
        </is>
      </c>
      <c r="C199" s="6" t="inlineStr">
        <is>
          <t>7530 - Professional Fees</t>
        </is>
      </c>
      <c r="D199" s="22" t="n">
        <v>350</v>
      </c>
      <c r="E199" s="6" t="n"/>
    </row>
    <row r="200">
      <c r="A200" s="6" t="inlineStr">
        <is>
          <t>15413 E 18th Ave — FY2024</t>
        </is>
      </c>
      <c r="B200" s="25" t="inlineStr">
        <is>
          <t>Expense</t>
        </is>
      </c>
      <c r="C200" s="6" t="inlineStr">
        <is>
          <t>6801 - Third Party Management Fees</t>
        </is>
      </c>
      <c r="D200" s="22" t="n">
        <v>41598.27</v>
      </c>
      <c r="E200" s="6" t="inlineStr">
        <is>
          <t>Non-controllable expenses $303,172.64</t>
        </is>
      </c>
    </row>
    <row r="201">
      <c r="A201" s="11" t="inlineStr">
        <is>
          <t>15413 E 18th Ave — FY2024</t>
        </is>
      </c>
      <c r="B201" s="26" t="inlineStr">
        <is>
          <t>Expense</t>
        </is>
      </c>
      <c r="C201" s="12" t="inlineStr">
        <is>
          <t>TOTAL EXPENSE</t>
        </is>
      </c>
      <c r="D201" s="23">
        <f>SUM(D147:D200)</f>
        <v/>
      </c>
      <c r="E201" s="18" t="inlineStr">
        <is>
          <t>Printed total: $499,759.18. NOI per statement $283,364.07 (accrual, store-level).</t>
        </is>
      </c>
    </row>
    <row r="202">
      <c r="A202" s="6" t="inlineStr">
        <is>
          <t>10350 Washington St — FY2024</t>
        </is>
      </c>
      <c r="B202" s="25" t="inlineStr">
        <is>
          <t>Income</t>
        </is>
      </c>
      <c r="C202" s="6" t="inlineStr">
        <is>
          <t>45050 - Storage Rents</t>
        </is>
      </c>
      <c r="D202" s="22" t="n">
        <v>702708.05</v>
      </c>
      <c r="E202" s="6" t="n"/>
    </row>
    <row r="203">
      <c r="A203" s="6" t="inlineStr">
        <is>
          <t>10350 Washington St — FY2024</t>
        </is>
      </c>
      <c r="B203" s="25" t="inlineStr">
        <is>
          <t>Income</t>
        </is>
      </c>
      <c r="C203" s="6" t="inlineStr">
        <is>
          <t>45100 - Merchandise Sales</t>
        </is>
      </c>
      <c r="D203" s="22" t="n">
        <v>5824.04</v>
      </c>
      <c r="E203" s="6" t="n"/>
    </row>
    <row r="204">
      <c r="A204" s="6" t="inlineStr">
        <is>
          <t>10350 Washington St — FY2024</t>
        </is>
      </c>
      <c r="B204" s="25" t="inlineStr">
        <is>
          <t>Income</t>
        </is>
      </c>
      <c r="C204" s="6" t="inlineStr">
        <is>
          <t>45125 - Commercial Truck Rental</t>
        </is>
      </c>
      <c r="D204" s="22" t="n">
        <v>2330.89</v>
      </c>
      <c r="E204" s="6" t="n"/>
    </row>
    <row r="205">
      <c r="A205" s="6" t="inlineStr">
        <is>
          <t>10350 Washington St — FY2024</t>
        </is>
      </c>
      <c r="B205" s="25" t="inlineStr">
        <is>
          <t>Income</t>
        </is>
      </c>
      <c r="C205" s="6" t="inlineStr">
        <is>
          <t>45150 - Penske Truck Rental</t>
        </is>
      </c>
      <c r="D205" s="22" t="n">
        <v>50532.36</v>
      </c>
      <c r="E205" s="6" t="inlineStr">
        <is>
          <t>Operating revenue subtotal $761,395.34</t>
        </is>
      </c>
    </row>
    <row r="206">
      <c r="A206" s="6" t="inlineStr">
        <is>
          <t>10350 Washington St — FY2024</t>
        </is>
      </c>
      <c r="B206" s="25" t="inlineStr">
        <is>
          <t>Income</t>
        </is>
      </c>
      <c r="C206" s="6" t="inlineStr">
        <is>
          <t>46050 - Administrative Fee</t>
        </is>
      </c>
      <c r="D206" s="22" t="n">
        <v>4976</v>
      </c>
      <c r="E206" s="6" t="n"/>
    </row>
    <row r="207">
      <c r="A207" s="6" t="inlineStr">
        <is>
          <t>10350 Washington St — FY2024</t>
        </is>
      </c>
      <c r="B207" s="25" t="inlineStr">
        <is>
          <t>Income</t>
        </is>
      </c>
      <c r="C207" s="6" t="inlineStr">
        <is>
          <t>46200 - Late Fee</t>
        </is>
      </c>
      <c r="D207" s="22" t="n">
        <v>20675</v>
      </c>
      <c r="E207" s="6" t="n"/>
    </row>
    <row r="208">
      <c r="A208" s="6" t="inlineStr">
        <is>
          <t>10350 Washington St — FY2024</t>
        </is>
      </c>
      <c r="B208" s="25" t="inlineStr">
        <is>
          <t>Income</t>
        </is>
      </c>
      <c r="C208" s="6" t="inlineStr">
        <is>
          <t>46300 - NSF Fee</t>
        </is>
      </c>
      <c r="D208" s="22" t="n">
        <v>25</v>
      </c>
      <c r="E208" s="6" t="n"/>
    </row>
    <row r="209">
      <c r="A209" s="6" t="inlineStr">
        <is>
          <t>10350 Washington St — FY2024</t>
        </is>
      </c>
      <c r="B209" s="25" t="inlineStr">
        <is>
          <t>Income</t>
        </is>
      </c>
      <c r="C209" s="6" t="inlineStr">
        <is>
          <t>43500 - Miscellaneous Income</t>
        </is>
      </c>
      <c r="D209" s="22" t="n">
        <v>3314.87</v>
      </c>
      <c r="E209" s="6" t="inlineStr">
        <is>
          <t>Other revenue subtotal $28,990.87</t>
        </is>
      </c>
    </row>
    <row r="210">
      <c r="A210" s="11" t="inlineStr">
        <is>
          <t>10350 Washington St — FY2024</t>
        </is>
      </c>
      <c r="B210" s="26" t="inlineStr">
        <is>
          <t>Income</t>
        </is>
      </c>
      <c r="C210" s="12" t="inlineStr">
        <is>
          <t>TOTAL INCOME</t>
        </is>
      </c>
      <c r="D210" s="23">
        <f>SUM(D202:D209)</f>
        <v/>
      </c>
      <c r="E210" s="18" t="inlineStr">
        <is>
          <t>Printed total: $790,386.21.</t>
        </is>
      </c>
    </row>
    <row r="211">
      <c r="A211" s="6" t="inlineStr">
        <is>
          <t>10350 Washington St — FY2024</t>
        </is>
      </c>
      <c r="B211" s="25" t="inlineStr">
        <is>
          <t>Expense</t>
        </is>
      </c>
      <c r="C211" s="6" t="inlineStr">
        <is>
          <t>60000 - Salaries and Wages</t>
        </is>
      </c>
      <c r="D211" s="22" t="n">
        <v>83783.53</v>
      </c>
      <c r="E211" s="6" t="n"/>
    </row>
    <row r="212">
      <c r="A212" s="6" t="inlineStr">
        <is>
          <t>10350 Washington St — FY2024</t>
        </is>
      </c>
      <c r="B212" s="25" t="inlineStr">
        <is>
          <t>Expense</t>
        </is>
      </c>
      <c r="C212" s="6" t="inlineStr">
        <is>
          <t>60100 - Payroll Taxes</t>
        </is>
      </c>
      <c r="D212" s="22" t="n">
        <v>9981.33</v>
      </c>
      <c r="E212" s="6" t="inlineStr">
        <is>
          <t>Payroll subtotal $93,764.86</t>
        </is>
      </c>
    </row>
    <row r="213">
      <c r="A213" s="6" t="inlineStr">
        <is>
          <t>10350 Washington St — FY2024</t>
        </is>
      </c>
      <c r="B213" s="25" t="inlineStr">
        <is>
          <t>Expense</t>
        </is>
      </c>
      <c r="C213" s="6" t="inlineStr">
        <is>
          <t>61000 - General Repairs and Maintenance</t>
        </is>
      </c>
      <c r="D213" s="22" t="n">
        <v>10417.18</v>
      </c>
      <c r="E213" s="6" t="n"/>
    </row>
    <row r="214">
      <c r="A214" s="6" t="inlineStr">
        <is>
          <t>10350 Washington St — FY2024</t>
        </is>
      </c>
      <c r="B214" s="25" t="inlineStr">
        <is>
          <t>Expense</t>
        </is>
      </c>
      <c r="C214" s="6" t="inlineStr">
        <is>
          <t>61100 - Purchase of Resale Items</t>
        </is>
      </c>
      <c r="D214" s="22" t="n">
        <v>3715.51</v>
      </c>
      <c r="E214" s="6" t="n"/>
    </row>
    <row r="215">
      <c r="A215" s="6" t="inlineStr">
        <is>
          <t>10350 Washington St — FY2024</t>
        </is>
      </c>
      <c r="B215" s="25" t="inlineStr">
        <is>
          <t>Expense</t>
        </is>
      </c>
      <c r="C215" s="6" t="inlineStr">
        <is>
          <t>61150 - Property Uniforms</t>
        </is>
      </c>
      <c r="D215" s="22" t="n">
        <v>438.84</v>
      </c>
      <c r="E215" s="6" t="n"/>
    </row>
    <row r="216">
      <c r="A216" s="6" t="inlineStr">
        <is>
          <t>10350 Washington St — FY2024</t>
        </is>
      </c>
      <c r="B216" s="25" t="inlineStr">
        <is>
          <t>Expense</t>
        </is>
      </c>
      <c r="C216" s="6" t="inlineStr">
        <is>
          <t>61200 - Snow Removal/Power Sweeping</t>
        </is>
      </c>
      <c r="D216" s="22" t="n">
        <v>375</v>
      </c>
      <c r="E216" s="6" t="n"/>
    </row>
    <row r="217">
      <c r="A217" s="6" t="inlineStr">
        <is>
          <t>10350 Washington St — FY2024</t>
        </is>
      </c>
      <c r="B217" s="25" t="inlineStr">
        <is>
          <t>Expense</t>
        </is>
      </c>
      <c r="C217" s="6" t="inlineStr">
        <is>
          <t>61300 - Trash Services</t>
        </is>
      </c>
      <c r="D217" s="22" t="n">
        <v>5322.58</v>
      </c>
      <c r="E217" s="6" t="n"/>
    </row>
    <row r="218">
      <c r="A218" s="6" t="inlineStr">
        <is>
          <t>10350 Washington St — FY2024</t>
        </is>
      </c>
      <c r="B218" s="25" t="inlineStr">
        <is>
          <t>Expense</t>
        </is>
      </c>
      <c r="C218" s="6" t="inlineStr">
        <is>
          <t>61400 - Ground Maintenance</t>
        </is>
      </c>
      <c r="D218" s="22" t="n">
        <v>1044</v>
      </c>
      <c r="E218" s="6" t="n"/>
    </row>
    <row r="219">
      <c r="A219" s="6" t="inlineStr">
        <is>
          <t>10350 Washington St — FY2024</t>
        </is>
      </c>
      <c r="B219" s="25" t="inlineStr">
        <is>
          <t>Expense</t>
        </is>
      </c>
      <c r="C219" s="6" t="inlineStr">
        <is>
          <t>61500 - Truck - Lease</t>
        </is>
      </c>
      <c r="D219" s="22" t="n">
        <v>15600</v>
      </c>
      <c r="E219" s="6" t="n"/>
    </row>
    <row r="220">
      <c r="A220" s="6" t="inlineStr">
        <is>
          <t>10350 Washington St — FY2024</t>
        </is>
      </c>
      <c r="B220" s="25" t="inlineStr">
        <is>
          <t>Expense</t>
        </is>
      </c>
      <c r="C220" s="6" t="inlineStr">
        <is>
          <t>61700 - Truck - Maintenance</t>
        </is>
      </c>
      <c r="D220" s="22" t="n">
        <v>368.7</v>
      </c>
      <c r="E220" s="6" t="n"/>
    </row>
    <row r="221">
      <c r="A221" s="6" t="inlineStr">
        <is>
          <t>10350 Washington St — FY2024</t>
        </is>
      </c>
      <c r="B221" s="25" t="inlineStr">
        <is>
          <t>Expense</t>
        </is>
      </c>
      <c r="C221" s="6" t="inlineStr">
        <is>
          <t>61800 - Truck - Commercial Commissions</t>
        </is>
      </c>
      <c r="D221" s="22" t="n">
        <v>330</v>
      </c>
      <c r="E221" s="6" t="n"/>
    </row>
    <row r="222">
      <c r="A222" s="6" t="inlineStr">
        <is>
          <t>10350 Washington St — FY2024</t>
        </is>
      </c>
      <c r="B222" s="25" t="inlineStr">
        <is>
          <t>Expense</t>
        </is>
      </c>
      <c r="C222" s="6" t="inlineStr">
        <is>
          <t>61900 - Truck - Penske Commissions</t>
        </is>
      </c>
      <c r="D222" s="22" t="n">
        <v>5908.99</v>
      </c>
      <c r="E222" s="6" t="inlineStr">
        <is>
          <t>R&amp;M subtotal $43,520.80</t>
        </is>
      </c>
    </row>
    <row r="223">
      <c r="A223" s="6" t="inlineStr">
        <is>
          <t>10350 Washington St — FY2024</t>
        </is>
      </c>
      <c r="B223" s="25" t="inlineStr">
        <is>
          <t>Expense</t>
        </is>
      </c>
      <c r="C223" s="6" t="inlineStr">
        <is>
          <t>62000 - Utilities - Electric</t>
        </is>
      </c>
      <c r="D223" s="22" t="n">
        <v>2647.46</v>
      </c>
      <c r="E223" s="6" t="n"/>
    </row>
    <row r="224">
      <c r="A224" s="6" t="inlineStr">
        <is>
          <t>10350 Washington St — FY2024</t>
        </is>
      </c>
      <c r="B224" s="25" t="inlineStr">
        <is>
          <t>Expense</t>
        </is>
      </c>
      <c r="C224" s="6" t="inlineStr">
        <is>
          <t>62100 - Utilities - Water and Sewer</t>
        </is>
      </c>
      <c r="D224" s="22" t="n">
        <v>2643.74</v>
      </c>
      <c r="E224" s="6" t="n"/>
    </row>
    <row r="225">
      <c r="A225" s="6" t="inlineStr">
        <is>
          <t>10350 Washington St — FY2024</t>
        </is>
      </c>
      <c r="B225" s="25" t="inlineStr">
        <is>
          <t>Expense</t>
        </is>
      </c>
      <c r="C225" s="6" t="inlineStr">
        <is>
          <t>62200 - Utilities - Gas</t>
        </is>
      </c>
      <c r="D225" s="22" t="n">
        <v>2.21</v>
      </c>
      <c r="E225" s="6" t="n"/>
    </row>
    <row r="226">
      <c r="A226" s="6" t="inlineStr">
        <is>
          <t>10350 Washington St — FY2024</t>
        </is>
      </c>
      <c r="B226" s="25" t="inlineStr">
        <is>
          <t>Expense</t>
        </is>
      </c>
      <c r="C226" s="6" t="inlineStr">
        <is>
          <t>62500 - Security Alarm Service</t>
        </is>
      </c>
      <c r="D226" s="22" t="n">
        <v>1857.52</v>
      </c>
      <c r="E226" s="6" t="inlineStr">
        <is>
          <t>Utilities subtotal $7,150.93</t>
        </is>
      </c>
    </row>
    <row r="227">
      <c r="A227" s="6" t="inlineStr">
        <is>
          <t>10350 Washington St — FY2024</t>
        </is>
      </c>
      <c r="B227" s="25" t="inlineStr">
        <is>
          <t>Expense</t>
        </is>
      </c>
      <c r="C227" s="6" t="inlineStr">
        <is>
          <t>63000 - Management Fee</t>
        </is>
      </c>
      <c r="D227" s="22" t="n">
        <v>47235.68</v>
      </c>
      <c r="E227" s="6" t="n"/>
    </row>
    <row r="228">
      <c r="A228" s="6" t="inlineStr">
        <is>
          <t>10350 Washington St — FY2024</t>
        </is>
      </c>
      <c r="B228" s="25" t="inlineStr">
        <is>
          <t>Expense</t>
        </is>
      </c>
      <c r="C228" s="6" t="inlineStr">
        <is>
          <t>65000 - Legal and Professional Services</t>
        </is>
      </c>
      <c r="D228" s="22" t="n">
        <v>10238.1</v>
      </c>
      <c r="E228" s="6" t="n"/>
    </row>
    <row r="229">
      <c r="A229" s="6" t="inlineStr">
        <is>
          <t>10350 Washington St — FY2024</t>
        </is>
      </c>
      <c r="B229" s="25" t="inlineStr">
        <is>
          <t>Expense</t>
        </is>
      </c>
      <c r="C229" s="6" t="inlineStr">
        <is>
          <t>66000 - Dues and Subscriptions</t>
        </is>
      </c>
      <c r="D229" s="22" t="n">
        <v>98.05</v>
      </c>
      <c r="E229" s="6" t="n"/>
    </row>
    <row r="230">
      <c r="A230" s="6" t="inlineStr">
        <is>
          <t>10350 Washington St — FY2024</t>
        </is>
      </c>
      <c r="B230" s="25" t="inlineStr">
        <is>
          <t>Expense</t>
        </is>
      </c>
      <c r="C230" s="6" t="inlineStr">
        <is>
          <t>66050 - Office Supplies</t>
        </is>
      </c>
      <c r="D230" s="22" t="n">
        <v>934.66</v>
      </c>
      <c r="E230" s="6" t="n"/>
    </row>
    <row r="231">
      <c r="A231" s="6" t="inlineStr">
        <is>
          <t>10350 Washington St — FY2024</t>
        </is>
      </c>
      <c r="B231" s="25" t="inlineStr">
        <is>
          <t>Expense</t>
        </is>
      </c>
      <c r="C231" s="6" t="inlineStr">
        <is>
          <t>66100 - Postage &amp; Delivery</t>
        </is>
      </c>
      <c r="D231" s="22" t="n">
        <v>645.37</v>
      </c>
      <c r="E231" s="6" t="n"/>
    </row>
    <row r="232">
      <c r="A232" s="6" t="inlineStr">
        <is>
          <t>10350 Washington St — FY2024</t>
        </is>
      </c>
      <c r="B232" s="25" t="inlineStr">
        <is>
          <t>Expense</t>
        </is>
      </c>
      <c r="C232" s="6" t="inlineStr">
        <is>
          <t>66200 - Telephone</t>
        </is>
      </c>
      <c r="D232" s="22" t="n">
        <v>9403.110000000001</v>
      </c>
      <c r="E232" s="6" t="n"/>
    </row>
    <row r="233">
      <c r="A233" s="6" t="inlineStr">
        <is>
          <t>10350 Washington St — FY2024</t>
        </is>
      </c>
      <c r="B233" s="25" t="inlineStr">
        <is>
          <t>Expense</t>
        </is>
      </c>
      <c r="C233" s="6" t="inlineStr">
        <is>
          <t>66300 - Call Center Allocation</t>
        </is>
      </c>
      <c r="D233" s="22" t="n">
        <v>1399.74</v>
      </c>
      <c r="E233" s="6" t="n"/>
    </row>
    <row r="234">
      <c r="A234" s="6" t="inlineStr">
        <is>
          <t>10350 Washington St — FY2024</t>
        </is>
      </c>
      <c r="B234" s="25" t="inlineStr">
        <is>
          <t>Expense</t>
        </is>
      </c>
      <c r="C234" s="6" t="inlineStr">
        <is>
          <t>69300 - Petty Cash Expenses</t>
        </is>
      </c>
      <c r="D234" s="22" t="n">
        <v>3422.72</v>
      </c>
      <c r="E234" s="6" t="inlineStr">
        <is>
          <t>Administrative subtotal $15,903.65</t>
        </is>
      </c>
    </row>
    <row r="235">
      <c r="A235" s="6" t="inlineStr">
        <is>
          <t>10350 Washington St — FY2024</t>
        </is>
      </c>
      <c r="B235" s="25" t="inlineStr">
        <is>
          <t>Expense</t>
        </is>
      </c>
      <c r="C235" s="6" t="inlineStr">
        <is>
          <t>69000 - Travel</t>
        </is>
      </c>
      <c r="D235" s="22" t="n">
        <v>53.72</v>
      </c>
      <c r="E235" s="6" t="n"/>
    </row>
    <row r="236">
      <c r="A236" s="6" t="inlineStr">
        <is>
          <t>10350 Washington St — FY2024</t>
        </is>
      </c>
      <c r="B236" s="25" t="inlineStr">
        <is>
          <t>Expense</t>
        </is>
      </c>
      <c r="C236" s="6" t="inlineStr">
        <is>
          <t>56100 - Travel - Property Management</t>
        </is>
      </c>
      <c r="D236" s="22" t="n">
        <v>14.16</v>
      </c>
      <c r="E236" s="6" t="inlineStr">
        <is>
          <t>Travel subtotal $67.88</t>
        </is>
      </c>
    </row>
    <row r="237">
      <c r="A237" s="6" t="inlineStr">
        <is>
          <t>10350 Washington St — FY2024</t>
        </is>
      </c>
      <c r="B237" s="25" t="inlineStr">
        <is>
          <t>Expense</t>
        </is>
      </c>
      <c r="C237" s="6" t="inlineStr">
        <is>
          <t>64000 - Promotional Advertising</t>
        </is>
      </c>
      <c r="D237" s="22" t="n">
        <v>8781.219999999999</v>
      </c>
      <c r="E237" s="6" t="n"/>
    </row>
    <row r="238">
      <c r="A238" s="6" t="inlineStr">
        <is>
          <t>10350 Washington St — FY2024</t>
        </is>
      </c>
      <c r="B238" s="25" t="inlineStr">
        <is>
          <t>Expense</t>
        </is>
      </c>
      <c r="C238" s="6" t="inlineStr">
        <is>
          <t>64100 - Google</t>
        </is>
      </c>
      <c r="D238" s="22" t="n">
        <v>6532.72</v>
      </c>
      <c r="E238" s="6" t="n"/>
    </row>
    <row r="239">
      <c r="A239" s="6" t="inlineStr">
        <is>
          <t>10350 Washington St — FY2024</t>
        </is>
      </c>
      <c r="B239" s="25" t="inlineStr">
        <is>
          <t>Expense</t>
        </is>
      </c>
      <c r="C239" s="6" t="inlineStr">
        <is>
          <t>64150 - Sparefoot/Storagefront</t>
        </is>
      </c>
      <c r="D239" s="22" t="n">
        <v>18968.73</v>
      </c>
      <c r="E239" s="6" t="n"/>
    </row>
    <row r="240">
      <c r="A240" s="6" t="inlineStr">
        <is>
          <t>10350 Washington St — FY2024</t>
        </is>
      </c>
      <c r="B240" s="25" t="inlineStr">
        <is>
          <t>Expense</t>
        </is>
      </c>
      <c r="C240" s="6" t="inlineStr">
        <is>
          <t>64300 - Employee Promotions</t>
        </is>
      </c>
      <c r="D240" s="22" t="n">
        <v>4302.18</v>
      </c>
      <c r="E240" s="6" t="inlineStr">
        <is>
          <t>Advertising subtotal $38,584.85</t>
        </is>
      </c>
    </row>
    <row r="241">
      <c r="A241" s="6" t="inlineStr">
        <is>
          <t>10350 Washington St — FY2024</t>
        </is>
      </c>
      <c r="B241" s="25" t="inlineStr">
        <is>
          <t>Expense</t>
        </is>
      </c>
      <c r="C241" s="6" t="inlineStr">
        <is>
          <t>68000 - Fire and Liability Insurance</t>
        </is>
      </c>
      <c r="D241" s="22" t="n">
        <v>12049.98</v>
      </c>
      <c r="E241" s="6" t="n"/>
    </row>
    <row r="242">
      <c r="A242" s="6" t="inlineStr">
        <is>
          <t>10350 Washington St — FY2024</t>
        </is>
      </c>
      <c r="B242" s="25" t="inlineStr">
        <is>
          <t>Expense</t>
        </is>
      </c>
      <c r="C242" s="6" t="inlineStr">
        <is>
          <t>68100 - Workers Compensation</t>
        </is>
      </c>
      <c r="D242" s="22" t="n">
        <v>2700.3</v>
      </c>
      <c r="E242" s="6" t="n"/>
    </row>
    <row r="243">
      <c r="A243" s="6" t="inlineStr">
        <is>
          <t>10350 Washington St — FY2024</t>
        </is>
      </c>
      <c r="B243" s="25" t="inlineStr">
        <is>
          <t>Expense</t>
        </is>
      </c>
      <c r="C243" s="6" t="inlineStr">
        <is>
          <t>68200 - Medical Insurance</t>
        </is>
      </c>
      <c r="D243" s="22" t="n">
        <v>11170.57</v>
      </c>
      <c r="E243" s="6" t="inlineStr">
        <is>
          <t>Insurance subtotal $25,920.85</t>
        </is>
      </c>
    </row>
    <row r="244">
      <c r="A244" s="6" t="inlineStr">
        <is>
          <t>10350 Washington St — FY2024</t>
        </is>
      </c>
      <c r="B244" s="25" t="inlineStr">
        <is>
          <t>Expense</t>
        </is>
      </c>
      <c r="C244" s="6" t="inlineStr">
        <is>
          <t>67000 - Real Estate Taxes</t>
        </is>
      </c>
      <c r="D244" s="22" t="n">
        <v>221073.2</v>
      </c>
      <c r="E244" s="6" t="n"/>
    </row>
    <row r="245">
      <c r="A245" s="6" t="inlineStr">
        <is>
          <t>10350 Washington St — FY2024</t>
        </is>
      </c>
      <c r="B245" s="25" t="inlineStr">
        <is>
          <t>Expense</t>
        </is>
      </c>
      <c r="C245" s="6" t="inlineStr">
        <is>
          <t>67200 - Other Taxes and Licenses</t>
        </is>
      </c>
      <c r="D245" s="22" t="n">
        <v>267.73</v>
      </c>
      <c r="E245" s="6" t="inlineStr">
        <is>
          <t>Taxes subtotal $221,340.93</t>
        </is>
      </c>
    </row>
    <row r="246">
      <c r="A246" s="6" t="inlineStr">
        <is>
          <t>10350 Washington St — FY2024</t>
        </is>
      </c>
      <c r="B246" s="25" t="inlineStr">
        <is>
          <t>Expense</t>
        </is>
      </c>
      <c r="C246" s="6" t="inlineStr">
        <is>
          <t>69100 - Bank Charges and Payroll Fees</t>
        </is>
      </c>
      <c r="D246" s="22" t="n">
        <v>1348.1</v>
      </c>
      <c r="E246" s="6" t="n"/>
    </row>
    <row r="247">
      <c r="A247" s="6" t="inlineStr">
        <is>
          <t>10350 Washington St — FY2024</t>
        </is>
      </c>
      <c r="B247" s="25" t="inlineStr">
        <is>
          <t>Expense</t>
        </is>
      </c>
      <c r="C247" s="6" t="inlineStr">
        <is>
          <t>69200 - Credit Card Fees</t>
        </is>
      </c>
      <c r="D247" s="22" t="n">
        <v>28027.29</v>
      </c>
      <c r="E247" s="6" t="n"/>
    </row>
    <row r="248">
      <c r="A248" s="6" t="inlineStr">
        <is>
          <t>10350 Washington St — FY2024</t>
        </is>
      </c>
      <c r="B248" s="25" t="inlineStr">
        <is>
          <t>Expense</t>
        </is>
      </c>
      <c r="C248" s="6" t="inlineStr">
        <is>
          <t>57500 - Credit Card Fees</t>
        </is>
      </c>
      <c r="D248" s="22" t="n">
        <v>17.19</v>
      </c>
      <c r="E248" s="6" t="inlineStr">
        <is>
          <t>Fees &amp; commissions subtotal $29,392.58</t>
        </is>
      </c>
    </row>
    <row r="249">
      <c r="A249" s="11" t="inlineStr">
        <is>
          <t>10350 Washington St — FY2024</t>
        </is>
      </c>
      <c r="B249" s="26" t="inlineStr">
        <is>
          <t>Expense</t>
        </is>
      </c>
      <c r="C249" s="12" t="inlineStr">
        <is>
          <t>TOTAL EXPENSE</t>
        </is>
      </c>
      <c r="D249" s="23">
        <f>SUM(D211:D248)</f>
        <v/>
      </c>
      <c r="E249" s="18" t="inlineStr">
        <is>
          <t>Printed total: $533,121.11. NOI per statement $257,265.10. FY2023 comparative: revenue $899,471.29 / expenses $590,318.63 / NOI $309,152.66 (see Summary).</t>
        </is>
      </c>
    </row>
    <row r="250">
      <c r="A250" s="6" t="inlineStr">
        <is>
          <t>10350 Washington St — FY2024</t>
        </is>
      </c>
      <c r="B250" s="25" t="inlineStr">
        <is>
          <t>Memo (below NOI)</t>
        </is>
      </c>
      <c r="C250" s="6" t="inlineStr">
        <is>
          <t>Interest Expense (73000/57300)</t>
        </is>
      </c>
      <c r="D250" s="22" t="n">
        <v>79320.35000000001</v>
      </c>
      <c r="E250" s="6" t="inlineStr">
        <is>
          <t>Below NOI; not in totals above</t>
        </is>
      </c>
    </row>
    <row r="251">
      <c r="A251" s="6" t="inlineStr">
        <is>
          <t>10350 Washington St — FY2024</t>
        </is>
      </c>
      <c r="B251" s="25" t="inlineStr">
        <is>
          <t>Memo (below NOI)</t>
        </is>
      </c>
      <c r="C251" s="6" t="inlineStr">
        <is>
          <t>Extraordinary - Participation Management Fee (63500)</t>
        </is>
      </c>
      <c r="D251" s="22" t="n">
        <v>19200</v>
      </c>
      <c r="E251" s="6" t="inlineStr">
        <is>
          <t>Below NOI</t>
        </is>
      </c>
    </row>
    <row r="252">
      <c r="A252" s="6" t="inlineStr">
        <is>
          <t>10350 Washington St — FY2024</t>
        </is>
      </c>
      <c r="B252" s="25" t="inlineStr">
        <is>
          <t>Memo (below NOI)</t>
        </is>
      </c>
      <c r="C252" s="6" t="inlineStr">
        <is>
          <t>Depreciation &amp; Amortization</t>
        </is>
      </c>
      <c r="D252" s="22" t="n">
        <v>8922.84</v>
      </c>
      <c r="E252" s="6" t="inlineStr">
        <is>
          <t>Below NOI</t>
        </is>
      </c>
    </row>
    <row r="253">
      <c r="A253" s="6" t="inlineStr">
        <is>
          <t>10350 Washington St — FY2024</t>
        </is>
      </c>
      <c r="B253" s="25" t="inlineStr">
        <is>
          <t>Memo (below NOI)</t>
        </is>
      </c>
      <c r="C253" s="6" t="inlineStr">
        <is>
          <t>Net Cash Flow Before Dep. &amp; Amort.</t>
        </is>
      </c>
      <c r="D253" s="22" t="n">
        <v>158744.75</v>
      </c>
      <c r="E253" s="6" t="inlineStr">
        <is>
          <t>Per statement (FY2023: $162,198.05)</t>
        </is>
      </c>
    </row>
    <row r="254">
      <c r="A254" s="6" t="inlineStr">
        <is>
          <t>10350 Washington St — FY2024</t>
        </is>
      </c>
      <c r="B254" s="25" t="inlineStr">
        <is>
          <t>Memo (below NOI)</t>
        </is>
      </c>
      <c r="C254" s="6" t="inlineStr">
        <is>
          <t>Net Taxable Income</t>
        </is>
      </c>
      <c r="D254" s="22" t="n">
        <v>149821.91</v>
      </c>
      <c r="E254" s="6" t="inlineStr">
        <is>
          <t>Per statement (FY2023: $124,600.41)</t>
        </is>
      </c>
    </row>
    <row r="255">
      <c r="A255" s="6" t="inlineStr">
        <is>
          <t>6125 E. 56th Ave (R0091909) — FY2023</t>
        </is>
      </c>
      <c r="B255" s="25" t="inlineStr">
        <is>
          <t>Income</t>
        </is>
      </c>
      <c r="C255" s="6" t="inlineStr">
        <is>
          <t>51105 - Rent</t>
        </is>
      </c>
      <c r="D255" s="22" t="n">
        <v>335870.74</v>
      </c>
      <c r="E255" s="6" t="n"/>
    </row>
    <row r="256">
      <c r="A256" s="6" t="inlineStr">
        <is>
          <t>6125 E. 56th Ave (R0091909) — FY2023</t>
        </is>
      </c>
      <c r="B256" s="25" t="inlineStr">
        <is>
          <t>Income</t>
        </is>
      </c>
      <c r="C256" s="6" t="inlineStr">
        <is>
          <t>51205 - CAM Reimbursement Current</t>
        </is>
      </c>
      <c r="D256" s="22" t="n">
        <v>55533.44</v>
      </c>
      <c r="E256" s="6" t="n"/>
    </row>
    <row r="257">
      <c r="A257" s="6" t="inlineStr">
        <is>
          <t>6125 E. 56th Ave (R0091909) — FY2023</t>
        </is>
      </c>
      <c r="B257" s="25" t="inlineStr">
        <is>
          <t>Income</t>
        </is>
      </c>
      <c r="C257" s="6" t="inlineStr">
        <is>
          <t>51210 - Operating Expense Recovery</t>
        </is>
      </c>
      <c r="D257" s="22" t="n">
        <v>-2910.43</v>
      </c>
      <c r="E257" s="6" t="n"/>
    </row>
    <row r="258">
      <c r="A258" s="6" t="inlineStr">
        <is>
          <t>6125 E. 56th Ave (R0091909) — FY2023</t>
        </is>
      </c>
      <c r="B258" s="25" t="inlineStr">
        <is>
          <t>Income</t>
        </is>
      </c>
      <c r="C258" s="6" t="inlineStr">
        <is>
          <t>51215 - Insurance Reimbursement</t>
        </is>
      </c>
      <c r="D258" s="22" t="n">
        <v>6085.08</v>
      </c>
      <c r="E258" s="6" t="n"/>
    </row>
    <row r="259">
      <c r="A259" s="6" t="inlineStr">
        <is>
          <t>6125 E. 56th Ave (R0091909) — FY2023</t>
        </is>
      </c>
      <c r="B259" s="25" t="inlineStr">
        <is>
          <t>Income</t>
        </is>
      </c>
      <c r="C259" s="6" t="inlineStr">
        <is>
          <t>51225 - RE Tax Reimbursement</t>
        </is>
      </c>
      <c r="D259" s="22" t="n">
        <v>82275.88</v>
      </c>
      <c r="E259" s="6" t="n"/>
    </row>
    <row r="260">
      <c r="A260" s="6" t="inlineStr">
        <is>
          <t>6125 E. 56th Ave (R0091909) — FY2023</t>
        </is>
      </c>
      <c r="B260" s="25" t="inlineStr">
        <is>
          <t>Income</t>
        </is>
      </c>
      <c r="C260" s="6" t="inlineStr">
        <is>
          <t>51320 - Late Fees &amp; Other Charges</t>
        </is>
      </c>
      <c r="D260" s="22" t="n">
        <v>16450.74</v>
      </c>
      <c r="E260" s="6" t="n"/>
    </row>
    <row r="261">
      <c r="A261" s="11" t="inlineStr">
        <is>
          <t>6125 E. 56th Ave (R0091909) — FY2023</t>
        </is>
      </c>
      <c r="B261" s="26" t="inlineStr">
        <is>
          <t>Income</t>
        </is>
      </c>
      <c r="C261" s="12" t="inlineStr">
        <is>
          <t>TOTAL OPERATING REVENUES</t>
        </is>
      </c>
      <c r="D261" s="23">
        <f>SUM(D255:D260)</f>
        <v/>
      </c>
      <c r="E261" s="18" t="inlineStr">
        <is>
          <t>Printed total: $493,305.45.</t>
        </is>
      </c>
    </row>
    <row r="262">
      <c r="A262" s="6" t="inlineStr">
        <is>
          <t>6125 E. 56th Ave (R0091909) — FY2023</t>
        </is>
      </c>
      <c r="B262" s="25" t="inlineStr">
        <is>
          <t>Expense</t>
        </is>
      </c>
      <c r="C262" s="6" t="inlineStr">
        <is>
          <t>60105 - Elec House Meters</t>
        </is>
      </c>
      <c r="D262" s="22" t="n">
        <v>184.31</v>
      </c>
      <c r="E262" s="6" t="n"/>
    </row>
    <row r="263">
      <c r="A263" s="6" t="inlineStr">
        <is>
          <t>6125 E. 56th Ave (R0091909) — FY2023</t>
        </is>
      </c>
      <c r="B263" s="25" t="inlineStr">
        <is>
          <t>Expense</t>
        </is>
      </c>
      <c r="C263" s="6" t="inlineStr">
        <is>
          <t>60115 - Water/Sewer</t>
        </is>
      </c>
      <c r="D263" s="22" t="n">
        <v>4337.5</v>
      </c>
      <c r="E263" s="6" t="n"/>
    </row>
    <row r="264">
      <c r="A264" s="6" t="inlineStr">
        <is>
          <t>6125 E. 56th Ave (R0091909) — FY2023</t>
        </is>
      </c>
      <c r="B264" s="25" t="inlineStr">
        <is>
          <t>Expense</t>
        </is>
      </c>
      <c r="C264" s="6" t="inlineStr">
        <is>
          <t>60220 - Parking Sweep Contract</t>
        </is>
      </c>
      <c r="D264" s="22" t="n">
        <v>960</v>
      </c>
      <c r="E264" s="6" t="n"/>
    </row>
    <row r="265">
      <c r="A265" s="6" t="inlineStr">
        <is>
          <t>6125 E. 56th Ave (R0091909) — FY2023</t>
        </is>
      </c>
      <c r="B265" s="25" t="inlineStr">
        <is>
          <t>Expense</t>
        </is>
      </c>
      <c r="C265" s="6" t="inlineStr">
        <is>
          <t>60235 - Trash Removal Contract</t>
        </is>
      </c>
      <c r="D265" s="22" t="n">
        <v>310.03</v>
      </c>
      <c r="E265" s="6" t="n"/>
    </row>
    <row r="266">
      <c r="A266" s="6" t="inlineStr">
        <is>
          <t>6125 E. 56th Ave (R0091909) — FY2023</t>
        </is>
      </c>
      <c r="B266" s="25" t="inlineStr">
        <is>
          <t>Expense</t>
        </is>
      </c>
      <c r="C266" s="6" t="inlineStr">
        <is>
          <t>60310 - Ceilings/Tiles R&amp;M</t>
        </is>
      </c>
      <c r="D266" s="22" t="n">
        <v>419.54</v>
      </c>
      <c r="E266" s="6" t="n"/>
    </row>
    <row r="267">
      <c r="A267" s="6" t="inlineStr">
        <is>
          <t>6125 E. 56th Ave (R0091909) — FY2023</t>
        </is>
      </c>
      <c r="B267" s="25" t="inlineStr">
        <is>
          <t>Expense</t>
        </is>
      </c>
      <c r="C267" s="6" t="inlineStr">
        <is>
          <t>60315 - Door/Keys R&amp;M</t>
        </is>
      </c>
      <c r="D267" s="22" t="n">
        <v>1.02</v>
      </c>
      <c r="E267" s="6" t="n"/>
    </row>
    <row r="268">
      <c r="A268" s="6" t="inlineStr">
        <is>
          <t>6125 E. 56th Ave (R0091909) — FY2023</t>
        </is>
      </c>
      <c r="B268" s="25" t="inlineStr">
        <is>
          <t>Expense</t>
        </is>
      </c>
      <c r="C268" s="6" t="inlineStr">
        <is>
          <t>60405 - Backflow Inspections</t>
        </is>
      </c>
      <c r="D268" s="22" t="n">
        <v>110</v>
      </c>
      <c r="E268" s="6" t="n"/>
    </row>
    <row r="269">
      <c r="A269" s="6" t="inlineStr">
        <is>
          <t>6125 E. 56th Ave (R0091909) — FY2023</t>
        </is>
      </c>
      <c r="B269" s="25" t="inlineStr">
        <is>
          <t>Expense</t>
        </is>
      </c>
      <c r="C269" s="6" t="inlineStr">
        <is>
          <t>60410 - Backflow R&amp;M</t>
        </is>
      </c>
      <c r="D269" s="22" t="n">
        <v>1353.38</v>
      </c>
      <c r="E269" s="6" t="n"/>
    </row>
    <row r="270">
      <c r="A270" s="6" t="inlineStr">
        <is>
          <t>6125 E. 56th Ave (R0091909) — FY2023</t>
        </is>
      </c>
      <c r="B270" s="25" t="inlineStr">
        <is>
          <t>Expense</t>
        </is>
      </c>
      <c r="C270" s="6" t="inlineStr">
        <is>
          <t>60420 - Plumbing/Sewer R&amp;M</t>
        </is>
      </c>
      <c r="D270" s="22" t="n">
        <v>1382.16</v>
      </c>
      <c r="E270" s="6" t="n"/>
    </row>
    <row r="271">
      <c r="A271" s="6" t="inlineStr">
        <is>
          <t>6125 E. 56th Ave (R0091909) — FY2023</t>
        </is>
      </c>
      <c r="B271" s="25" t="inlineStr">
        <is>
          <t>Expense</t>
        </is>
      </c>
      <c r="C271" s="6" t="inlineStr">
        <is>
          <t>60535 - Irrig Sprinklers R&amp;M</t>
        </is>
      </c>
      <c r="D271" s="22" t="n">
        <v>87.08</v>
      </c>
      <c r="E271" s="6" t="n"/>
    </row>
    <row r="272">
      <c r="A272" s="6" t="inlineStr">
        <is>
          <t>6125 E. 56th Ave (R0091909) — FY2023</t>
        </is>
      </c>
      <c r="B272" s="25" t="inlineStr">
        <is>
          <t>Expense</t>
        </is>
      </c>
      <c r="C272" s="6" t="inlineStr">
        <is>
          <t>60540 - Landscape Contract</t>
        </is>
      </c>
      <c r="D272" s="22" t="n">
        <v>1355.2</v>
      </c>
      <c r="E272" s="6" t="n"/>
    </row>
    <row r="273">
      <c r="A273" s="6" t="inlineStr">
        <is>
          <t>6125 E. 56th Ave (R0091909) — FY2023</t>
        </is>
      </c>
      <c r="B273" s="25" t="inlineStr">
        <is>
          <t>Expense</t>
        </is>
      </c>
      <c r="C273" s="6" t="inlineStr">
        <is>
          <t>60541 - Landscaping &amp; Irrigation Rpr &amp; Rpl</t>
        </is>
      </c>
      <c r="D273" s="22" t="n">
        <v>103.5</v>
      </c>
      <c r="E273" s="6" t="n"/>
    </row>
    <row r="274">
      <c r="A274" s="6" t="inlineStr">
        <is>
          <t>6125 E. 56th Ave (R0091909) — FY2023</t>
        </is>
      </c>
      <c r="B274" s="25" t="inlineStr">
        <is>
          <t>Expense</t>
        </is>
      </c>
      <c r="C274" s="6" t="inlineStr">
        <is>
          <t>60550 - Parking Lot/Sidewalk R&amp;M</t>
        </is>
      </c>
      <c r="D274" s="22" t="n">
        <v>775</v>
      </c>
      <c r="E274" s="6" t="n"/>
    </row>
    <row r="275">
      <c r="A275" s="6" t="inlineStr">
        <is>
          <t>6125 E. 56th Ave (R0091909) — FY2023</t>
        </is>
      </c>
      <c r="B275" s="25" t="inlineStr">
        <is>
          <t>Expense</t>
        </is>
      </c>
      <c r="C275" s="6" t="inlineStr">
        <is>
          <t>60555 - Pest Control Contract</t>
        </is>
      </c>
      <c r="D275" s="22" t="n">
        <v>1170</v>
      </c>
      <c r="E275" s="6" t="n"/>
    </row>
    <row r="276">
      <c r="A276" s="6" t="inlineStr">
        <is>
          <t>6125 E. 56th Ave (R0091909) — FY2023</t>
        </is>
      </c>
      <c r="B276" s="25" t="inlineStr">
        <is>
          <t>Expense</t>
        </is>
      </c>
      <c r="C276" s="6" t="inlineStr">
        <is>
          <t>60566 - Roof/Gut R&amp;M</t>
        </is>
      </c>
      <c r="D276" s="22" t="n">
        <v>7846.2</v>
      </c>
      <c r="E276" s="6" t="n"/>
    </row>
    <row r="277">
      <c r="A277" s="6" t="inlineStr">
        <is>
          <t>6125 E. 56th Ave (R0091909) — FY2023</t>
        </is>
      </c>
      <c r="B277" s="25" t="inlineStr">
        <is>
          <t>Expense</t>
        </is>
      </c>
      <c r="C277" s="6" t="inlineStr">
        <is>
          <t>60570 - Sealing/Caulking Exterior</t>
        </is>
      </c>
      <c r="D277" s="22" t="n">
        <v>26.02</v>
      </c>
      <c r="E277" s="6" t="n"/>
    </row>
    <row r="278">
      <c r="A278" s="6" t="inlineStr">
        <is>
          <t>6125 E. 56th Ave (R0091909) — FY2023</t>
        </is>
      </c>
      <c r="B278" s="25" t="inlineStr">
        <is>
          <t>Expense</t>
        </is>
      </c>
      <c r="C278" s="6" t="inlineStr">
        <is>
          <t>60575 - Snow Removal</t>
        </is>
      </c>
      <c r="D278" s="22" t="n">
        <v>3757.07</v>
      </c>
      <c r="E278" s="6" t="n"/>
    </row>
    <row r="279">
      <c r="A279" s="6" t="inlineStr">
        <is>
          <t>6125 E. 56th Ave (R0091909) — FY2023</t>
        </is>
      </c>
      <c r="B279" s="25" t="inlineStr">
        <is>
          <t>Expense</t>
        </is>
      </c>
      <c r="C279" s="6" t="inlineStr">
        <is>
          <t>60605 - Fire Alarm Mo/Monitor</t>
        </is>
      </c>
      <c r="D279" s="22" t="n">
        <v>500</v>
      </c>
      <c r="E279" s="6" t="n"/>
    </row>
    <row r="280">
      <c r="A280" s="6" t="inlineStr">
        <is>
          <t>6125 E. 56th Ave (R0091909) — FY2023</t>
        </is>
      </c>
      <c r="B280" s="25" t="inlineStr">
        <is>
          <t>Expense</t>
        </is>
      </c>
      <c r="C280" s="6" t="inlineStr">
        <is>
          <t>60610 - Fire Sprinkler, Alarm &amp; Extinguisher Inspection</t>
        </is>
      </c>
      <c r="D280" s="22" t="n">
        <v>265</v>
      </c>
      <c r="E280" s="6" t="n"/>
    </row>
    <row r="281">
      <c r="A281" s="6" t="inlineStr">
        <is>
          <t>6125 E. 56th Ave (R0091909) — FY2023</t>
        </is>
      </c>
      <c r="B281" s="25" t="inlineStr">
        <is>
          <t>Expense</t>
        </is>
      </c>
      <c r="C281" s="6" t="inlineStr">
        <is>
          <t>60615 - Fire Sprinkler Alarm &amp; Extinguisher R&amp;M</t>
        </is>
      </c>
      <c r="D281" s="22" t="n">
        <v>434.69</v>
      </c>
      <c r="E281" s="6" t="n"/>
    </row>
    <row r="282">
      <c r="A282" s="6" t="inlineStr">
        <is>
          <t>6125 E. 56th Ave (R0091909) — FY2023</t>
        </is>
      </c>
      <c r="B282" s="25" t="inlineStr">
        <is>
          <t>Expense</t>
        </is>
      </c>
      <c r="C282" s="6" t="inlineStr">
        <is>
          <t>60620 - Fire Sprinklers Inspect/R&amp;M</t>
        </is>
      </c>
      <c r="D282" s="22" t="n">
        <v>41.5</v>
      </c>
      <c r="E282" s="6" t="n"/>
    </row>
    <row r="283">
      <c r="A283" s="6" t="inlineStr">
        <is>
          <t>6125 E. 56th Ave (R0091909) — FY2023</t>
        </is>
      </c>
      <c r="B283" s="25" t="inlineStr">
        <is>
          <t>Expense</t>
        </is>
      </c>
      <c r="C283" s="6" t="inlineStr">
        <is>
          <t>60905 - Wages R&amp;M</t>
        </is>
      </c>
      <c r="D283" s="22" t="n">
        <v>7497.36</v>
      </c>
      <c r="E283" s="6" t="n"/>
    </row>
    <row r="284">
      <c r="A284" s="6" t="inlineStr">
        <is>
          <t>6125 E. 56th Ave (R0091909) — FY2023</t>
        </is>
      </c>
      <c r="B284" s="25" t="inlineStr">
        <is>
          <t>Expense</t>
        </is>
      </c>
      <c r="C284" s="6" t="inlineStr">
        <is>
          <t>60915 - Maint Property Costs</t>
        </is>
      </c>
      <c r="D284" s="22" t="n">
        <v>1170.61</v>
      </c>
      <c r="E284" s="6" t="n"/>
    </row>
    <row r="285">
      <c r="A285" s="6" t="inlineStr">
        <is>
          <t>6125 E. 56th Ave (R0091909) — FY2023</t>
        </is>
      </c>
      <c r="B285" s="25" t="inlineStr">
        <is>
          <t>Expense</t>
        </is>
      </c>
      <c r="C285" s="6" t="inlineStr">
        <is>
          <t>60920 - Small Tools &amp; Equipment</t>
        </is>
      </c>
      <c r="D285" s="22" t="n">
        <v>7.35</v>
      </c>
      <c r="E285" s="6" t="n"/>
    </row>
    <row r="286">
      <c r="A286" s="6" t="inlineStr">
        <is>
          <t>6125 E. 56th Ave (R0091909) — FY2023</t>
        </is>
      </c>
      <c r="B286" s="25" t="inlineStr">
        <is>
          <t>Expense</t>
        </is>
      </c>
      <c r="C286" s="6" t="inlineStr">
        <is>
          <t>60925 - Bldg Maint Supplies R&amp;M</t>
        </is>
      </c>
      <c r="D286" s="22" t="n">
        <v>20.55</v>
      </c>
      <c r="E286" s="6" t="n"/>
    </row>
    <row r="287">
      <c r="A287" s="6" t="inlineStr">
        <is>
          <t>6125 E. 56th Ave (R0091909) — FY2023</t>
        </is>
      </c>
      <c r="B287" s="25" t="inlineStr">
        <is>
          <t>Expense</t>
        </is>
      </c>
      <c r="C287" s="6" t="inlineStr">
        <is>
          <t>60950 - Administration Fees</t>
        </is>
      </c>
      <c r="D287" s="22" t="n">
        <v>6166.32</v>
      </c>
      <c r="E287" s="6" t="n"/>
    </row>
    <row r="288">
      <c r="A288" s="6" t="inlineStr">
        <is>
          <t>6125 E. 56th Ave (R0091909) — FY2023</t>
        </is>
      </c>
      <c r="B288" s="25" t="inlineStr">
        <is>
          <t>Expense</t>
        </is>
      </c>
      <c r="C288" s="6" t="inlineStr">
        <is>
          <t>60955 - Management Fees</t>
        </is>
      </c>
      <c r="D288" s="22" t="n">
        <v>18498.96</v>
      </c>
      <c r="E288" s="6" t="n"/>
    </row>
    <row r="289">
      <c r="A289" s="6" t="inlineStr">
        <is>
          <t>6125 E. 56th Ave (R0091909) — FY2023</t>
        </is>
      </c>
      <c r="B289" s="25" t="inlineStr">
        <is>
          <t>Expense</t>
        </is>
      </c>
      <c r="C289" s="6" t="inlineStr">
        <is>
          <t>60965 - Professional Tax Review Fee</t>
        </is>
      </c>
      <c r="D289" s="22" t="n">
        <v>101.25</v>
      </c>
      <c r="E289" s="6" t="n"/>
    </row>
    <row r="290">
      <c r="A290" s="6" t="inlineStr">
        <is>
          <t>6125 E. 56th Ave (R0091909) — FY2023</t>
        </is>
      </c>
      <c r="B290" s="25" t="inlineStr">
        <is>
          <t>Expense</t>
        </is>
      </c>
      <c r="C290" s="6" t="inlineStr">
        <is>
          <t>61015 - Tax Real Estate</t>
        </is>
      </c>
      <c r="D290" s="22" t="n">
        <v>119500.14</v>
      </c>
      <c r="E290" s="6" t="n"/>
    </row>
    <row r="291">
      <c r="A291" s="6" t="inlineStr">
        <is>
          <t>6125 E. 56th Ave (R0091909) — FY2023</t>
        </is>
      </c>
      <c r="B291" s="25" t="inlineStr">
        <is>
          <t>Expense</t>
        </is>
      </c>
      <c r="C291" s="6" t="inlineStr">
        <is>
          <t>61020 - Insurance</t>
        </is>
      </c>
      <c r="D291" s="22" t="n">
        <v>7515</v>
      </c>
      <c r="E291" s="6" t="n"/>
    </row>
    <row r="292">
      <c r="A292" s="11" t="inlineStr">
        <is>
          <t>6125 E. 56th Ave (R0091909) — FY2023</t>
        </is>
      </c>
      <c r="B292" s="26" t="inlineStr">
        <is>
          <t>Expense</t>
        </is>
      </c>
      <c r="C292" s="12" t="inlineStr">
        <is>
          <t>TOTAL OPERATING EXPENSES</t>
        </is>
      </c>
      <c r="D292" s="23">
        <f>SUM(D262:D291)</f>
        <v/>
      </c>
      <c r="E292" s="18" t="inlineStr">
        <is>
          <t>Printed total: $185,896.74. Property NOI $307,408.71. Zero-value accounts omitted. Sterling letter recast: RE Taxes $119,500 + CAM Reimbursable $66,397 + CAM Non-Reimbursable $1,202 = $187,099.</t>
        </is>
      </c>
    </row>
    <row r="293">
      <c r="A293" s="6" t="inlineStr">
        <is>
          <t>6125 E. 56th Ave (R0091909) — FY2023</t>
        </is>
      </c>
      <c r="B293" s="25" t="inlineStr">
        <is>
          <t>Memo (below NOI)</t>
        </is>
      </c>
      <c r="C293" s="6" t="inlineStr">
        <is>
          <t>Total Non-CAM Expenses</t>
        </is>
      </c>
      <c r="D293" s="22" t="n">
        <v>2956.55</v>
      </c>
      <c r="E293" s="6" t="inlineStr">
        <is>
          <t>Below Total Operating Expenses; not in the total above</t>
        </is>
      </c>
    </row>
    <row r="294">
      <c r="A294" s="6" t="inlineStr">
        <is>
          <t>6125 E. 56th Ave (R0091909) — FY2023</t>
        </is>
      </c>
      <c r="B294" s="25" t="inlineStr">
        <is>
          <t>Memo (below NOI)</t>
        </is>
      </c>
      <c r="C294" s="6" t="inlineStr">
        <is>
          <t>Net Operating Income (after non-CAM)</t>
        </is>
      </c>
      <c r="D294" s="22" t="n">
        <v>304452.16</v>
      </c>
      <c r="E294" s="6" t="inlineStr">
        <is>
          <t>Below Total Operating Expenses; not in the total above</t>
        </is>
      </c>
    </row>
    <row r="295">
      <c r="A295" s="6" t="inlineStr">
        <is>
          <t>6125 E. 56th Ave (R0091909) — FY2023</t>
        </is>
      </c>
      <c r="B295" s="25" t="inlineStr">
        <is>
          <t>Memo (below NOI)</t>
        </is>
      </c>
      <c r="C295" s="6" t="inlineStr">
        <is>
          <t>Mortgage Interest</t>
        </is>
      </c>
      <c r="D295" s="22" t="n">
        <v>90508.85000000001</v>
      </c>
      <c r="E295" s="6" t="inlineStr">
        <is>
          <t>Below Total Operating Expenses; not in the total above</t>
        </is>
      </c>
    </row>
    <row r="296">
      <c r="A296" s="6" t="inlineStr">
        <is>
          <t>6125 E. 56th Ave (R0091909) — FY2023</t>
        </is>
      </c>
      <c r="B296" s="25" t="inlineStr">
        <is>
          <t>Memo (below NOI)</t>
        </is>
      </c>
      <c r="C296" s="6" t="inlineStr">
        <is>
          <t>Total Depreciation &amp; Amortization</t>
        </is>
      </c>
      <c r="D296" s="22" t="n">
        <v>2982</v>
      </c>
      <c r="E296" s="6" t="inlineStr">
        <is>
          <t>Below Total Operating Expenses; not in the total above</t>
        </is>
      </c>
    </row>
    <row r="297">
      <c r="A297" s="6" t="inlineStr">
        <is>
          <t>6125 E. 56th Ave (R0091909) — FY2023</t>
        </is>
      </c>
      <c r="B297" s="25" t="inlineStr">
        <is>
          <t>Memo (below NOI)</t>
        </is>
      </c>
      <c r="C297" s="6" t="inlineStr">
        <is>
          <t>Net Income</t>
        </is>
      </c>
      <c r="D297" s="22" t="n">
        <v>210961.31</v>
      </c>
      <c r="E297" s="6" t="inlineStr">
        <is>
          <t>Below Total Operating Expenses; not in the total above</t>
        </is>
      </c>
    </row>
    <row r="298">
      <c r="A298" s="6" t="inlineStr">
        <is>
          <t>6125 E. 56th Ave (R0091909) — FY2024</t>
        </is>
      </c>
      <c r="B298" s="25" t="inlineStr">
        <is>
          <t>Income</t>
        </is>
      </c>
      <c r="C298" s="6" t="inlineStr">
        <is>
          <t>51105 - Rent</t>
        </is>
      </c>
      <c r="D298" s="22" t="n">
        <v>294934.97</v>
      </c>
      <c r="E298" s="6" t="n"/>
    </row>
    <row r="299">
      <c r="A299" s="6" t="inlineStr">
        <is>
          <t>6125 E. 56th Ave (R0091909) — FY2024</t>
        </is>
      </c>
      <c r="B299" s="25" t="inlineStr">
        <is>
          <t>Income</t>
        </is>
      </c>
      <c r="C299" s="6" t="inlineStr">
        <is>
          <t>51205 - CAM Reimbursement Current</t>
        </is>
      </c>
      <c r="D299" s="22" t="n">
        <v>46992.06</v>
      </c>
      <c r="E299" s="6" t="n"/>
    </row>
    <row r="300">
      <c r="A300" s="6" t="inlineStr">
        <is>
          <t>6125 E. 56th Ave (R0091909) — FY2024</t>
        </is>
      </c>
      <c r="B300" s="25" t="inlineStr">
        <is>
          <t>Income</t>
        </is>
      </c>
      <c r="C300" s="6" t="inlineStr">
        <is>
          <t>51210 - Operating Expense Recovery</t>
        </is>
      </c>
      <c r="D300" s="22" t="n">
        <v>26050.7</v>
      </c>
      <c r="E300" s="6" t="n"/>
    </row>
    <row r="301">
      <c r="A301" s="6" t="inlineStr">
        <is>
          <t>6125 E. 56th Ave (R0091909) — FY2024</t>
        </is>
      </c>
      <c r="B301" s="25" t="inlineStr">
        <is>
          <t>Income</t>
        </is>
      </c>
      <c r="C301" s="6" t="inlineStr">
        <is>
          <t>51215 - Insurance Reimbursement</t>
        </is>
      </c>
      <c r="D301" s="22" t="n">
        <v>7612.68</v>
      </c>
      <c r="E301" s="6" t="n"/>
    </row>
    <row r="302">
      <c r="A302" s="6" t="inlineStr">
        <is>
          <t>6125 E. 56th Ave (R0091909) — FY2024</t>
        </is>
      </c>
      <c r="B302" s="25" t="inlineStr">
        <is>
          <t>Income</t>
        </is>
      </c>
      <c r="C302" s="6" t="inlineStr">
        <is>
          <t>51225 - RE Tax Reimbursement</t>
        </is>
      </c>
      <c r="D302" s="22" t="n">
        <v>107656.68</v>
      </c>
      <c r="E302" s="6" t="n"/>
    </row>
    <row r="303">
      <c r="A303" s="6" t="inlineStr">
        <is>
          <t>6125 E. 56th Ave (R0091909) — FY2024</t>
        </is>
      </c>
      <c r="B303" s="25" t="inlineStr">
        <is>
          <t>Income</t>
        </is>
      </c>
      <c r="C303" s="6" t="inlineStr">
        <is>
          <t>51320 - Late Fees &amp; Other Charges</t>
        </is>
      </c>
      <c r="D303" s="22" t="n">
        <v>7807.2</v>
      </c>
      <c r="E303" s="6" t="n"/>
    </row>
    <row r="304">
      <c r="A304" s="6" t="inlineStr">
        <is>
          <t>6125 E. 56th Ave (R0091909) — FY2024</t>
        </is>
      </c>
      <c r="B304" s="25" t="inlineStr">
        <is>
          <t>Income</t>
        </is>
      </c>
      <c r="C304" s="6" t="inlineStr">
        <is>
          <t>51335 - Misc Income Property</t>
        </is>
      </c>
      <c r="D304" s="22" t="n">
        <v>2156.78</v>
      </c>
      <c r="E304" s="6" t="n"/>
    </row>
    <row r="305">
      <c r="A305" s="11" t="inlineStr">
        <is>
          <t>6125 E. 56th Ave (R0091909) — FY2024</t>
        </is>
      </c>
      <c r="B305" s="26" t="inlineStr">
        <is>
          <t>Income</t>
        </is>
      </c>
      <c r="C305" s="12" t="inlineStr">
        <is>
          <t>TOTAL OPERATING REVENUES</t>
        </is>
      </c>
      <c r="D305" s="23">
        <f>SUM(D298:D304)</f>
        <v/>
      </c>
      <c r="E305" s="18" t="inlineStr">
        <is>
          <t>Printed total: $493,211.07.</t>
        </is>
      </c>
    </row>
    <row r="306">
      <c r="A306" s="6" t="inlineStr">
        <is>
          <t>6125 E. 56th Ave (R0091909) — FY2024</t>
        </is>
      </c>
      <c r="B306" s="25" t="inlineStr">
        <is>
          <t>Expense</t>
        </is>
      </c>
      <c r="C306" s="6" t="inlineStr">
        <is>
          <t>60105 - Elec House Meters</t>
        </is>
      </c>
      <c r="D306" s="22" t="n">
        <v>190.46</v>
      </c>
      <c r="E306" s="6" t="n"/>
    </row>
    <row r="307">
      <c r="A307" s="6" t="inlineStr">
        <is>
          <t>6125 E. 56th Ave (R0091909) — FY2024</t>
        </is>
      </c>
      <c r="B307" s="25" t="inlineStr">
        <is>
          <t>Expense</t>
        </is>
      </c>
      <c r="C307" s="6" t="inlineStr">
        <is>
          <t>60115 - Water/Sewer</t>
        </is>
      </c>
      <c r="D307" s="22" t="n">
        <v>9587.559999999999</v>
      </c>
      <c r="E307" s="6" t="n"/>
    </row>
    <row r="308">
      <c r="A308" s="6" t="inlineStr">
        <is>
          <t>6125 E. 56th Ave (R0091909) — FY2024</t>
        </is>
      </c>
      <c r="B308" s="25" t="inlineStr">
        <is>
          <t>Expense</t>
        </is>
      </c>
      <c r="C308" s="6" t="inlineStr">
        <is>
          <t>60220 - Parking Sweep Contract</t>
        </is>
      </c>
      <c r="D308" s="22" t="n">
        <v>960</v>
      </c>
      <c r="E308" s="6" t="n"/>
    </row>
    <row r="309">
      <c r="A309" s="6" t="inlineStr">
        <is>
          <t>6125 E. 56th Ave (R0091909) — FY2024</t>
        </is>
      </c>
      <c r="B309" s="25" t="inlineStr">
        <is>
          <t>Expense</t>
        </is>
      </c>
      <c r="C309" s="6" t="inlineStr">
        <is>
          <t>60235 - Trash Removal Contract</t>
        </is>
      </c>
      <c r="D309" s="22" t="n">
        <v>391.96</v>
      </c>
      <c r="E309" s="6" t="n"/>
    </row>
    <row r="310">
      <c r="A310" s="6" t="inlineStr">
        <is>
          <t>6125 E. 56th Ave (R0091909) — FY2024</t>
        </is>
      </c>
      <c r="B310" s="25" t="inlineStr">
        <is>
          <t>Expense</t>
        </is>
      </c>
      <c r="C310" s="6" t="inlineStr">
        <is>
          <t>60240 - Trash Removal Extra Service</t>
        </is>
      </c>
      <c r="D310" s="22" t="n">
        <v>214</v>
      </c>
      <c r="E310" s="6" t="n"/>
    </row>
    <row r="311">
      <c r="A311" s="6" t="inlineStr">
        <is>
          <t>6125 E. 56th Ave (R0091909) — FY2024</t>
        </is>
      </c>
      <c r="B311" s="25" t="inlineStr">
        <is>
          <t>Expense</t>
        </is>
      </c>
      <c r="C311" s="6" t="inlineStr">
        <is>
          <t>60315 - Door/Keys R&amp;M</t>
        </is>
      </c>
      <c r="D311" s="22" t="n">
        <v>2865.63</v>
      </c>
      <c r="E311" s="6" t="n"/>
    </row>
    <row r="312">
      <c r="A312" s="6" t="inlineStr">
        <is>
          <t>6125 E. 56th Ave (R0091909) — FY2024</t>
        </is>
      </c>
      <c r="B312" s="25" t="inlineStr">
        <is>
          <t>Expense</t>
        </is>
      </c>
      <c r="C312" s="6" t="inlineStr">
        <is>
          <t>60345 - Lighting Interior</t>
        </is>
      </c>
      <c r="D312" s="22" t="n">
        <v>45.58</v>
      </c>
      <c r="E312" s="6" t="n"/>
    </row>
    <row r="313">
      <c r="A313" s="6" t="inlineStr">
        <is>
          <t>6125 E. 56th Ave (R0091909) — FY2024</t>
        </is>
      </c>
      <c r="B313" s="25" t="inlineStr">
        <is>
          <t>Expense</t>
        </is>
      </c>
      <c r="C313" s="6" t="inlineStr">
        <is>
          <t>60405 - Backflow Inspections</t>
        </is>
      </c>
      <c r="D313" s="22" t="n">
        <v>50</v>
      </c>
      <c r="E313" s="6" t="n"/>
    </row>
    <row r="314">
      <c r="A314" s="6" t="inlineStr">
        <is>
          <t>6125 E. 56th Ave (R0091909) — FY2024</t>
        </is>
      </c>
      <c r="B314" s="25" t="inlineStr">
        <is>
          <t>Expense</t>
        </is>
      </c>
      <c r="C314" s="6" t="inlineStr">
        <is>
          <t>60420 - Plumbing/Sewer R&amp;M</t>
        </is>
      </c>
      <c r="D314" s="22" t="n">
        <v>636.63</v>
      </c>
      <c r="E314" s="6" t="n"/>
    </row>
    <row r="315">
      <c r="A315" s="6" t="inlineStr">
        <is>
          <t>6125 E. 56th Ave (R0091909) — FY2024</t>
        </is>
      </c>
      <c r="B315" s="25" t="inlineStr">
        <is>
          <t>Expense</t>
        </is>
      </c>
      <c r="C315" s="6" t="inlineStr">
        <is>
          <t>60540 - Landscape Contract</t>
        </is>
      </c>
      <c r="D315" s="22" t="n">
        <v>1436.4</v>
      </c>
      <c r="E315" s="6" t="n"/>
    </row>
    <row r="316">
      <c r="A316" s="6" t="inlineStr">
        <is>
          <t>6125 E. 56th Ave (R0091909) — FY2024</t>
        </is>
      </c>
      <c r="B316" s="25" t="inlineStr">
        <is>
          <t>Expense</t>
        </is>
      </c>
      <c r="C316" s="6" t="inlineStr">
        <is>
          <t>60541 - Landscaping &amp; Irrigation Rpr &amp; Rpl</t>
        </is>
      </c>
      <c r="D316" s="22" t="n">
        <v>1114.53</v>
      </c>
      <c r="E316" s="6" t="n"/>
    </row>
    <row r="317">
      <c r="A317" s="6" t="inlineStr">
        <is>
          <t>6125 E. 56th Ave (R0091909) — FY2024</t>
        </is>
      </c>
      <c r="B317" s="25" t="inlineStr">
        <is>
          <t>Expense</t>
        </is>
      </c>
      <c r="C317" s="6" t="inlineStr">
        <is>
          <t>60566 - Roof/Gut R&amp;M</t>
        </is>
      </c>
      <c r="D317" s="22" t="n">
        <v>14665</v>
      </c>
      <c r="E317" s="6" t="n"/>
    </row>
    <row r="318">
      <c r="A318" s="6" t="inlineStr">
        <is>
          <t>6125 E. 56th Ave (R0091909) — FY2024</t>
        </is>
      </c>
      <c r="B318" s="25" t="inlineStr">
        <is>
          <t>Expense</t>
        </is>
      </c>
      <c r="C318" s="6" t="inlineStr">
        <is>
          <t>60575 - Snow Removal</t>
        </is>
      </c>
      <c r="D318" s="22" t="n">
        <v>4984.25</v>
      </c>
      <c r="E318" s="6" t="n"/>
    </row>
    <row r="319">
      <c r="A319" s="6" t="inlineStr">
        <is>
          <t>6125 E. 56th Ave (R0091909) — FY2024</t>
        </is>
      </c>
      <c r="B319" s="25" t="inlineStr">
        <is>
          <t>Expense</t>
        </is>
      </c>
      <c r="C319" s="6" t="inlineStr">
        <is>
          <t>60605 - Fire Alarm Mo/Monitor</t>
        </is>
      </c>
      <c r="D319" s="22" t="n">
        <v>500</v>
      </c>
      <c r="E319" s="6" t="n"/>
    </row>
    <row r="320">
      <c r="A320" s="6" t="inlineStr">
        <is>
          <t>6125 E. 56th Ave (R0091909) — FY2024</t>
        </is>
      </c>
      <c r="B320" s="25" t="inlineStr">
        <is>
          <t>Expense</t>
        </is>
      </c>
      <c r="C320" s="6" t="inlineStr">
        <is>
          <t>60610 - Fire Sprinkler, Alarm &amp; Extinguisher Inspection</t>
        </is>
      </c>
      <c r="D320" s="22" t="n">
        <v>321</v>
      </c>
      <c r="E320" s="6" t="n"/>
    </row>
    <row r="321">
      <c r="A321" s="6" t="inlineStr">
        <is>
          <t>6125 E. 56th Ave (R0091909) — FY2024</t>
        </is>
      </c>
      <c r="B321" s="25" t="inlineStr">
        <is>
          <t>Expense</t>
        </is>
      </c>
      <c r="C321" s="6" t="inlineStr">
        <is>
          <t>60615 - Fire Sprinkler Alarm &amp; Extinguisher R&amp;M</t>
        </is>
      </c>
      <c r="D321" s="22" t="n">
        <v>1368.36</v>
      </c>
      <c r="E321" s="6" t="n"/>
    </row>
    <row r="322">
      <c r="A322" s="6" t="inlineStr">
        <is>
          <t>6125 E. 56th Ave (R0091909) — FY2024</t>
        </is>
      </c>
      <c r="B322" s="25" t="inlineStr">
        <is>
          <t>Expense</t>
        </is>
      </c>
      <c r="C322" s="6" t="inlineStr">
        <is>
          <t>60905 - Wages R&amp;M</t>
        </is>
      </c>
      <c r="D322" s="22" t="n">
        <v>6721.78</v>
      </c>
      <c r="E322" s="6" t="n"/>
    </row>
    <row r="323">
      <c r="A323" s="6" t="inlineStr">
        <is>
          <t>6125 E. 56th Ave (R0091909) — FY2024</t>
        </is>
      </c>
      <c r="B323" s="25" t="inlineStr">
        <is>
          <t>Expense</t>
        </is>
      </c>
      <c r="C323" s="6" t="inlineStr">
        <is>
          <t>60915 - Maint Property Costs</t>
        </is>
      </c>
      <c r="D323" s="22" t="n">
        <v>1244.18</v>
      </c>
      <c r="E323" s="6" t="n"/>
    </row>
    <row r="324">
      <c r="A324" s="6" t="inlineStr">
        <is>
          <t>6125 E. 56th Ave (R0091909) — FY2024</t>
        </is>
      </c>
      <c r="B324" s="25" t="inlineStr">
        <is>
          <t>Expense</t>
        </is>
      </c>
      <c r="C324" s="6" t="inlineStr">
        <is>
          <t>60925 - Bldg Maint Supplies R&amp;M</t>
        </is>
      </c>
      <c r="D324" s="22" t="n">
        <v>6.42</v>
      </c>
      <c r="E324" s="6" t="n"/>
    </row>
    <row r="325">
      <c r="A325" s="6" t="inlineStr">
        <is>
          <t>6125 E. 56th Ave (R0091909) — FY2024</t>
        </is>
      </c>
      <c r="B325" s="25" t="inlineStr">
        <is>
          <t>Expense</t>
        </is>
      </c>
      <c r="C325" s="6" t="inlineStr">
        <is>
          <t>60940 - Signage CAM</t>
        </is>
      </c>
      <c r="D325" s="22" t="n">
        <v>19.78</v>
      </c>
      <c r="E325" s="6" t="n"/>
    </row>
    <row r="326">
      <c r="A326" s="6" t="inlineStr">
        <is>
          <t>6125 E. 56th Ave (R0091909) — FY2024</t>
        </is>
      </c>
      <c r="B326" s="25" t="inlineStr">
        <is>
          <t>Expense</t>
        </is>
      </c>
      <c r="C326" s="6" t="inlineStr">
        <is>
          <t>60955 - Management Fees</t>
        </is>
      </c>
      <c r="D326" s="22" t="n">
        <v>24552.73</v>
      </c>
      <c r="E326" s="6" t="n"/>
    </row>
    <row r="327">
      <c r="A327" s="6" t="inlineStr">
        <is>
          <t>6125 E. 56th Ave (R0091909) — FY2024</t>
        </is>
      </c>
      <c r="B327" s="25" t="inlineStr">
        <is>
          <t>Expense</t>
        </is>
      </c>
      <c r="C327" s="6" t="inlineStr">
        <is>
          <t>60965 - Professional Tax Review Fee</t>
        </is>
      </c>
      <c r="D327" s="22" t="n">
        <v>101.25</v>
      </c>
      <c r="E327" s="6" t="n"/>
    </row>
    <row r="328">
      <c r="A328" s="6" t="inlineStr">
        <is>
          <t>6125 E. 56th Ave (R0091909) — FY2024</t>
        </is>
      </c>
      <c r="B328" s="25" t="inlineStr">
        <is>
          <t>Expense</t>
        </is>
      </c>
      <c r="C328" s="6" t="inlineStr">
        <is>
          <t>61015 - Tax Real Estate</t>
        </is>
      </c>
      <c r="D328" s="22" t="n">
        <v>123036</v>
      </c>
      <c r="E328" s="6" t="n"/>
    </row>
    <row r="329">
      <c r="A329" s="6" t="inlineStr">
        <is>
          <t>6125 E. 56th Ave (R0091909) — FY2024</t>
        </is>
      </c>
      <c r="B329" s="25" t="inlineStr">
        <is>
          <t>Expense</t>
        </is>
      </c>
      <c r="C329" s="6" t="inlineStr">
        <is>
          <t>61020 - Insurance</t>
        </is>
      </c>
      <c r="D329" s="22" t="n">
        <v>7413</v>
      </c>
      <c r="E329" s="6" t="n"/>
    </row>
    <row r="330">
      <c r="A330" s="11" t="inlineStr">
        <is>
          <t>6125 E. 56th Ave (R0091909) — FY2024</t>
        </is>
      </c>
      <c r="B330" s="26" t="inlineStr">
        <is>
          <t>Expense</t>
        </is>
      </c>
      <c r="C330" s="12" t="inlineStr">
        <is>
          <t>TOTAL OPERATING EXPENSES</t>
        </is>
      </c>
      <c r="D330" s="23">
        <f>SUM(D306:D329)</f>
        <v/>
      </c>
      <c r="E330" s="18" t="inlineStr">
        <is>
          <t>Printed total: $202,426.50. Property NOI $290,784.57. Zero-value accounts omitted. Sterling letter recast: RE Taxes $123,036 + CAM Reimbursable $79,391 + CAM Non-Reimbursable $3,937 = $206,364.</t>
        </is>
      </c>
    </row>
    <row r="331">
      <c r="A331" s="6" t="inlineStr">
        <is>
          <t>6125 E. 56th Ave (R0091909) — FY2024</t>
        </is>
      </c>
      <c r="B331" s="25" t="inlineStr">
        <is>
          <t>Memo (below NOI)</t>
        </is>
      </c>
      <c r="C331" s="6" t="inlineStr">
        <is>
          <t>Total Non-CAM Expenses</t>
        </is>
      </c>
      <c r="D331" s="22" t="n">
        <v>5690.66</v>
      </c>
      <c r="E331" s="6" t="inlineStr">
        <is>
          <t>Below Total Operating Expenses; not in the total above</t>
        </is>
      </c>
    </row>
    <row r="332">
      <c r="A332" s="6" t="inlineStr">
        <is>
          <t>6125 E. 56th Ave (R0091909) — FY2024</t>
        </is>
      </c>
      <c r="B332" s="25" t="inlineStr">
        <is>
          <t>Memo (below NOI)</t>
        </is>
      </c>
      <c r="C332" s="6" t="inlineStr">
        <is>
          <t>Net Operating Income (after non-CAM)</t>
        </is>
      </c>
      <c r="D332" s="22" t="n">
        <v>285093.91</v>
      </c>
      <c r="E332" s="6" t="inlineStr">
        <is>
          <t>Below Total Operating Expenses; not in the total above</t>
        </is>
      </c>
    </row>
    <row r="333">
      <c r="A333" s="6" t="inlineStr">
        <is>
          <t>6125 E. 56th Ave (R0091909) — FY2024</t>
        </is>
      </c>
      <c r="B333" s="25" t="inlineStr">
        <is>
          <t>Memo (below NOI)</t>
        </is>
      </c>
      <c r="C333" s="6" t="inlineStr">
        <is>
          <t>Mortgage Interest</t>
        </is>
      </c>
      <c r="D333" s="22" t="n">
        <v>88433.45</v>
      </c>
      <c r="E333" s="6" t="inlineStr">
        <is>
          <t>Below Total Operating Expenses; not in the total above</t>
        </is>
      </c>
    </row>
    <row r="334">
      <c r="A334" s="6" t="inlineStr">
        <is>
          <t>6125 E. 56th Ave (R0091909) — FY2024</t>
        </is>
      </c>
      <c r="B334" s="25" t="inlineStr">
        <is>
          <t>Memo (below NOI)</t>
        </is>
      </c>
      <c r="C334" s="6" t="inlineStr">
        <is>
          <t>Total Depreciation &amp; Amortization</t>
        </is>
      </c>
      <c r="D334" s="22" t="n">
        <v>9945</v>
      </c>
      <c r="E334" s="6" t="inlineStr">
        <is>
          <t>Below Total Operating Expenses; not in the total above</t>
        </is>
      </c>
    </row>
    <row r="335">
      <c r="A335" s="6" t="inlineStr">
        <is>
          <t>6125 E. 56th Ave (R0091909) — FY2024</t>
        </is>
      </c>
      <c r="B335" s="25" t="inlineStr">
        <is>
          <t>Memo (below NOI)</t>
        </is>
      </c>
      <c r="C335" s="6" t="inlineStr">
        <is>
          <t>Net Income</t>
        </is>
      </c>
      <c r="D335" s="22" t="n">
        <v>186715.46</v>
      </c>
      <c r="E335" s="6" t="inlineStr">
        <is>
          <t>Below Total Operating Expenses; not in the total above</t>
        </is>
      </c>
    </row>
    <row r="336">
      <c r="A336" s="6" t="inlineStr">
        <is>
          <t>6300 E. 58th Ave (R0091931) — FY2023</t>
        </is>
      </c>
      <c r="B336" s="25" t="inlineStr">
        <is>
          <t>Income</t>
        </is>
      </c>
      <c r="C336" s="6" t="inlineStr">
        <is>
          <t>51105 - Rent</t>
        </is>
      </c>
      <c r="D336" s="22" t="n">
        <v>949132.29</v>
      </c>
      <c r="E336" s="6" t="n"/>
    </row>
    <row r="337">
      <c r="A337" s="6" t="inlineStr">
        <is>
          <t>6300 E. 58th Ave (R0091931) — FY2023</t>
        </is>
      </c>
      <c r="B337" s="25" t="inlineStr">
        <is>
          <t>Income</t>
        </is>
      </c>
      <c r="C337" s="6" t="inlineStr">
        <is>
          <t>51205 - CAM Reimbursement Current</t>
        </is>
      </c>
      <c r="D337" s="22" t="n">
        <v>171756.32</v>
      </c>
      <c r="E337" s="6" t="n"/>
    </row>
    <row r="338">
      <c r="A338" s="6" t="inlineStr">
        <is>
          <t>6300 E. 58th Ave (R0091931) — FY2023</t>
        </is>
      </c>
      <c r="B338" s="25" t="inlineStr">
        <is>
          <t>Income</t>
        </is>
      </c>
      <c r="C338" s="6" t="inlineStr">
        <is>
          <t>51210 - Operating Expense Recovery</t>
        </is>
      </c>
      <c r="D338" s="22" t="n">
        <v>9030.51</v>
      </c>
      <c r="E338" s="6" t="n"/>
    </row>
    <row r="339">
      <c r="A339" s="6" t="inlineStr">
        <is>
          <t>6300 E. 58th Ave (R0091931) — FY2023</t>
        </is>
      </c>
      <c r="B339" s="25" t="inlineStr">
        <is>
          <t>Income</t>
        </is>
      </c>
      <c r="C339" s="6" t="inlineStr">
        <is>
          <t>51215 - Insurance Reimbursement</t>
        </is>
      </c>
      <c r="D339" s="22" t="n">
        <v>5715.64</v>
      </c>
      <c r="E339" s="6" t="n"/>
    </row>
    <row r="340">
      <c r="A340" s="6" t="inlineStr">
        <is>
          <t>6300 E. 58th Ave (R0091931) — FY2023</t>
        </is>
      </c>
      <c r="B340" s="25" t="inlineStr">
        <is>
          <t>Income</t>
        </is>
      </c>
      <c r="C340" s="6" t="inlineStr">
        <is>
          <t>51225 - RE Tax Reimbursement</t>
        </is>
      </c>
      <c r="D340" s="22" t="n">
        <v>99520.95</v>
      </c>
      <c r="E340" s="6" t="n"/>
    </row>
    <row r="341">
      <c r="A341" s="6" t="inlineStr">
        <is>
          <t>6300 E. 58th Ave (R0091931) — FY2023</t>
        </is>
      </c>
      <c r="B341" s="25" t="inlineStr">
        <is>
          <t>Income</t>
        </is>
      </c>
      <c r="C341" s="6" t="inlineStr">
        <is>
          <t>51320 - Late Fees &amp; Other Charges</t>
        </is>
      </c>
      <c r="D341" s="22" t="n">
        <v>3194.37</v>
      </c>
      <c r="E341" s="6" t="n"/>
    </row>
    <row r="342">
      <c r="A342" s="11" t="inlineStr">
        <is>
          <t>6300 E. 58th Ave (R0091931) — FY2023</t>
        </is>
      </c>
      <c r="B342" s="26" t="inlineStr">
        <is>
          <t>Income</t>
        </is>
      </c>
      <c r="C342" s="12" t="inlineStr">
        <is>
          <t>TOTAL OPERATING REVENUES</t>
        </is>
      </c>
      <c r="D342" s="23">
        <f>SUM(D336:D341)</f>
        <v/>
      </c>
      <c r="E342" s="18" t="inlineStr">
        <is>
          <t>Printed total: $1,238,350.08.</t>
        </is>
      </c>
    </row>
    <row r="343">
      <c r="A343" s="6" t="inlineStr">
        <is>
          <t>6300 E. 58th Ave (R0091931) — FY2023</t>
        </is>
      </c>
      <c r="B343" s="25" t="inlineStr">
        <is>
          <t>Expense</t>
        </is>
      </c>
      <c r="C343" s="6" t="inlineStr">
        <is>
          <t>60105 - Elec House Meters</t>
        </is>
      </c>
      <c r="D343" s="22" t="n">
        <v>5593.1</v>
      </c>
      <c r="E343" s="6" t="n"/>
    </row>
    <row r="344">
      <c r="A344" s="6" t="inlineStr">
        <is>
          <t>6300 E. 58th Ave (R0091931) — FY2023</t>
        </is>
      </c>
      <c r="B344" s="25" t="inlineStr">
        <is>
          <t>Expense</t>
        </is>
      </c>
      <c r="C344" s="6" t="inlineStr">
        <is>
          <t>60115 - Water/Sewer</t>
        </is>
      </c>
      <c r="D344" s="22" t="n">
        <v>14166.64</v>
      </c>
      <c r="E344" s="6" t="n"/>
    </row>
    <row r="345">
      <c r="A345" s="6" t="inlineStr">
        <is>
          <t>6300 E. 58th Ave (R0091931) — FY2023</t>
        </is>
      </c>
      <c r="B345" s="25" t="inlineStr">
        <is>
          <t>Expense</t>
        </is>
      </c>
      <c r="C345" s="6" t="inlineStr">
        <is>
          <t>60220 - Parking Sweep Contract</t>
        </is>
      </c>
      <c r="D345" s="22" t="n">
        <v>2880</v>
      </c>
      <c r="E345" s="6" t="n"/>
    </row>
    <row r="346">
      <c r="A346" s="6" t="inlineStr">
        <is>
          <t>6300 E. 58th Ave (R0091931) — FY2023</t>
        </is>
      </c>
      <c r="B346" s="25" t="inlineStr">
        <is>
          <t>Expense</t>
        </is>
      </c>
      <c r="C346" s="6" t="inlineStr">
        <is>
          <t>60235 - Trash Removal Contract</t>
        </is>
      </c>
      <c r="D346" s="22" t="n">
        <v>930.1799999999999</v>
      </c>
      <c r="E346" s="6" t="n"/>
    </row>
    <row r="347">
      <c r="A347" s="6" t="inlineStr">
        <is>
          <t>6300 E. 58th Ave (R0091931) — FY2023</t>
        </is>
      </c>
      <c r="B347" s="25" t="inlineStr">
        <is>
          <t>Expense</t>
        </is>
      </c>
      <c r="C347" s="6" t="inlineStr">
        <is>
          <t>60315 - Door/Keys R&amp;M</t>
        </is>
      </c>
      <c r="D347" s="22" t="n">
        <v>3.06</v>
      </c>
      <c r="E347" s="6" t="n"/>
    </row>
    <row r="348">
      <c r="A348" s="6" t="inlineStr">
        <is>
          <t>6300 E. 58th Ave (R0091931) — FY2023</t>
        </is>
      </c>
      <c r="B348" s="25" t="inlineStr">
        <is>
          <t>Expense</t>
        </is>
      </c>
      <c r="C348" s="6" t="inlineStr">
        <is>
          <t>60405 - Backflow Inspections</t>
        </is>
      </c>
      <c r="D348" s="22" t="n">
        <v>490</v>
      </c>
      <c r="E348" s="6" t="n"/>
    </row>
    <row r="349">
      <c r="A349" s="6" t="inlineStr">
        <is>
          <t>6300 E. 58th Ave (R0091931) — FY2023</t>
        </is>
      </c>
      <c r="B349" s="25" t="inlineStr">
        <is>
          <t>Expense</t>
        </is>
      </c>
      <c r="C349" s="6" t="inlineStr">
        <is>
          <t>60410 - Backflow R&amp;M</t>
        </is>
      </c>
      <c r="D349" s="22" t="n">
        <v>3203.1</v>
      </c>
      <c r="E349" s="6" t="n"/>
    </row>
    <row r="350">
      <c r="A350" s="6" t="inlineStr">
        <is>
          <t>6300 E. 58th Ave (R0091931) — FY2023</t>
        </is>
      </c>
      <c r="B350" s="25" t="inlineStr">
        <is>
          <t>Expense</t>
        </is>
      </c>
      <c r="C350" s="6" t="inlineStr">
        <is>
          <t>60420 - Plumbing/Sewer R&amp;M</t>
        </is>
      </c>
      <c r="D350" s="22" t="n">
        <v>274.74</v>
      </c>
      <c r="E350" s="6" t="n"/>
    </row>
    <row r="351">
      <c r="A351" s="6" t="inlineStr">
        <is>
          <t>6300 E. 58th Ave (R0091931) — FY2023</t>
        </is>
      </c>
      <c r="B351" s="25" t="inlineStr">
        <is>
          <t>Expense</t>
        </is>
      </c>
      <c r="C351" s="6" t="inlineStr">
        <is>
          <t>60535 - Irrig Sprinklers R&amp;M</t>
        </is>
      </c>
      <c r="D351" s="22" t="n">
        <v>496.46</v>
      </c>
      <c r="E351" s="6" t="n"/>
    </row>
    <row r="352">
      <c r="A352" s="6" t="inlineStr">
        <is>
          <t>6300 E. 58th Ave (R0091931) — FY2023</t>
        </is>
      </c>
      <c r="B352" s="25" t="inlineStr">
        <is>
          <t>Expense</t>
        </is>
      </c>
      <c r="C352" s="6" t="inlineStr">
        <is>
          <t>60540 - Landscape Contract</t>
        </is>
      </c>
      <c r="D352" s="22" t="n">
        <v>4065.6</v>
      </c>
      <c r="E352" s="6" t="n"/>
    </row>
    <row r="353">
      <c r="A353" s="6" t="inlineStr">
        <is>
          <t>6300 E. 58th Ave (R0091931) — FY2023</t>
        </is>
      </c>
      <c r="B353" s="25" t="inlineStr">
        <is>
          <t>Expense</t>
        </is>
      </c>
      <c r="C353" s="6" t="inlineStr">
        <is>
          <t>60541 - Landscaping &amp; Irrigation Rpr &amp; Rpl</t>
        </is>
      </c>
      <c r="D353" s="22" t="n">
        <v>310.5</v>
      </c>
      <c r="E353" s="6" t="n"/>
    </row>
    <row r="354">
      <c r="A354" s="6" t="inlineStr">
        <is>
          <t>6300 E. 58th Ave (R0091931) — FY2023</t>
        </is>
      </c>
      <c r="B354" s="25" t="inlineStr">
        <is>
          <t>Expense</t>
        </is>
      </c>
      <c r="C354" s="6" t="inlineStr">
        <is>
          <t>60545 - Light R&amp;M Exterior</t>
        </is>
      </c>
      <c r="D354" s="22" t="n">
        <v>712.1</v>
      </c>
      <c r="E354" s="6" t="n"/>
    </row>
    <row r="355">
      <c r="A355" s="6" t="inlineStr">
        <is>
          <t>6300 E. 58th Ave (R0091931) — FY2023</t>
        </is>
      </c>
      <c r="B355" s="25" t="inlineStr">
        <is>
          <t>Expense</t>
        </is>
      </c>
      <c r="C355" s="6" t="inlineStr">
        <is>
          <t>60550 - Parking Lot/Sidewalk R&amp;M</t>
        </is>
      </c>
      <c r="D355" s="22" t="n">
        <v>3615</v>
      </c>
      <c r="E355" s="6" t="n"/>
    </row>
    <row r="356">
      <c r="A356" s="6" t="inlineStr">
        <is>
          <t>6300 E. 58th Ave (R0091931) — FY2023</t>
        </is>
      </c>
      <c r="B356" s="25" t="inlineStr">
        <is>
          <t>Expense</t>
        </is>
      </c>
      <c r="C356" s="6" t="inlineStr">
        <is>
          <t>60566 - Roof/Gut R&amp;M</t>
        </is>
      </c>
      <c r="D356" s="22" t="n">
        <v>6820.86</v>
      </c>
      <c r="E356" s="6" t="n"/>
    </row>
    <row r="357">
      <c r="A357" s="6" t="inlineStr">
        <is>
          <t>6300 E. 58th Ave (R0091931) — FY2023</t>
        </is>
      </c>
      <c r="B357" s="25" t="inlineStr">
        <is>
          <t>Expense</t>
        </is>
      </c>
      <c r="C357" s="6" t="inlineStr">
        <is>
          <t>60575 - Snow Removal</t>
        </is>
      </c>
      <c r="D357" s="22" t="n">
        <v>11271.25</v>
      </c>
      <c r="E357" s="6" t="n"/>
    </row>
    <row r="358">
      <c r="A358" s="6" t="inlineStr">
        <is>
          <t>6300 E. 58th Ave (R0091931) — FY2023</t>
        </is>
      </c>
      <c r="B358" s="25" t="inlineStr">
        <is>
          <t>Expense</t>
        </is>
      </c>
      <c r="C358" s="6" t="inlineStr">
        <is>
          <t>60605 - Fire Alarm Mo/Monitor</t>
        </is>
      </c>
      <c r="D358" s="22" t="n">
        <v>1500</v>
      </c>
      <c r="E358" s="6" t="n"/>
    </row>
    <row r="359">
      <c r="A359" s="6" t="inlineStr">
        <is>
          <t>6300 E. 58th Ave (R0091931) — FY2023</t>
        </is>
      </c>
      <c r="B359" s="25" t="inlineStr">
        <is>
          <t>Expense</t>
        </is>
      </c>
      <c r="C359" s="6" t="inlineStr">
        <is>
          <t>60610 - Fire Sprinkler, Alarm &amp; Extinguisher Inspection</t>
        </is>
      </c>
      <c r="D359" s="22" t="n">
        <v>640</v>
      </c>
      <c r="E359" s="6" t="n"/>
    </row>
    <row r="360">
      <c r="A360" s="6" t="inlineStr">
        <is>
          <t>6300 E. 58th Ave (R0091931) — FY2023</t>
        </is>
      </c>
      <c r="B360" s="25" t="inlineStr">
        <is>
          <t>Expense</t>
        </is>
      </c>
      <c r="C360" s="6" t="inlineStr">
        <is>
          <t>60615 - Fire Sprinkler Alarm &amp; Extinguisher R&amp;M</t>
        </is>
      </c>
      <c r="D360" s="22" t="n">
        <v>4287.04</v>
      </c>
      <c r="E360" s="6" t="n"/>
    </row>
    <row r="361">
      <c r="A361" s="6" t="inlineStr">
        <is>
          <t>6300 E. 58th Ave (R0091931) — FY2023</t>
        </is>
      </c>
      <c r="B361" s="25" t="inlineStr">
        <is>
          <t>Expense</t>
        </is>
      </c>
      <c r="C361" s="6" t="inlineStr">
        <is>
          <t>60620 - Fire Sprinklers Inspect/R&amp;M</t>
        </is>
      </c>
      <c r="D361" s="22" t="n">
        <v>150</v>
      </c>
      <c r="E361" s="6" t="n"/>
    </row>
    <row r="362">
      <c r="A362" s="6" t="inlineStr">
        <is>
          <t>6300 E. 58th Ave (R0091931) — FY2023</t>
        </is>
      </c>
      <c r="B362" s="25" t="inlineStr">
        <is>
          <t>Expense</t>
        </is>
      </c>
      <c r="C362" s="6" t="inlineStr">
        <is>
          <t>60905 - Wages R&amp;M</t>
        </is>
      </c>
      <c r="D362" s="22" t="n">
        <v>19449.69</v>
      </c>
      <c r="E362" s="6" t="n"/>
    </row>
    <row r="363">
      <c r="A363" s="6" t="inlineStr">
        <is>
          <t>6300 E. 58th Ave (R0091931) — FY2023</t>
        </is>
      </c>
      <c r="B363" s="25" t="inlineStr">
        <is>
          <t>Expense</t>
        </is>
      </c>
      <c r="C363" s="6" t="inlineStr">
        <is>
          <t>60915 - Maint Property Costs</t>
        </is>
      </c>
      <c r="D363" s="22" t="n">
        <v>3517.38</v>
      </c>
      <c r="E363" s="6" t="n"/>
    </row>
    <row r="364">
      <c r="A364" s="6" t="inlineStr">
        <is>
          <t>6300 E. 58th Ave (R0091931) — FY2023</t>
        </is>
      </c>
      <c r="B364" s="25" t="inlineStr">
        <is>
          <t>Expense</t>
        </is>
      </c>
      <c r="C364" s="6" t="inlineStr">
        <is>
          <t>60920 - Small Tools &amp; Equipment</t>
        </is>
      </c>
      <c r="D364" s="22" t="n">
        <v>22.05</v>
      </c>
      <c r="E364" s="6" t="n"/>
    </row>
    <row r="365">
      <c r="A365" s="6" t="inlineStr">
        <is>
          <t>6300 E. 58th Ave (R0091931) — FY2023</t>
        </is>
      </c>
      <c r="B365" s="25" t="inlineStr">
        <is>
          <t>Expense</t>
        </is>
      </c>
      <c r="C365" s="6" t="inlineStr">
        <is>
          <t>60925 - Bldg Maint Supplies R&amp;M</t>
        </is>
      </c>
      <c r="D365" s="22" t="n">
        <v>225.36</v>
      </c>
      <c r="E365" s="6" t="n"/>
    </row>
    <row r="366">
      <c r="A366" s="6" t="inlineStr">
        <is>
          <t>6300 E. 58th Ave (R0091931) — FY2023</t>
        </is>
      </c>
      <c r="B366" s="25" t="inlineStr">
        <is>
          <t>Expense</t>
        </is>
      </c>
      <c r="C366" s="6" t="inlineStr">
        <is>
          <t>60950 - Administration Fees</t>
        </is>
      </c>
      <c r="D366" s="22" t="n">
        <v>15479.38</v>
      </c>
      <c r="E366" s="6" t="n"/>
    </row>
    <row r="367">
      <c r="A367" s="6" t="inlineStr">
        <is>
          <t>6300 E. 58th Ave (R0091931) — FY2023</t>
        </is>
      </c>
      <c r="B367" s="25" t="inlineStr">
        <is>
          <t>Expense</t>
        </is>
      </c>
      <c r="C367" s="6" t="inlineStr">
        <is>
          <t>60955 - Management Fees</t>
        </is>
      </c>
      <c r="D367" s="22" t="n">
        <v>46438.12</v>
      </c>
      <c r="E367" s="6" t="n"/>
    </row>
    <row r="368">
      <c r="A368" s="6" t="inlineStr">
        <is>
          <t>6300 E. 58th Ave (R0091931) — FY2023</t>
        </is>
      </c>
      <c r="B368" s="25" t="inlineStr">
        <is>
          <t>Expense</t>
        </is>
      </c>
      <c r="C368" s="6" t="inlineStr">
        <is>
          <t>60965 - Professional Tax Review Fee</t>
        </is>
      </c>
      <c r="D368" s="22" t="n">
        <v>101.25</v>
      </c>
      <c r="E368" s="6" t="n"/>
    </row>
    <row r="369">
      <c r="A369" s="6" t="inlineStr">
        <is>
          <t>6300 E. 58th Ave (R0091931) — FY2023</t>
        </is>
      </c>
      <c r="B369" s="25" t="inlineStr">
        <is>
          <t>Expense</t>
        </is>
      </c>
      <c r="C369" s="6" t="inlineStr">
        <is>
          <t>61015 - Tax Real Estate</t>
        </is>
      </c>
      <c r="D369" s="22" t="n">
        <v>283603.36</v>
      </c>
      <c r="E369" s="6" t="n"/>
    </row>
    <row r="370">
      <c r="A370" s="6" t="inlineStr">
        <is>
          <t>6300 E. 58th Ave (R0091931) — FY2023</t>
        </is>
      </c>
      <c r="B370" s="25" t="inlineStr">
        <is>
          <t>Expense</t>
        </is>
      </c>
      <c r="C370" s="6" t="inlineStr">
        <is>
          <t>61020 - Insurance</t>
        </is>
      </c>
      <c r="D370" s="22" t="n">
        <v>15839</v>
      </c>
      <c r="E370" s="6" t="n"/>
    </row>
    <row r="371">
      <c r="A371" s="11" t="inlineStr">
        <is>
          <t>6300 E. 58th Ave (R0091931) — FY2023</t>
        </is>
      </c>
      <c r="B371" s="26" t="inlineStr">
        <is>
          <t>Expense</t>
        </is>
      </c>
      <c r="C371" s="12" t="inlineStr">
        <is>
          <t>TOTAL OPERATING EXPENSES</t>
        </is>
      </c>
      <c r="D371" s="23">
        <f>SUM(D343:D370)</f>
        <v/>
      </c>
      <c r="E371" s="18" t="inlineStr">
        <is>
          <t>Printed total: $446,085.22. Property NOI $792,264.86. Zero-value accounts omitted. Sterling letter recast: RE Taxes $283,603 + CAM Reimbursable $162,482 + CAM Non-Reimbursable $92,819 = $538,904.</t>
        </is>
      </c>
    </row>
    <row r="372">
      <c r="A372" s="6" t="inlineStr">
        <is>
          <t>6300 E. 58th Ave (R0091931) — FY2023</t>
        </is>
      </c>
      <c r="B372" s="25" t="inlineStr">
        <is>
          <t>Memo (below NOI)</t>
        </is>
      </c>
      <c r="C372" s="6" t="inlineStr">
        <is>
          <t>Total Non-CAM Expenses</t>
        </is>
      </c>
      <c r="D372" s="22" t="n">
        <v>106300.92</v>
      </c>
      <c r="E372" s="6" t="inlineStr">
        <is>
          <t>Below Total Operating Expenses; not in the total above</t>
        </is>
      </c>
    </row>
    <row r="373">
      <c r="A373" s="6" t="inlineStr">
        <is>
          <t>6300 E. 58th Ave (R0091931) — FY2023</t>
        </is>
      </c>
      <c r="B373" s="25" t="inlineStr">
        <is>
          <t>Memo (below NOI)</t>
        </is>
      </c>
      <c r="C373" s="6" t="inlineStr">
        <is>
          <t>Net Operating Income (after non-CAM)</t>
        </is>
      </c>
      <c r="D373" s="22" t="n">
        <v>685963.9399999999</v>
      </c>
      <c r="E373" s="6" t="inlineStr">
        <is>
          <t>Below Total Operating Expenses; not in the total above</t>
        </is>
      </c>
    </row>
    <row r="374">
      <c r="A374" s="6" t="inlineStr">
        <is>
          <t>6300 E. 58th Ave (R0091931) — FY2023</t>
        </is>
      </c>
      <c r="B374" s="25" t="inlineStr">
        <is>
          <t>Memo (below NOI)</t>
        </is>
      </c>
      <c r="C374" s="6" t="inlineStr">
        <is>
          <t>Mortgage Interest</t>
        </is>
      </c>
      <c r="D374" s="22" t="n">
        <v>203644.95</v>
      </c>
      <c r="E374" s="6" t="inlineStr">
        <is>
          <t>Below Total Operating Expenses; not in the total above</t>
        </is>
      </c>
    </row>
    <row r="375">
      <c r="A375" s="6" t="inlineStr">
        <is>
          <t>6300 E. 58th Ave (R0091931) — FY2023</t>
        </is>
      </c>
      <c r="B375" s="25" t="inlineStr">
        <is>
          <t>Memo (below NOI)</t>
        </is>
      </c>
      <c r="C375" s="6" t="inlineStr">
        <is>
          <t>Total Depreciation &amp; Amortization</t>
        </is>
      </c>
      <c r="D375" s="22" t="n">
        <v>101299</v>
      </c>
      <c r="E375" s="6" t="inlineStr">
        <is>
          <t>Below Total Operating Expenses; not in the total above</t>
        </is>
      </c>
    </row>
    <row r="376">
      <c r="A376" s="6" t="inlineStr">
        <is>
          <t>6300 E. 58th Ave (R0091931) — FY2023</t>
        </is>
      </c>
      <c r="B376" s="25" t="inlineStr">
        <is>
          <t>Memo (below NOI)</t>
        </is>
      </c>
      <c r="C376" s="6" t="inlineStr">
        <is>
          <t>Net Income</t>
        </is>
      </c>
      <c r="D376" s="22" t="n">
        <v>381019.99</v>
      </c>
      <c r="E376" s="6" t="inlineStr">
        <is>
          <t>Below Total Operating Expenses; not in the total above</t>
        </is>
      </c>
    </row>
    <row r="377">
      <c r="A377" s="6" t="inlineStr">
        <is>
          <t>6300 E. 58th Ave (R0091931) — FY2024</t>
        </is>
      </c>
      <c r="B377" s="25" t="inlineStr">
        <is>
          <t>Income</t>
        </is>
      </c>
      <c r="C377" s="6" t="inlineStr">
        <is>
          <t>51105 - Rent</t>
        </is>
      </c>
      <c r="D377" s="22" t="n">
        <v>911910.75</v>
      </c>
      <c r="E377" s="6" t="n"/>
    </row>
    <row r="378">
      <c r="A378" s="6" t="inlineStr">
        <is>
          <t>6300 E. 58th Ave (R0091931) — FY2024</t>
        </is>
      </c>
      <c r="B378" s="25" t="inlineStr">
        <is>
          <t>Income</t>
        </is>
      </c>
      <c r="C378" s="6" t="inlineStr">
        <is>
          <t>51205 - CAM Reimbursement Current</t>
        </is>
      </c>
      <c r="D378" s="22" t="n">
        <v>195793.69</v>
      </c>
      <c r="E378" s="6" t="n"/>
    </row>
    <row r="379">
      <c r="A379" s="6" t="inlineStr">
        <is>
          <t>6300 E. 58th Ave (R0091931) — FY2024</t>
        </is>
      </c>
      <c r="B379" s="25" t="inlineStr">
        <is>
          <t>Income</t>
        </is>
      </c>
      <c r="C379" s="6" t="inlineStr">
        <is>
          <t>51210 - Operating Expense Recovery</t>
        </is>
      </c>
      <c r="D379" s="22" t="n">
        <v>41442.85</v>
      </c>
      <c r="E379" s="6" t="n"/>
    </row>
    <row r="380">
      <c r="A380" s="6" t="inlineStr">
        <is>
          <t>6300 E. 58th Ave (R0091931) — FY2024</t>
        </is>
      </c>
      <c r="B380" s="25" t="inlineStr">
        <is>
          <t>Income</t>
        </is>
      </c>
      <c r="C380" s="6" t="inlineStr">
        <is>
          <t>51215 - Insurance Reimbursement</t>
        </is>
      </c>
      <c r="D380" s="22" t="n">
        <v>8696.98</v>
      </c>
      <c r="E380" s="6" t="n"/>
    </row>
    <row r="381">
      <c r="A381" s="6" t="inlineStr">
        <is>
          <t>6300 E. 58th Ave (R0091931) — FY2024</t>
        </is>
      </c>
      <c r="B381" s="25" t="inlineStr">
        <is>
          <t>Income</t>
        </is>
      </c>
      <c r="C381" s="6" t="inlineStr">
        <is>
          <t>51225 - RE Tax Reimbursement</t>
        </is>
      </c>
      <c r="D381" s="22" t="n">
        <v>141281.19</v>
      </c>
      <c r="E381" s="6" t="n"/>
    </row>
    <row r="382">
      <c r="A382" s="6" t="inlineStr">
        <is>
          <t>6300 E. 58th Ave (R0091931) — FY2024</t>
        </is>
      </c>
      <c r="B382" s="25" t="inlineStr">
        <is>
          <t>Income</t>
        </is>
      </c>
      <c r="C382" s="6" t="inlineStr">
        <is>
          <t>51310 - Holdover Income</t>
        </is>
      </c>
      <c r="D382" s="22" t="n">
        <v>3750</v>
      </c>
      <c r="E382" s="6" t="n"/>
    </row>
    <row r="383">
      <c r="A383" s="6" t="inlineStr">
        <is>
          <t>6300 E. 58th Ave (R0091931) — FY2024</t>
        </is>
      </c>
      <c r="B383" s="25" t="inlineStr">
        <is>
          <t>Income</t>
        </is>
      </c>
      <c r="C383" s="6" t="inlineStr">
        <is>
          <t>51320 - Late Fees &amp; Other Charges</t>
        </is>
      </c>
      <c r="D383" s="22" t="n">
        <v>2391.07</v>
      </c>
      <c r="E383" s="6" t="n"/>
    </row>
    <row r="384">
      <c r="A384" s="6" t="inlineStr">
        <is>
          <t>6300 E. 58th Ave (R0091931) — FY2024</t>
        </is>
      </c>
      <c r="B384" s="25" t="inlineStr">
        <is>
          <t>Income</t>
        </is>
      </c>
      <c r="C384" s="6" t="inlineStr">
        <is>
          <t>51335 - Misc Income Property</t>
        </is>
      </c>
      <c r="D384" s="22" t="n">
        <v>1911.46</v>
      </c>
      <c r="E384" s="6" t="n"/>
    </row>
    <row r="385">
      <c r="A385" s="11" t="inlineStr">
        <is>
          <t>6300 E. 58th Ave (R0091931) — FY2024</t>
        </is>
      </c>
      <c r="B385" s="26" t="inlineStr">
        <is>
          <t>Income</t>
        </is>
      </c>
      <c r="C385" s="12" t="inlineStr">
        <is>
          <t>TOTAL OPERATING REVENUES</t>
        </is>
      </c>
      <c r="D385" s="23">
        <f>SUM(D377:D384)</f>
        <v/>
      </c>
      <c r="E385" s="18" t="inlineStr">
        <is>
          <t>Printed total: $1,307,177.99.</t>
        </is>
      </c>
    </row>
    <row r="386">
      <c r="A386" s="6" t="inlineStr">
        <is>
          <t>6300 E. 58th Ave (R0091931) — FY2024</t>
        </is>
      </c>
      <c r="B386" s="25" t="inlineStr">
        <is>
          <t>Expense</t>
        </is>
      </c>
      <c r="C386" s="6" t="inlineStr">
        <is>
          <t>60105 - Elec House Meters</t>
        </is>
      </c>
      <c r="D386" s="22" t="n">
        <v>5731.03</v>
      </c>
      <c r="E386" s="6" t="n"/>
    </row>
    <row r="387">
      <c r="A387" s="6" t="inlineStr">
        <is>
          <t>6300 E. 58th Ave (R0091931) — FY2024</t>
        </is>
      </c>
      <c r="B387" s="25" t="inlineStr">
        <is>
          <t>Expense</t>
        </is>
      </c>
      <c r="C387" s="6" t="inlineStr">
        <is>
          <t>60115 - Water/Sewer</t>
        </is>
      </c>
      <c r="D387" s="22" t="n">
        <v>15736.02</v>
      </c>
      <c r="E387" s="6" t="n"/>
    </row>
    <row r="388">
      <c r="A388" s="6" t="inlineStr">
        <is>
          <t>6300 E. 58th Ave (R0091931) — FY2024</t>
        </is>
      </c>
      <c r="B388" s="25" t="inlineStr">
        <is>
          <t>Expense</t>
        </is>
      </c>
      <c r="C388" s="6" t="inlineStr">
        <is>
          <t>60220 - Parking Sweep Contract</t>
        </is>
      </c>
      <c r="D388" s="22" t="n">
        <v>2880</v>
      </c>
      <c r="E388" s="6" t="n"/>
    </row>
    <row r="389">
      <c r="A389" s="6" t="inlineStr">
        <is>
          <t>6300 E. 58th Ave (R0091931) — FY2024</t>
        </is>
      </c>
      <c r="B389" s="25" t="inlineStr">
        <is>
          <t>Expense</t>
        </is>
      </c>
      <c r="C389" s="6" t="inlineStr">
        <is>
          <t>60235 - Trash Removal Contract</t>
        </is>
      </c>
      <c r="D389" s="22" t="n">
        <v>1175.76</v>
      </c>
      <c r="E389" s="6" t="n"/>
    </row>
    <row r="390">
      <c r="A390" s="6" t="inlineStr">
        <is>
          <t>6300 E. 58th Ave (R0091931) — FY2024</t>
        </is>
      </c>
      <c r="B390" s="25" t="inlineStr">
        <is>
          <t>Expense</t>
        </is>
      </c>
      <c r="C390" s="6" t="inlineStr">
        <is>
          <t>60240 - Trash Removal Extra Service</t>
        </is>
      </c>
      <c r="D390" s="22" t="n">
        <v>72</v>
      </c>
      <c r="E390" s="6" t="n"/>
    </row>
    <row r="391">
      <c r="A391" s="6" t="inlineStr">
        <is>
          <t>6300 E. 58th Ave (R0091931) — FY2024</t>
        </is>
      </c>
      <c r="B391" s="25" t="inlineStr">
        <is>
          <t>Expense</t>
        </is>
      </c>
      <c r="C391" s="6" t="inlineStr">
        <is>
          <t>60315 - Door/Keys R&amp;M</t>
        </is>
      </c>
      <c r="D391" s="22" t="n">
        <v>79.31999999999999</v>
      </c>
      <c r="E391" s="6" t="n"/>
    </row>
    <row r="392">
      <c r="A392" s="6" t="inlineStr">
        <is>
          <t>6300 E. 58th Ave (R0091931) — FY2024</t>
        </is>
      </c>
      <c r="B392" s="25" t="inlineStr">
        <is>
          <t>Expense</t>
        </is>
      </c>
      <c r="C392" s="6" t="inlineStr">
        <is>
          <t>60345 - Lighting Interior</t>
        </is>
      </c>
      <c r="D392" s="22" t="n">
        <v>136.71</v>
      </c>
      <c r="E392" s="6" t="n"/>
    </row>
    <row r="393">
      <c r="A393" s="6" t="inlineStr">
        <is>
          <t>6300 E. 58th Ave (R0091931) — FY2024</t>
        </is>
      </c>
      <c r="B393" s="25" t="inlineStr">
        <is>
          <t>Expense</t>
        </is>
      </c>
      <c r="C393" s="6" t="inlineStr">
        <is>
          <t>60405 - Backflow Inspections</t>
        </is>
      </c>
      <c r="D393" s="22" t="n">
        <v>300</v>
      </c>
      <c r="E393" s="6" t="n"/>
    </row>
    <row r="394">
      <c r="A394" s="6" t="inlineStr">
        <is>
          <t>6300 E. 58th Ave (R0091931) — FY2024</t>
        </is>
      </c>
      <c r="B394" s="25" t="inlineStr">
        <is>
          <t>Expense</t>
        </is>
      </c>
      <c r="C394" s="6" t="inlineStr">
        <is>
          <t>60420 - Plumbing/Sewer R&amp;M</t>
        </is>
      </c>
      <c r="D394" s="22" t="n">
        <v>320.1</v>
      </c>
      <c r="E394" s="6" t="n"/>
    </row>
    <row r="395">
      <c r="A395" s="6" t="inlineStr">
        <is>
          <t>6300 E. 58th Ave (R0091931) — FY2024</t>
        </is>
      </c>
      <c r="B395" s="25" t="inlineStr">
        <is>
          <t>Expense</t>
        </is>
      </c>
      <c r="C395" s="6" t="inlineStr">
        <is>
          <t>60540 - Landscape Contract</t>
        </is>
      </c>
      <c r="D395" s="22" t="n">
        <v>4309.2</v>
      </c>
      <c r="E395" s="6" t="n"/>
    </row>
    <row r="396">
      <c r="A396" s="6" t="inlineStr">
        <is>
          <t>6300 E. 58th Ave (R0091931) — FY2024</t>
        </is>
      </c>
      <c r="B396" s="25" t="inlineStr">
        <is>
          <t>Expense</t>
        </is>
      </c>
      <c r="C396" s="6" t="inlineStr">
        <is>
          <t>60541 - Landscaping &amp; Irrigation Rpr &amp; Rpl</t>
        </is>
      </c>
      <c r="D396" s="22" t="n">
        <v>3343.29</v>
      </c>
      <c r="E396" s="6" t="n"/>
    </row>
    <row r="397">
      <c r="A397" s="6" t="inlineStr">
        <is>
          <t>6300 E. 58th Ave (R0091931) — FY2024</t>
        </is>
      </c>
      <c r="B397" s="25" t="inlineStr">
        <is>
          <t>Expense</t>
        </is>
      </c>
      <c r="C397" s="6" t="inlineStr">
        <is>
          <t>60545 - Light R&amp;M Exterior</t>
        </is>
      </c>
      <c r="D397" s="22" t="n">
        <v>154.47</v>
      </c>
      <c r="E397" s="6" t="n"/>
    </row>
    <row r="398">
      <c r="A398" s="6" t="inlineStr">
        <is>
          <t>6300 E. 58th Ave (R0091931) — FY2024</t>
        </is>
      </c>
      <c r="B398" s="25" t="inlineStr">
        <is>
          <t>Expense</t>
        </is>
      </c>
      <c r="C398" s="6" t="inlineStr">
        <is>
          <t>60566 - Roof/Gut R&amp;M</t>
        </is>
      </c>
      <c r="D398" s="22" t="n">
        <v>13201.49</v>
      </c>
      <c r="E398" s="6" t="n"/>
    </row>
    <row r="399">
      <c r="A399" s="6" t="inlineStr">
        <is>
          <t>6300 E. 58th Ave (R0091931) — FY2024</t>
        </is>
      </c>
      <c r="B399" s="25" t="inlineStr">
        <is>
          <t>Expense</t>
        </is>
      </c>
      <c r="C399" s="6" t="inlineStr">
        <is>
          <t>60575 - Snow Removal</t>
        </is>
      </c>
      <c r="D399" s="22" t="n">
        <v>14952.75</v>
      </c>
      <c r="E399" s="6" t="n"/>
    </row>
    <row r="400">
      <c r="A400" s="6" t="inlineStr">
        <is>
          <t>6300 E. 58th Ave (R0091931) — FY2024</t>
        </is>
      </c>
      <c r="B400" s="25" t="inlineStr">
        <is>
          <t>Expense</t>
        </is>
      </c>
      <c r="C400" s="6" t="inlineStr">
        <is>
          <t>60605 - Fire Alarm Mo/Monitor</t>
        </is>
      </c>
      <c r="D400" s="22" t="n">
        <v>1500</v>
      </c>
      <c r="E400" s="6" t="n"/>
    </row>
    <row r="401">
      <c r="A401" s="6" t="inlineStr">
        <is>
          <t>6300 E. 58th Ave (R0091931) — FY2024</t>
        </is>
      </c>
      <c r="B401" s="25" t="inlineStr">
        <is>
          <t>Expense</t>
        </is>
      </c>
      <c r="C401" s="6" t="inlineStr">
        <is>
          <t>60610 - Fire Sprinkler, Alarm &amp; Extinguisher Inspection</t>
        </is>
      </c>
      <c r="D401" s="22" t="n">
        <v>888</v>
      </c>
      <c r="E401" s="6" t="n"/>
    </row>
    <row r="402">
      <c r="A402" s="6" t="inlineStr">
        <is>
          <t>6300 E. 58th Ave (R0091931) — FY2024</t>
        </is>
      </c>
      <c r="B402" s="25" t="inlineStr">
        <is>
          <t>Expense</t>
        </is>
      </c>
      <c r="C402" s="6" t="inlineStr">
        <is>
          <t>60615 - Fire Sprinkler Alarm &amp; Extinguisher R&amp;M</t>
        </is>
      </c>
      <c r="D402" s="22" t="n">
        <v>5445.26</v>
      </c>
      <c r="E402" s="6" t="n"/>
    </row>
    <row r="403">
      <c r="A403" s="6" t="inlineStr">
        <is>
          <t>6300 E. 58th Ave (R0091931) — FY2024</t>
        </is>
      </c>
      <c r="B403" s="25" t="inlineStr">
        <is>
          <t>Expense</t>
        </is>
      </c>
      <c r="C403" s="6" t="inlineStr">
        <is>
          <t>60905 - Wages R&amp;M</t>
        </is>
      </c>
      <c r="D403" s="22" t="n">
        <v>18245.58</v>
      </c>
      <c r="E403" s="6" t="n"/>
    </row>
    <row r="404">
      <c r="A404" s="6" t="inlineStr">
        <is>
          <t>6300 E. 58th Ave (R0091931) — FY2024</t>
        </is>
      </c>
      <c r="B404" s="25" t="inlineStr">
        <is>
          <t>Expense</t>
        </is>
      </c>
      <c r="C404" s="6" t="inlineStr">
        <is>
          <t>60915 - Maint Property Costs</t>
        </is>
      </c>
      <c r="D404" s="22" t="n">
        <v>3732.51</v>
      </c>
      <c r="E404" s="6" t="n"/>
    </row>
    <row r="405">
      <c r="A405" s="6" t="inlineStr">
        <is>
          <t>6300 E. 58th Ave (R0091931) — FY2024</t>
        </is>
      </c>
      <c r="B405" s="25" t="inlineStr">
        <is>
          <t>Expense</t>
        </is>
      </c>
      <c r="C405" s="6" t="inlineStr">
        <is>
          <t>60925 - Bldg Maint Supplies R&amp;M</t>
        </is>
      </c>
      <c r="D405" s="22" t="n">
        <v>19.26</v>
      </c>
      <c r="E405" s="6" t="n"/>
    </row>
    <row r="406">
      <c r="A406" s="6" t="inlineStr">
        <is>
          <t>6300 E. 58th Ave (R0091931) — FY2024</t>
        </is>
      </c>
      <c r="B406" s="25" t="inlineStr">
        <is>
          <t>Expense</t>
        </is>
      </c>
      <c r="C406" s="6" t="inlineStr">
        <is>
          <t>60940 - Signage CAM</t>
        </is>
      </c>
      <c r="D406" s="22" t="n">
        <v>59.29</v>
      </c>
      <c r="E406" s="6" t="n"/>
    </row>
    <row r="407">
      <c r="A407" s="6" t="inlineStr">
        <is>
          <t>6300 E. 58th Ave (R0091931) — FY2024</t>
        </is>
      </c>
      <c r="B407" s="25" t="inlineStr">
        <is>
          <t>Expense</t>
        </is>
      </c>
      <c r="C407" s="6" t="inlineStr">
        <is>
          <t>60955 - Management Fees</t>
        </is>
      </c>
      <c r="D407" s="22" t="n">
        <v>65263.31</v>
      </c>
      <c r="E407" s="6" t="n"/>
    </row>
    <row r="408">
      <c r="A408" s="6" t="inlineStr">
        <is>
          <t>6300 E. 58th Ave (R0091931) — FY2024</t>
        </is>
      </c>
      <c r="B408" s="25" t="inlineStr">
        <is>
          <t>Expense</t>
        </is>
      </c>
      <c r="C408" s="6" t="inlineStr">
        <is>
          <t>60965 - Professional Tax Review Fee</t>
        </is>
      </c>
      <c r="D408" s="22" t="n">
        <v>101.25</v>
      </c>
      <c r="E408" s="6" t="n"/>
    </row>
    <row r="409">
      <c r="A409" s="6" t="inlineStr">
        <is>
          <t>6300 E. 58th Ave (R0091931) — FY2024</t>
        </is>
      </c>
      <c r="B409" s="25" t="inlineStr">
        <is>
          <t>Expense</t>
        </is>
      </c>
      <c r="C409" s="6" t="inlineStr">
        <is>
          <t>61015 - Tax Real Estate</t>
        </is>
      </c>
      <c r="D409" s="22" t="n">
        <v>290988</v>
      </c>
      <c r="E409" s="6" t="n"/>
    </row>
    <row r="410">
      <c r="A410" s="6" t="inlineStr">
        <is>
          <t>6300 E. 58th Ave (R0091931) — FY2024</t>
        </is>
      </c>
      <c r="B410" s="25" t="inlineStr">
        <is>
          <t>Expense</t>
        </is>
      </c>
      <c r="C410" s="6" t="inlineStr">
        <is>
          <t>61020 - Insurance</t>
        </is>
      </c>
      <c r="D410" s="22" t="n">
        <v>15815</v>
      </c>
      <c r="E410" s="6" t="n"/>
    </row>
    <row r="411">
      <c r="A411" s="11" t="inlineStr">
        <is>
          <t>6300 E. 58th Ave (R0091931) — FY2024</t>
        </is>
      </c>
      <c r="B411" s="26" t="inlineStr">
        <is>
          <t>Expense</t>
        </is>
      </c>
      <c r="C411" s="12" t="inlineStr">
        <is>
          <t>TOTAL OPERATING EXPENSES</t>
        </is>
      </c>
      <c r="D411" s="23">
        <f>SUM(D386:D410)</f>
        <v/>
      </c>
      <c r="E411" s="18" t="inlineStr">
        <is>
          <t>Printed total: $464,449.60. Property NOI $842,728.39. Zero-value accounts omitted. Sterling letter recast: RE Taxes $290,988 + CAM Reimbursable $173,462 + CAM Non-Reimbursable $9,033 = $473,483.</t>
        </is>
      </c>
    </row>
    <row r="412">
      <c r="A412" s="6" t="inlineStr">
        <is>
          <t>6300 E. 58th Ave (R0091931) — FY2024</t>
        </is>
      </c>
      <c r="B412" s="25" t="inlineStr">
        <is>
          <t>Memo (below NOI)</t>
        </is>
      </c>
      <c r="C412" s="6" t="inlineStr">
        <is>
          <t>Total Non-CAM Expenses</t>
        </is>
      </c>
      <c r="D412" s="22" t="n">
        <v>29893.1</v>
      </c>
      <c r="E412" s="6" t="inlineStr">
        <is>
          <t>Below Total Operating Expenses; not in the total above</t>
        </is>
      </c>
    </row>
    <row r="413">
      <c r="A413" s="6" t="inlineStr">
        <is>
          <t>6300 E. 58th Ave (R0091931) — FY2024</t>
        </is>
      </c>
      <c r="B413" s="25" t="inlineStr">
        <is>
          <t>Memo (below NOI)</t>
        </is>
      </c>
      <c r="C413" s="6" t="inlineStr">
        <is>
          <t>Net Operating Income (after non-CAM)</t>
        </is>
      </c>
      <c r="D413" s="22" t="n">
        <v>812835.29</v>
      </c>
      <c r="E413" s="6" t="inlineStr">
        <is>
          <t>Below Total Operating Expenses; not in the total above</t>
        </is>
      </c>
    </row>
    <row r="414">
      <c r="A414" s="6" t="inlineStr">
        <is>
          <t>6300 E. 58th Ave (R0091931) — FY2024</t>
        </is>
      </c>
      <c r="B414" s="25" t="inlineStr">
        <is>
          <t>Memo (below NOI)</t>
        </is>
      </c>
      <c r="C414" s="6" t="inlineStr">
        <is>
          <t>Mortgage Interest</t>
        </is>
      </c>
      <c r="D414" s="22" t="n">
        <v>198975.21</v>
      </c>
      <c r="E414" s="6" t="inlineStr">
        <is>
          <t>Below Total Operating Expenses; not in the total above</t>
        </is>
      </c>
    </row>
    <row r="415">
      <c r="A415" s="6" t="inlineStr">
        <is>
          <t>6300 E. 58th Ave (R0091931) — FY2024</t>
        </is>
      </c>
      <c r="B415" s="25" t="inlineStr">
        <is>
          <t>Memo (below NOI)</t>
        </is>
      </c>
      <c r="C415" s="6" t="inlineStr">
        <is>
          <t>Total Depreciation &amp; Amortization</t>
        </is>
      </c>
      <c r="D415" s="22" t="n">
        <v>101301</v>
      </c>
      <c r="E415" s="6" t="inlineStr">
        <is>
          <t>Below Total Operating Expenses; not in the total above</t>
        </is>
      </c>
    </row>
    <row r="416">
      <c r="A416" s="6" t="inlineStr">
        <is>
          <t>6300 E. 58th Ave (R0091931) — FY2024</t>
        </is>
      </c>
      <c r="B416" s="25" t="inlineStr">
        <is>
          <t>Memo (below NOI)</t>
        </is>
      </c>
      <c r="C416" s="6" t="inlineStr">
        <is>
          <t>Net Income</t>
        </is>
      </c>
      <c r="D416" s="22" t="n">
        <v>512559.08</v>
      </c>
      <c r="E416" s="6" t="inlineStr">
        <is>
          <t>Below Total Operating Expenses; not in the total above</t>
        </is>
      </c>
    </row>
    <row r="417">
      <c r="A417" s="6" t="inlineStr">
        <is>
          <t>5800 E. 58th Ave (R0091933) — FY2023</t>
        </is>
      </c>
      <c r="B417" s="25" t="inlineStr">
        <is>
          <t>Income</t>
        </is>
      </c>
      <c r="C417" s="6" t="inlineStr">
        <is>
          <t>51105 - Rent</t>
        </is>
      </c>
      <c r="D417" s="22" t="n">
        <v>326493.79</v>
      </c>
      <c r="E417" s="6" t="n"/>
    </row>
    <row r="418">
      <c r="A418" s="6" t="inlineStr">
        <is>
          <t>5800 E. 58th Ave (R0091933) — FY2023</t>
        </is>
      </c>
      <c r="B418" s="25" t="inlineStr">
        <is>
          <t>Income</t>
        </is>
      </c>
      <c r="C418" s="6" t="inlineStr">
        <is>
          <t>51205 - CAM Reimbursement Current</t>
        </is>
      </c>
      <c r="D418" s="22" t="n">
        <v>36176.4</v>
      </c>
      <c r="E418" s="6" t="n"/>
    </row>
    <row r="419">
      <c r="A419" s="6" t="inlineStr">
        <is>
          <t>5800 E. 58th Ave (R0091933) — FY2023</t>
        </is>
      </c>
      <c r="B419" s="25" t="inlineStr">
        <is>
          <t>Income</t>
        </is>
      </c>
      <c r="C419" s="6" t="inlineStr">
        <is>
          <t>51210 - Operating Expense Recovery</t>
        </is>
      </c>
      <c r="D419" s="22" t="n">
        <v>-5958.92</v>
      </c>
      <c r="E419" s="6" t="n"/>
    </row>
    <row r="420">
      <c r="A420" s="6" t="inlineStr">
        <is>
          <t>5800 E. 58th Ave (R0091933) — FY2023</t>
        </is>
      </c>
      <c r="B420" s="25" t="inlineStr">
        <is>
          <t>Income</t>
        </is>
      </c>
      <c r="C420" s="6" t="inlineStr">
        <is>
          <t>51215 - Insurance Reimbursement</t>
        </is>
      </c>
      <c r="D420" s="22" t="n">
        <v>296.16</v>
      </c>
      <c r="E420" s="6" t="n"/>
    </row>
    <row r="421">
      <c r="A421" s="6" t="inlineStr">
        <is>
          <t>5800 E. 58th Ave (R0091933) — FY2023</t>
        </is>
      </c>
      <c r="B421" s="25" t="inlineStr">
        <is>
          <t>Income</t>
        </is>
      </c>
      <c r="C421" s="6" t="inlineStr">
        <is>
          <t>51225 - RE Tax Reimbursement</t>
        </is>
      </c>
      <c r="D421" s="22" t="n">
        <v>4320</v>
      </c>
      <c r="E421" s="6" t="n"/>
    </row>
    <row r="422">
      <c r="A422" s="6" t="inlineStr">
        <is>
          <t>5800 E. 58th Ave (R0091933) — FY2023</t>
        </is>
      </c>
      <c r="B422" s="25" t="inlineStr">
        <is>
          <t>Income</t>
        </is>
      </c>
      <c r="C422" s="6" t="inlineStr">
        <is>
          <t>51320 - Late Fees &amp; Other Charges</t>
        </is>
      </c>
      <c r="D422" s="22" t="n">
        <v>425.09</v>
      </c>
      <c r="E422" s="6" t="n"/>
    </row>
    <row r="423">
      <c r="A423" s="11" t="inlineStr">
        <is>
          <t>5800 E. 58th Ave (R0091933) — FY2023</t>
        </is>
      </c>
      <c r="B423" s="26" t="inlineStr">
        <is>
          <t>Income</t>
        </is>
      </c>
      <c r="C423" s="12" t="inlineStr">
        <is>
          <t>TOTAL OPERATING REVENUES</t>
        </is>
      </c>
      <c r="D423" s="23">
        <f>SUM(D417:D422)</f>
        <v/>
      </c>
      <c r="E423" s="18" t="inlineStr">
        <is>
          <t>Printed total: $361,752.52.</t>
        </is>
      </c>
    </row>
    <row r="424">
      <c r="A424" s="6" t="inlineStr">
        <is>
          <t>5800 E. 58th Ave (R0091933) — FY2023</t>
        </is>
      </c>
      <c r="B424" s="25" t="inlineStr">
        <is>
          <t>Expense</t>
        </is>
      </c>
      <c r="C424" s="6" t="inlineStr">
        <is>
          <t>60105 - Elec House Meters</t>
        </is>
      </c>
      <c r="D424" s="22" t="n">
        <v>1973.08</v>
      </c>
      <c r="E424" s="6" t="n"/>
    </row>
    <row r="425">
      <c r="A425" s="6" t="inlineStr">
        <is>
          <t>5800 E. 58th Ave (R0091933) — FY2023</t>
        </is>
      </c>
      <c r="B425" s="25" t="inlineStr">
        <is>
          <t>Expense</t>
        </is>
      </c>
      <c r="C425" s="6" t="inlineStr">
        <is>
          <t>60115 - Water/Sewer</t>
        </is>
      </c>
      <c r="D425" s="22" t="n">
        <v>3029.93</v>
      </c>
      <c r="E425" s="6" t="n"/>
    </row>
    <row r="426">
      <c r="A426" s="6" t="inlineStr">
        <is>
          <t>5800 E. 58th Ave (R0091933) — FY2023</t>
        </is>
      </c>
      <c r="B426" s="25" t="inlineStr">
        <is>
          <t>Expense</t>
        </is>
      </c>
      <c r="C426" s="6" t="inlineStr">
        <is>
          <t>60220 - Parking Sweep Contract</t>
        </is>
      </c>
      <c r="D426" s="22" t="n">
        <v>960</v>
      </c>
      <c r="E426" s="6" t="n"/>
    </row>
    <row r="427">
      <c r="A427" s="6" t="inlineStr">
        <is>
          <t>5800 E. 58th Ave (R0091933) — FY2023</t>
        </is>
      </c>
      <c r="B427" s="25" t="inlineStr">
        <is>
          <t>Expense</t>
        </is>
      </c>
      <c r="C427" s="6" t="inlineStr">
        <is>
          <t>60235 - Trash Removal Contract</t>
        </is>
      </c>
      <c r="D427" s="22" t="n">
        <v>310.03</v>
      </c>
      <c r="E427" s="6" t="n"/>
    </row>
    <row r="428">
      <c r="A428" s="6" t="inlineStr">
        <is>
          <t>5800 E. 58th Ave (R0091933) — FY2023</t>
        </is>
      </c>
      <c r="B428" s="25" t="inlineStr">
        <is>
          <t>Expense</t>
        </is>
      </c>
      <c r="C428" s="6" t="inlineStr">
        <is>
          <t>60315 - Door/Keys R&amp;M</t>
        </is>
      </c>
      <c r="D428" s="22" t="n">
        <v>1.02</v>
      </c>
      <c r="E428" s="6" t="n"/>
    </row>
    <row r="429">
      <c r="A429" s="6" t="inlineStr">
        <is>
          <t>5800 E. 58th Ave (R0091933) — FY2023</t>
        </is>
      </c>
      <c r="B429" s="25" t="inlineStr">
        <is>
          <t>Expense</t>
        </is>
      </c>
      <c r="C429" s="6" t="inlineStr">
        <is>
          <t>60405 - Backflow Inspections</t>
        </is>
      </c>
      <c r="D429" s="22" t="n">
        <v>110</v>
      </c>
      <c r="E429" s="6" t="n"/>
    </row>
    <row r="430">
      <c r="A430" s="6" t="inlineStr">
        <is>
          <t>5800 E. 58th Ave (R0091933) — FY2023</t>
        </is>
      </c>
      <c r="B430" s="25" t="inlineStr">
        <is>
          <t>Expense</t>
        </is>
      </c>
      <c r="C430" s="6" t="inlineStr">
        <is>
          <t>60410 - Backflow R&amp;M</t>
        </is>
      </c>
      <c r="D430" s="22" t="n">
        <v>451.5</v>
      </c>
      <c r="E430" s="6" t="n"/>
    </row>
    <row r="431">
      <c r="A431" s="6" t="inlineStr">
        <is>
          <t>5800 E. 58th Ave (R0091933) — FY2023</t>
        </is>
      </c>
      <c r="B431" s="25" t="inlineStr">
        <is>
          <t>Expense</t>
        </is>
      </c>
      <c r="C431" s="6" t="inlineStr">
        <is>
          <t>60420 - Plumbing/Sewer R&amp;M</t>
        </is>
      </c>
      <c r="D431" s="22" t="n">
        <v>353.66</v>
      </c>
      <c r="E431" s="6" t="n"/>
    </row>
    <row r="432">
      <c r="A432" s="6" t="inlineStr">
        <is>
          <t>5800 E. 58th Ave (R0091933) — FY2023</t>
        </is>
      </c>
      <c r="B432" s="25" t="inlineStr">
        <is>
          <t>Expense</t>
        </is>
      </c>
      <c r="C432" s="6" t="inlineStr">
        <is>
          <t>60535 - Irrig Sprinklers R&amp;M</t>
        </is>
      </c>
      <c r="D432" s="22" t="n">
        <v>87.08</v>
      </c>
      <c r="E432" s="6" t="n"/>
    </row>
    <row r="433">
      <c r="A433" s="6" t="inlineStr">
        <is>
          <t>5800 E. 58th Ave (R0091933) — FY2023</t>
        </is>
      </c>
      <c r="B433" s="25" t="inlineStr">
        <is>
          <t>Expense</t>
        </is>
      </c>
      <c r="C433" s="6" t="inlineStr">
        <is>
          <t>60540 - Landscape Contract</t>
        </is>
      </c>
      <c r="D433" s="22" t="n">
        <v>1355.2</v>
      </c>
      <c r="E433" s="6" t="n"/>
    </row>
    <row r="434">
      <c r="A434" s="6" t="inlineStr">
        <is>
          <t>5800 E. 58th Ave (R0091933) — FY2023</t>
        </is>
      </c>
      <c r="B434" s="25" t="inlineStr">
        <is>
          <t>Expense</t>
        </is>
      </c>
      <c r="C434" s="6" t="inlineStr">
        <is>
          <t>60541 - Landscaping &amp; Irrigation Rpr &amp; Rpl</t>
        </is>
      </c>
      <c r="D434" s="22" t="n">
        <v>103.5</v>
      </c>
      <c r="E434" s="6" t="n"/>
    </row>
    <row r="435">
      <c r="A435" s="6" t="inlineStr">
        <is>
          <t>5800 E. 58th Ave (R0091933) — FY2023</t>
        </is>
      </c>
      <c r="B435" s="25" t="inlineStr">
        <is>
          <t>Expense</t>
        </is>
      </c>
      <c r="C435" s="6" t="inlineStr">
        <is>
          <t>60550 - Parking Lot/Sidewalk R&amp;M</t>
        </is>
      </c>
      <c r="D435" s="22" t="n">
        <v>775</v>
      </c>
      <c r="E435" s="6" t="n"/>
    </row>
    <row r="436">
      <c r="A436" s="6" t="inlineStr">
        <is>
          <t>5800 E. 58th Ave (R0091933) — FY2023</t>
        </is>
      </c>
      <c r="B436" s="25" t="inlineStr">
        <is>
          <t>Expense</t>
        </is>
      </c>
      <c r="C436" s="6" t="inlineStr">
        <is>
          <t>60575 - Snow Removal</t>
        </is>
      </c>
      <c r="D436" s="22" t="n">
        <v>3757.07</v>
      </c>
      <c r="E436" s="6" t="n"/>
    </row>
    <row r="437">
      <c r="A437" s="6" t="inlineStr">
        <is>
          <t>5800 E. 58th Ave (R0091933) — FY2023</t>
        </is>
      </c>
      <c r="B437" s="25" t="inlineStr">
        <is>
          <t>Expense</t>
        </is>
      </c>
      <c r="C437" s="6" t="inlineStr">
        <is>
          <t>60605 - Fire Alarm Mo/Monitor</t>
        </is>
      </c>
      <c r="D437" s="22" t="n">
        <v>500</v>
      </c>
      <c r="E437" s="6" t="n"/>
    </row>
    <row r="438">
      <c r="A438" s="6" t="inlineStr">
        <is>
          <t>5800 E. 58th Ave (R0091933) — FY2023</t>
        </is>
      </c>
      <c r="B438" s="25" t="inlineStr">
        <is>
          <t>Expense</t>
        </is>
      </c>
      <c r="C438" s="6" t="inlineStr">
        <is>
          <t>60615 - Fire Sprinkler Alarm &amp; Extinguisher R&amp;M</t>
        </is>
      </c>
      <c r="D438" s="22" t="n">
        <v>585.67</v>
      </c>
      <c r="E438" s="6" t="n"/>
    </row>
    <row r="439">
      <c r="A439" s="6" t="inlineStr">
        <is>
          <t>5800 E. 58th Ave (R0091933) — FY2023</t>
        </is>
      </c>
      <c r="B439" s="25" t="inlineStr">
        <is>
          <t>Expense</t>
        </is>
      </c>
      <c r="C439" s="6" t="inlineStr">
        <is>
          <t>60905 - Wages R&amp;M</t>
        </is>
      </c>
      <c r="D439" s="22" t="n">
        <v>7498.93</v>
      </c>
      <c r="E439" s="6" t="n"/>
    </row>
    <row r="440">
      <c r="A440" s="6" t="inlineStr">
        <is>
          <t>5800 E. 58th Ave (R0091933) — FY2023</t>
        </is>
      </c>
      <c r="B440" s="25" t="inlineStr">
        <is>
          <t>Expense</t>
        </is>
      </c>
      <c r="C440" s="6" t="inlineStr">
        <is>
          <t>60915 - Maint Property Costs</t>
        </is>
      </c>
      <c r="D440" s="22" t="n">
        <v>1172.46</v>
      </c>
      <c r="E440" s="6" t="n"/>
    </row>
    <row r="441">
      <c r="A441" s="6" t="inlineStr">
        <is>
          <t>5800 E. 58th Ave (R0091933) — FY2023</t>
        </is>
      </c>
      <c r="B441" s="25" t="inlineStr">
        <is>
          <t>Expense</t>
        </is>
      </c>
      <c r="C441" s="6" t="inlineStr">
        <is>
          <t>60920 - Small Tools &amp; Equipment</t>
        </is>
      </c>
      <c r="D441" s="22" t="n">
        <v>7.35</v>
      </c>
      <c r="E441" s="6" t="n"/>
    </row>
    <row r="442">
      <c r="A442" s="6" t="inlineStr">
        <is>
          <t>5800 E. 58th Ave (R0091933) — FY2023</t>
        </is>
      </c>
      <c r="B442" s="25" t="inlineStr">
        <is>
          <t>Expense</t>
        </is>
      </c>
      <c r="C442" s="6" t="inlineStr">
        <is>
          <t>60925 - Bldg Maint Supplies R&amp;M</t>
        </is>
      </c>
      <c r="D442" s="22" t="n">
        <v>20.55</v>
      </c>
      <c r="E442" s="6" t="n"/>
    </row>
    <row r="443">
      <c r="A443" s="6" t="inlineStr">
        <is>
          <t>5800 E. 58th Ave (R0091933) — FY2023</t>
        </is>
      </c>
      <c r="B443" s="25" t="inlineStr">
        <is>
          <t>Expense</t>
        </is>
      </c>
      <c r="C443" s="6" t="inlineStr">
        <is>
          <t>60950 - Administration Fees</t>
        </is>
      </c>
      <c r="D443" s="22" t="n">
        <v>4521.92</v>
      </c>
      <c r="E443" s="6" t="n"/>
    </row>
    <row r="444">
      <c r="A444" s="6" t="inlineStr">
        <is>
          <t>5800 E. 58th Ave (R0091933) — FY2023</t>
        </is>
      </c>
      <c r="B444" s="25" t="inlineStr">
        <is>
          <t>Expense</t>
        </is>
      </c>
      <c r="C444" s="6" t="inlineStr">
        <is>
          <t>60955 - Management Fees</t>
        </is>
      </c>
      <c r="D444" s="22" t="n">
        <v>13565.72</v>
      </c>
      <c r="E444" s="6" t="n"/>
    </row>
    <row r="445">
      <c r="A445" s="6" t="inlineStr">
        <is>
          <t>5800 E. 58th Ave (R0091933) — FY2023</t>
        </is>
      </c>
      <c r="B445" s="25" t="inlineStr">
        <is>
          <t>Expense</t>
        </is>
      </c>
      <c r="C445" s="6" t="inlineStr">
        <is>
          <t>60965 - Professional Tax Review Fee</t>
        </is>
      </c>
      <c r="D445" s="22" t="n">
        <v>101.25</v>
      </c>
      <c r="E445" s="6" t="n"/>
    </row>
    <row r="446">
      <c r="A446" s="6" t="inlineStr">
        <is>
          <t>5800 E. 58th Ave (R0091933) — FY2023</t>
        </is>
      </c>
      <c r="B446" s="25" t="inlineStr">
        <is>
          <t>Expense</t>
        </is>
      </c>
      <c r="C446" s="6" t="inlineStr">
        <is>
          <t>61015 - Tax Real Estate</t>
        </is>
      </c>
      <c r="D446" s="22" t="n">
        <v>89690.98</v>
      </c>
      <c r="E446" s="6" t="n"/>
    </row>
    <row r="447">
      <c r="A447" s="6" t="inlineStr">
        <is>
          <t>5800 E. 58th Ave (R0091933) — FY2023</t>
        </is>
      </c>
      <c r="B447" s="25" t="inlineStr">
        <is>
          <t>Expense</t>
        </is>
      </c>
      <c r="C447" s="6" t="inlineStr">
        <is>
          <t>61020 - Insurance</t>
        </is>
      </c>
      <c r="D447" s="22" t="n">
        <v>5229</v>
      </c>
      <c r="E447" s="6" t="n"/>
    </row>
    <row r="448">
      <c r="A448" s="11" t="inlineStr">
        <is>
          <t>5800 E. 58th Ave (R0091933) — FY2023</t>
        </is>
      </c>
      <c r="B448" s="26" t="inlineStr">
        <is>
          <t>Expense</t>
        </is>
      </c>
      <c r="C448" s="12" t="inlineStr">
        <is>
          <t>TOTAL OPERATING EXPENSES</t>
        </is>
      </c>
      <c r="D448" s="23">
        <f>SUM(D424:D447)</f>
        <v/>
      </c>
      <c r="E448" s="18" t="inlineStr">
        <is>
          <t>Printed total: $136,160.90. Property NOI $225,591.62. Zero-value accounts omitted. Sterling letter recast: RE Taxes $89,691 + CAM Reimbursable $46,470 + CAM Non-Reimbursable $155 = $136,316.</t>
        </is>
      </c>
    </row>
    <row r="449">
      <c r="A449" s="6" t="inlineStr">
        <is>
          <t>5800 E. 58th Ave (R0091933) — FY2023</t>
        </is>
      </c>
      <c r="B449" s="25" t="inlineStr">
        <is>
          <t>Memo (below NOI)</t>
        </is>
      </c>
      <c r="C449" s="6" t="inlineStr">
        <is>
          <t>Total Non-CAM Expenses</t>
        </is>
      </c>
      <c r="D449" s="22" t="n">
        <v>155.27</v>
      </c>
      <c r="E449" s="6" t="inlineStr">
        <is>
          <t>Below Total Operating Expenses; not in the total above</t>
        </is>
      </c>
    </row>
    <row r="450">
      <c r="A450" s="6" t="inlineStr">
        <is>
          <t>5800 E. 58th Ave (R0091933) — FY2023</t>
        </is>
      </c>
      <c r="B450" s="25" t="inlineStr">
        <is>
          <t>Memo (below NOI)</t>
        </is>
      </c>
      <c r="C450" s="6" t="inlineStr">
        <is>
          <t>Net Operating Income (after non-CAM)</t>
        </is>
      </c>
      <c r="D450" s="22" t="n">
        <v>225436.35</v>
      </c>
      <c r="E450" s="6" t="inlineStr">
        <is>
          <t>Below Total Operating Expenses; not in the total above</t>
        </is>
      </c>
    </row>
    <row r="451">
      <c r="A451" s="6" t="inlineStr">
        <is>
          <t>5800 E. 58th Ave (R0091933) — FY2023</t>
        </is>
      </c>
      <c r="B451" s="25" t="inlineStr">
        <is>
          <t>Memo (below NOI)</t>
        </is>
      </c>
      <c r="C451" s="6" t="inlineStr">
        <is>
          <t>Mortgage Interest</t>
        </is>
      </c>
      <c r="D451" s="22" t="n">
        <v>65618.92</v>
      </c>
      <c r="E451" s="6" t="inlineStr">
        <is>
          <t>Below Total Operating Expenses; not in the total above</t>
        </is>
      </c>
    </row>
    <row r="452">
      <c r="A452" s="6" t="inlineStr">
        <is>
          <t>5800 E. 58th Ave (R0091933) — FY2023</t>
        </is>
      </c>
      <c r="B452" s="25" t="inlineStr">
        <is>
          <t>Memo (below NOI)</t>
        </is>
      </c>
      <c r="C452" s="6" t="inlineStr">
        <is>
          <t>Total Depreciation &amp; Amortization</t>
        </is>
      </c>
      <c r="D452" s="22" t="n">
        <v>20658</v>
      </c>
      <c r="E452" s="6" t="inlineStr">
        <is>
          <t>Below Total Operating Expenses; not in the total above</t>
        </is>
      </c>
    </row>
    <row r="453">
      <c r="A453" s="6" t="inlineStr">
        <is>
          <t>5800 E. 58th Ave (R0091933) — FY2023</t>
        </is>
      </c>
      <c r="B453" s="25" t="inlineStr">
        <is>
          <t>Memo (below NOI)</t>
        </is>
      </c>
      <c r="C453" s="6" t="inlineStr">
        <is>
          <t>Net Income</t>
        </is>
      </c>
      <c r="D453" s="22" t="n">
        <v>139159.43</v>
      </c>
      <c r="E453" s="6" t="inlineStr">
        <is>
          <t>Below Total Operating Expenses; not in the total above</t>
        </is>
      </c>
    </row>
    <row r="454">
      <c r="A454" s="6" t="inlineStr">
        <is>
          <t>5800 E. 58th Ave (R0091933) — FY2024</t>
        </is>
      </c>
      <c r="B454" s="25" t="inlineStr">
        <is>
          <t>Income</t>
        </is>
      </c>
      <c r="C454" s="6" t="inlineStr">
        <is>
          <t>51105 - Rent</t>
        </is>
      </c>
      <c r="D454" s="22" t="n">
        <v>345110.93</v>
      </c>
      <c r="E454" s="6" t="n"/>
    </row>
    <row r="455">
      <c r="A455" s="6" t="inlineStr">
        <is>
          <t>5800 E. 58th Ave (R0091933) — FY2024</t>
        </is>
      </c>
      <c r="B455" s="25" t="inlineStr">
        <is>
          <t>Income</t>
        </is>
      </c>
      <c r="C455" s="6" t="inlineStr">
        <is>
          <t>51205 - CAM Reimbursement Current</t>
        </is>
      </c>
      <c r="D455" s="22" t="n">
        <v>74094.46000000001</v>
      </c>
      <c r="E455" s="6" t="n"/>
    </row>
    <row r="456">
      <c r="A456" s="6" t="inlineStr">
        <is>
          <t>5800 E. 58th Ave (R0091933) — FY2024</t>
        </is>
      </c>
      <c r="B456" s="25" t="inlineStr">
        <is>
          <t>Income</t>
        </is>
      </c>
      <c r="C456" s="6" t="inlineStr">
        <is>
          <t>51210 - Operating Expense Recovery</t>
        </is>
      </c>
      <c r="D456" s="22" t="n">
        <v>29016.52</v>
      </c>
      <c r="E456" s="6" t="n"/>
    </row>
    <row r="457">
      <c r="A457" s="6" t="inlineStr">
        <is>
          <t>5800 E. 58th Ave (R0091933) — FY2024</t>
        </is>
      </c>
      <c r="B457" s="25" t="inlineStr">
        <is>
          <t>Income</t>
        </is>
      </c>
      <c r="C457" s="6" t="inlineStr">
        <is>
          <t>51215 - Insurance Reimbursement</t>
        </is>
      </c>
      <c r="D457" s="22" t="n">
        <v>420.88</v>
      </c>
      <c r="E457" s="6" t="n"/>
    </row>
    <row r="458">
      <c r="A458" s="6" t="inlineStr">
        <is>
          <t>5800 E. 58th Ave (R0091933) — FY2024</t>
        </is>
      </c>
      <c r="B458" s="25" t="inlineStr">
        <is>
          <t>Income</t>
        </is>
      </c>
      <c r="C458" s="6" t="inlineStr">
        <is>
          <t>51225 - RE Tax Reimbursement</t>
        </is>
      </c>
      <c r="D458" s="22" t="n">
        <v>7202.86</v>
      </c>
      <c r="E458" s="6" t="n"/>
    </row>
    <row r="459">
      <c r="A459" s="6" t="inlineStr">
        <is>
          <t>5800 E. 58th Ave (R0091933) — FY2024</t>
        </is>
      </c>
      <c r="B459" s="25" t="inlineStr">
        <is>
          <t>Income</t>
        </is>
      </c>
      <c r="C459" s="6" t="inlineStr">
        <is>
          <t>51320 - Late Fees &amp; Other Charges</t>
        </is>
      </c>
      <c r="D459" s="22" t="n">
        <v>526.89</v>
      </c>
      <c r="E459" s="6" t="n"/>
    </row>
    <row r="460">
      <c r="A460" s="6" t="inlineStr">
        <is>
          <t>5800 E. 58th Ave (R0091933) — FY2024</t>
        </is>
      </c>
      <c r="B460" s="25" t="inlineStr">
        <is>
          <t>Income</t>
        </is>
      </c>
      <c r="C460" s="6" t="inlineStr">
        <is>
          <t>51335 - Misc Income Property</t>
        </is>
      </c>
      <c r="D460" s="22" t="n">
        <v>1049.4</v>
      </c>
      <c r="E460" s="6" t="n"/>
    </row>
    <row r="461">
      <c r="A461" s="11" t="inlineStr">
        <is>
          <t>5800 E. 58th Ave (R0091933) — FY2024</t>
        </is>
      </c>
      <c r="B461" s="26" t="inlineStr">
        <is>
          <t>Income</t>
        </is>
      </c>
      <c r="C461" s="12" t="inlineStr">
        <is>
          <t>TOTAL OPERATING REVENUES</t>
        </is>
      </c>
      <c r="D461" s="23">
        <f>SUM(D454:D460)</f>
        <v/>
      </c>
      <c r="E461" s="18" t="inlineStr">
        <is>
          <t>Printed total: $457,421.94.</t>
        </is>
      </c>
    </row>
    <row r="462">
      <c r="A462" s="6" t="inlineStr">
        <is>
          <t>5800 E. 58th Ave (R0091933) — FY2024</t>
        </is>
      </c>
      <c r="B462" s="25" t="inlineStr">
        <is>
          <t>Expense</t>
        </is>
      </c>
      <c r="C462" s="6" t="inlineStr">
        <is>
          <t>60105 - Elec House Meters</t>
        </is>
      </c>
      <c r="D462" s="22" t="n">
        <v>1850.21</v>
      </c>
      <c r="E462" s="6" t="n"/>
    </row>
    <row r="463">
      <c r="A463" s="6" t="inlineStr">
        <is>
          <t>5800 E. 58th Ave (R0091933) — FY2024</t>
        </is>
      </c>
      <c r="B463" s="25" t="inlineStr">
        <is>
          <t>Expense</t>
        </is>
      </c>
      <c r="C463" s="6" t="inlineStr">
        <is>
          <t>60115 - Water/Sewer</t>
        </is>
      </c>
      <c r="D463" s="22" t="n">
        <v>3334.92</v>
      </c>
      <c r="E463" s="6" t="n"/>
    </row>
    <row r="464">
      <c r="A464" s="6" t="inlineStr">
        <is>
          <t>5800 E. 58th Ave (R0091933) — FY2024</t>
        </is>
      </c>
      <c r="B464" s="25" t="inlineStr">
        <is>
          <t>Expense</t>
        </is>
      </c>
      <c r="C464" s="6" t="inlineStr">
        <is>
          <t>60220 - Parking Sweep Contract</t>
        </is>
      </c>
      <c r="D464" s="22" t="n">
        <v>960</v>
      </c>
      <c r="E464" s="6" t="n"/>
    </row>
    <row r="465">
      <c r="A465" s="6" t="inlineStr">
        <is>
          <t>5800 E. 58th Ave (R0091933) — FY2024</t>
        </is>
      </c>
      <c r="B465" s="25" t="inlineStr">
        <is>
          <t>Expense</t>
        </is>
      </c>
      <c r="C465" s="6" t="inlineStr">
        <is>
          <t>60235 - Trash Removal Contract</t>
        </is>
      </c>
      <c r="D465" s="22" t="n">
        <v>391.88</v>
      </c>
      <c r="E465" s="6" t="n"/>
    </row>
    <row r="466">
      <c r="A466" s="6" t="inlineStr">
        <is>
          <t>5800 E. 58th Ave (R0091933) — FY2024</t>
        </is>
      </c>
      <c r="B466" s="25" t="inlineStr">
        <is>
          <t>Expense</t>
        </is>
      </c>
      <c r="C466" s="6" t="inlineStr">
        <is>
          <t>60240 - Trash Removal Extra Service</t>
        </is>
      </c>
      <c r="D466" s="22" t="n">
        <v>24</v>
      </c>
      <c r="E466" s="6" t="n"/>
    </row>
    <row r="467">
      <c r="A467" s="6" t="inlineStr">
        <is>
          <t>5800 E. 58th Ave (R0091933) — FY2024</t>
        </is>
      </c>
      <c r="B467" s="25" t="inlineStr">
        <is>
          <t>Expense</t>
        </is>
      </c>
      <c r="C467" s="6" t="inlineStr">
        <is>
          <t>60315 - Door/Keys R&amp;M</t>
        </is>
      </c>
      <c r="D467" s="22" t="n">
        <v>26.43</v>
      </c>
      <c r="E467" s="6" t="n"/>
    </row>
    <row r="468">
      <c r="A468" s="6" t="inlineStr">
        <is>
          <t>5800 E. 58th Ave (R0091933) — FY2024</t>
        </is>
      </c>
      <c r="B468" s="25" t="inlineStr">
        <is>
          <t>Expense</t>
        </is>
      </c>
      <c r="C468" s="6" t="inlineStr">
        <is>
          <t>60345 - Lighting Interior</t>
        </is>
      </c>
      <c r="D468" s="22" t="n">
        <v>45.57</v>
      </c>
      <c r="E468" s="6" t="n"/>
    </row>
    <row r="469">
      <c r="A469" s="6" t="inlineStr">
        <is>
          <t>5800 E. 58th Ave (R0091933) — FY2024</t>
        </is>
      </c>
      <c r="B469" s="25" t="inlineStr">
        <is>
          <t>Expense</t>
        </is>
      </c>
      <c r="C469" s="6" t="inlineStr">
        <is>
          <t>60405 - Backflow Inspections</t>
        </is>
      </c>
      <c r="D469" s="22" t="n">
        <v>50</v>
      </c>
      <c r="E469" s="6" t="n"/>
    </row>
    <row r="470">
      <c r="A470" s="6" t="inlineStr">
        <is>
          <t>5800 E. 58th Ave (R0091933) — FY2024</t>
        </is>
      </c>
      <c r="B470" s="25" t="inlineStr">
        <is>
          <t>Expense</t>
        </is>
      </c>
      <c r="C470" s="6" t="inlineStr">
        <is>
          <t>60420 - Plumbing/Sewer R&amp;M</t>
        </is>
      </c>
      <c r="D470" s="22" t="n">
        <v>106.7</v>
      </c>
      <c r="E470" s="6" t="n"/>
    </row>
    <row r="471">
      <c r="A471" s="6" t="inlineStr">
        <is>
          <t>5800 E. 58th Ave (R0091933) — FY2024</t>
        </is>
      </c>
      <c r="B471" s="25" t="inlineStr">
        <is>
          <t>Expense</t>
        </is>
      </c>
      <c r="C471" s="6" t="inlineStr">
        <is>
          <t>60540 - Landscape Contract</t>
        </is>
      </c>
      <c r="D471" s="22" t="n">
        <v>1436.4</v>
      </c>
      <c r="E471" s="6" t="n"/>
    </row>
    <row r="472">
      <c r="A472" s="6" t="inlineStr">
        <is>
          <t>5800 E. 58th Ave (R0091933) — FY2024</t>
        </is>
      </c>
      <c r="B472" s="25" t="inlineStr">
        <is>
          <t>Expense</t>
        </is>
      </c>
      <c r="C472" s="6" t="inlineStr">
        <is>
          <t>60541 - Landscaping &amp; Irrigation Rpr &amp; Rpl</t>
        </is>
      </c>
      <c r="D472" s="22" t="n">
        <v>1114.38</v>
      </c>
      <c r="E472" s="6" t="n"/>
    </row>
    <row r="473">
      <c r="A473" s="6" t="inlineStr">
        <is>
          <t>5800 E. 58th Ave (R0091933) — FY2024</t>
        </is>
      </c>
      <c r="B473" s="25" t="inlineStr">
        <is>
          <t>Expense</t>
        </is>
      </c>
      <c r="C473" s="6" t="inlineStr">
        <is>
          <t>60566 - Roof/Gut R&amp;M</t>
        </is>
      </c>
      <c r="D473" s="22" t="n">
        <v>3485.66</v>
      </c>
      <c r="E473" s="6" t="n"/>
    </row>
    <row r="474">
      <c r="A474" s="6" t="inlineStr">
        <is>
          <t>5800 E. 58th Ave (R0091933) — FY2024</t>
        </is>
      </c>
      <c r="B474" s="25" t="inlineStr">
        <is>
          <t>Expense</t>
        </is>
      </c>
      <c r="C474" s="6" t="inlineStr">
        <is>
          <t>60575 - Snow Removal</t>
        </is>
      </c>
      <c r="D474" s="22" t="n">
        <v>4984.25</v>
      </c>
      <c r="E474" s="6" t="n"/>
    </row>
    <row r="475">
      <c r="A475" s="6" t="inlineStr">
        <is>
          <t>5800 E. 58th Ave (R0091933) — FY2024</t>
        </is>
      </c>
      <c r="B475" s="25" t="inlineStr">
        <is>
          <t>Expense</t>
        </is>
      </c>
      <c r="C475" s="6" t="inlineStr">
        <is>
          <t>60605 - Fire Alarm Mo/Monitor</t>
        </is>
      </c>
      <c r="D475" s="22" t="n">
        <v>500</v>
      </c>
      <c r="E475" s="6" t="n"/>
    </row>
    <row r="476">
      <c r="A476" s="6" t="inlineStr">
        <is>
          <t>5800 E. 58th Ave (R0091933) — FY2024</t>
        </is>
      </c>
      <c r="B476" s="25" t="inlineStr">
        <is>
          <t>Expense</t>
        </is>
      </c>
      <c r="C476" s="6" t="inlineStr">
        <is>
          <t>60610 - Fire Sprinkler, Alarm &amp; Extinguisher Inspection</t>
        </is>
      </c>
      <c r="D476" s="22" t="n">
        <v>446</v>
      </c>
      <c r="E476" s="6" t="n"/>
    </row>
    <row r="477">
      <c r="A477" s="6" t="inlineStr">
        <is>
          <t>5800 E. 58th Ave (R0091933) — FY2024</t>
        </is>
      </c>
      <c r="B477" s="25" t="inlineStr">
        <is>
          <t>Expense</t>
        </is>
      </c>
      <c r="C477" s="6" t="inlineStr">
        <is>
          <t>60615 - Fire Sprinkler Alarm &amp; Extinguisher R&amp;M</t>
        </is>
      </c>
      <c r="D477" s="22" t="n">
        <v>3.61</v>
      </c>
      <c r="E477" s="6" t="n"/>
    </row>
    <row r="478">
      <c r="A478" s="6" t="inlineStr">
        <is>
          <t>5800 E. 58th Ave (R0091933) — FY2024</t>
        </is>
      </c>
      <c r="B478" s="25" t="inlineStr">
        <is>
          <t>Expense</t>
        </is>
      </c>
      <c r="C478" s="6" t="inlineStr">
        <is>
          <t>60905 - Wages R&amp;M</t>
        </is>
      </c>
      <c r="D478" s="22" t="n">
        <v>6882.23</v>
      </c>
      <c r="E478" s="6" t="n"/>
    </row>
    <row r="479">
      <c r="A479" s="6" t="inlineStr">
        <is>
          <t>5800 E. 58th Ave (R0091933) — FY2024</t>
        </is>
      </c>
      <c r="B479" s="25" t="inlineStr">
        <is>
          <t>Expense</t>
        </is>
      </c>
      <c r="C479" s="6" t="inlineStr">
        <is>
          <t>60915 - Maint Property Costs</t>
        </is>
      </c>
      <c r="D479" s="22" t="n">
        <v>1244.17</v>
      </c>
      <c r="E479" s="6" t="n"/>
    </row>
    <row r="480">
      <c r="A480" s="6" t="inlineStr">
        <is>
          <t>5800 E. 58th Ave (R0091933) — FY2024</t>
        </is>
      </c>
      <c r="B480" s="25" t="inlineStr">
        <is>
          <t>Expense</t>
        </is>
      </c>
      <c r="C480" s="6" t="inlineStr">
        <is>
          <t>60925 - Bldg Maint Supplies R&amp;M</t>
        </is>
      </c>
      <c r="D480" s="22" t="n">
        <v>6.42</v>
      </c>
      <c r="E480" s="6" t="n"/>
    </row>
    <row r="481">
      <c r="A481" s="6" t="inlineStr">
        <is>
          <t>5800 E. 58th Ave (R0091933) — FY2024</t>
        </is>
      </c>
      <c r="B481" s="25" t="inlineStr">
        <is>
          <t>Expense</t>
        </is>
      </c>
      <c r="C481" s="6" t="inlineStr">
        <is>
          <t>60940 - Signage CAM</t>
        </is>
      </c>
      <c r="D481" s="22" t="n">
        <v>19.75</v>
      </c>
      <c r="E481" s="6" t="n"/>
    </row>
    <row r="482">
      <c r="A482" s="6" t="inlineStr">
        <is>
          <t>5800 E. 58th Ave (R0091933) — FY2024</t>
        </is>
      </c>
      <c r="B482" s="25" t="inlineStr">
        <is>
          <t>Expense</t>
        </is>
      </c>
      <c r="C482" s="6" t="inlineStr">
        <is>
          <t>60955 - Management Fees</t>
        </is>
      </c>
      <c r="D482" s="22" t="n">
        <v>22818.62</v>
      </c>
      <c r="E482" s="6" t="n"/>
    </row>
    <row r="483">
      <c r="A483" s="6" t="inlineStr">
        <is>
          <t>5800 E. 58th Ave (R0091933) — FY2024</t>
        </is>
      </c>
      <c r="B483" s="25" t="inlineStr">
        <is>
          <t>Expense</t>
        </is>
      </c>
      <c r="C483" s="6" t="inlineStr">
        <is>
          <t>60965 - Professional Tax Review Fee</t>
        </is>
      </c>
      <c r="D483" s="22" t="n">
        <v>101.25</v>
      </c>
      <c r="E483" s="6" t="n"/>
    </row>
    <row r="484">
      <c r="A484" s="6" t="inlineStr">
        <is>
          <t>5800 E. 58th Ave (R0091933) — FY2024</t>
        </is>
      </c>
      <c r="B484" s="25" t="inlineStr">
        <is>
          <t>Expense</t>
        </is>
      </c>
      <c r="C484" s="6" t="inlineStr">
        <is>
          <t>61015 - Tax Real Estate</t>
        </is>
      </c>
      <c r="D484" s="22" t="n">
        <v>96180</v>
      </c>
      <c r="E484" s="6" t="n"/>
    </row>
    <row r="485">
      <c r="A485" s="6" t="inlineStr">
        <is>
          <t>5800 E. 58th Ave (R0091933) — FY2024</t>
        </is>
      </c>
      <c r="B485" s="25" t="inlineStr">
        <is>
          <t>Expense</t>
        </is>
      </c>
      <c r="C485" s="6" t="inlineStr">
        <is>
          <t>61020 - Insurance</t>
        </is>
      </c>
      <c r="D485" s="22" t="n">
        <v>5243</v>
      </c>
      <c r="E485" s="6" t="n"/>
    </row>
    <row r="486">
      <c r="A486" s="11" t="inlineStr">
        <is>
          <t>5800 E. 58th Ave (R0091933) — FY2024</t>
        </is>
      </c>
      <c r="B486" s="26" t="inlineStr">
        <is>
          <t>Expense</t>
        </is>
      </c>
      <c r="C486" s="12" t="inlineStr">
        <is>
          <t>TOTAL OPERATING EXPENSES</t>
        </is>
      </c>
      <c r="D486" s="23">
        <f>SUM(D462:D485)</f>
        <v/>
      </c>
      <c r="E486" s="18" t="inlineStr">
        <is>
          <t>Printed total: $151,255.45. Property NOI $306,166.49. Zero-value accounts omitted. Sterling letter recast: RE Taxes $96,180 + CAM Reimbursable $55,075 + CAM Non-Reimbursable $4,758 = $156,013.</t>
        </is>
      </c>
    </row>
    <row r="487">
      <c r="A487" s="6" t="inlineStr">
        <is>
          <t>5800 E. 58th Ave (R0091933) — FY2024</t>
        </is>
      </c>
      <c r="B487" s="25" t="inlineStr">
        <is>
          <t>Memo (below NOI)</t>
        </is>
      </c>
      <c r="C487" s="6" t="inlineStr">
        <is>
          <t>Total Non-CAM Expenses</t>
        </is>
      </c>
      <c r="D487" s="22" t="n">
        <v>4504.13</v>
      </c>
      <c r="E487" s="6" t="inlineStr">
        <is>
          <t>Below Total Operating Expenses; not in the total above</t>
        </is>
      </c>
    </row>
    <row r="488">
      <c r="A488" s="6" t="inlineStr">
        <is>
          <t>5800 E. 58th Ave (R0091933) — FY2024</t>
        </is>
      </c>
      <c r="B488" s="25" t="inlineStr">
        <is>
          <t>Memo (below NOI)</t>
        </is>
      </c>
      <c r="C488" s="6" t="inlineStr">
        <is>
          <t>Net Operating Income (after non-CAM)</t>
        </is>
      </c>
      <c r="D488" s="22" t="n">
        <v>301662.36</v>
      </c>
      <c r="E488" s="6" t="inlineStr">
        <is>
          <t>Below Total Operating Expenses; not in the total above</t>
        </is>
      </c>
    </row>
    <row r="489">
      <c r="A489" s="6" t="inlineStr">
        <is>
          <t>5800 E. 58th Ave (R0091933) — FY2024</t>
        </is>
      </c>
      <c r="B489" s="25" t="inlineStr">
        <is>
          <t>Memo (below NOI)</t>
        </is>
      </c>
      <c r="C489" s="6" t="inlineStr">
        <is>
          <t>Mortgage Interest</t>
        </is>
      </c>
      <c r="D489" s="22" t="n">
        <v>64114.24</v>
      </c>
      <c r="E489" s="6" t="inlineStr">
        <is>
          <t>Below Total Operating Expenses; not in the total above</t>
        </is>
      </c>
    </row>
    <row r="490">
      <c r="A490" s="6" t="inlineStr">
        <is>
          <t>5800 E. 58th Ave (R0091933) — FY2024</t>
        </is>
      </c>
      <c r="B490" s="25" t="inlineStr">
        <is>
          <t>Memo (below NOI)</t>
        </is>
      </c>
      <c r="C490" s="6" t="inlineStr">
        <is>
          <t>Total Depreciation &amp; Amortization</t>
        </is>
      </c>
      <c r="D490" s="22" t="n">
        <v>20659</v>
      </c>
      <c r="E490" s="6" t="inlineStr">
        <is>
          <t>Below Total Operating Expenses; not in the total above</t>
        </is>
      </c>
    </row>
    <row r="491">
      <c r="A491" s="6" t="inlineStr">
        <is>
          <t>5800 E. 58th Ave (R0091933) — FY2024</t>
        </is>
      </c>
      <c r="B491" s="25" t="inlineStr">
        <is>
          <t>Memo (below NOI)</t>
        </is>
      </c>
      <c r="C491" s="6" t="inlineStr">
        <is>
          <t>Net Income</t>
        </is>
      </c>
      <c r="D491" s="22" t="n">
        <v>216889.12</v>
      </c>
      <c r="E491" s="6" t="inlineStr">
        <is>
          <t>Below Total Operating Expenses; not in the total above</t>
        </is>
      </c>
    </row>
    <row r="492">
      <c r="A492" s="6" t="inlineStr">
        <is>
          <t>5750 E. 58th Ave (R0091934) — FY2023</t>
        </is>
      </c>
      <c r="B492" s="25" t="inlineStr">
        <is>
          <t>Income</t>
        </is>
      </c>
      <c r="C492" s="6" t="inlineStr">
        <is>
          <t>51105 - Rent</t>
        </is>
      </c>
      <c r="D492" s="22" t="n">
        <v>296766.07</v>
      </c>
      <c r="E492" s="6" t="n"/>
    </row>
    <row r="493">
      <c r="A493" s="6" t="inlineStr">
        <is>
          <t>5750 E. 58th Ave (R0091934) — FY2023</t>
        </is>
      </c>
      <c r="B493" s="25" t="inlineStr">
        <is>
          <t>Income</t>
        </is>
      </c>
      <c r="C493" s="6" t="inlineStr">
        <is>
          <t>51205 - CAM Reimbursement Current</t>
        </is>
      </c>
      <c r="D493" s="22" t="n">
        <v>52110.89</v>
      </c>
      <c r="E493" s="6" t="n"/>
    </row>
    <row r="494">
      <c r="A494" s="6" t="inlineStr">
        <is>
          <t>5750 E. 58th Ave (R0091934) — FY2023</t>
        </is>
      </c>
      <c r="B494" s="25" t="inlineStr">
        <is>
          <t>Income</t>
        </is>
      </c>
      <c r="C494" s="6" t="inlineStr">
        <is>
          <t>51210 - Operating Expense Recovery</t>
        </is>
      </c>
      <c r="D494" s="22" t="n">
        <v>12339.13</v>
      </c>
      <c r="E494" s="6" t="n"/>
    </row>
    <row r="495">
      <c r="A495" s="6" t="inlineStr">
        <is>
          <t>5750 E. 58th Ave (R0091934) — FY2023</t>
        </is>
      </c>
      <c r="B495" s="25" t="inlineStr">
        <is>
          <t>Income</t>
        </is>
      </c>
      <c r="C495" s="6" t="inlineStr">
        <is>
          <t>51215 - Insurance Reimbursement</t>
        </is>
      </c>
      <c r="D495" s="22" t="n">
        <v>3657.11</v>
      </c>
      <c r="E495" s="6" t="n"/>
    </row>
    <row r="496">
      <c r="A496" s="6" t="inlineStr">
        <is>
          <t>5750 E. 58th Ave (R0091934) — FY2023</t>
        </is>
      </c>
      <c r="B496" s="25" t="inlineStr">
        <is>
          <t>Income</t>
        </is>
      </c>
      <c r="C496" s="6" t="inlineStr">
        <is>
          <t>51225 - RE Tax Reimbursement</t>
        </is>
      </c>
      <c r="D496" s="22" t="n">
        <v>63174.43</v>
      </c>
      <c r="E496" s="6" t="n"/>
    </row>
    <row r="497">
      <c r="A497" s="6" t="inlineStr">
        <is>
          <t>5750 E. 58th Ave (R0091934) — FY2023</t>
        </is>
      </c>
      <c r="B497" s="25" t="inlineStr">
        <is>
          <t>Income</t>
        </is>
      </c>
      <c r="C497" s="6" t="inlineStr">
        <is>
          <t>51315 - Termination Fee Income</t>
        </is>
      </c>
      <c r="D497" s="22" t="n">
        <v>264.82</v>
      </c>
      <c r="E497" s="6" t="n"/>
    </row>
    <row r="498">
      <c r="A498" s="6" t="inlineStr">
        <is>
          <t>5750 E. 58th Ave (R0091934) — FY2023</t>
        </is>
      </c>
      <c r="B498" s="25" t="inlineStr">
        <is>
          <t>Income</t>
        </is>
      </c>
      <c r="C498" s="6" t="inlineStr">
        <is>
          <t>51320 - Late Fees &amp; Other Charges</t>
        </is>
      </c>
      <c r="D498" s="22" t="n">
        <v>20690.9</v>
      </c>
      <c r="E498" s="6" t="n"/>
    </row>
    <row r="499">
      <c r="A499" s="11" t="inlineStr">
        <is>
          <t>5750 E. 58th Ave (R0091934) — FY2023</t>
        </is>
      </c>
      <c r="B499" s="26" t="inlineStr">
        <is>
          <t>Income</t>
        </is>
      </c>
      <c r="C499" s="12" t="inlineStr">
        <is>
          <t>TOTAL OPERATING REVENUES</t>
        </is>
      </c>
      <c r="D499" s="23">
        <f>SUM(D492:D498)</f>
        <v/>
      </c>
      <c r="E499" s="18" t="inlineStr">
        <is>
          <t>Printed total: $449,003.35.</t>
        </is>
      </c>
    </row>
    <row r="500">
      <c r="A500" s="6" t="inlineStr">
        <is>
          <t>5750 E. 58th Ave (R0091934) — FY2023</t>
        </is>
      </c>
      <c r="B500" s="25" t="inlineStr">
        <is>
          <t>Expense</t>
        </is>
      </c>
      <c r="C500" s="6" t="inlineStr">
        <is>
          <t>60105 - Elec House Meters</t>
        </is>
      </c>
      <c r="D500" s="22" t="n">
        <v>3251.89</v>
      </c>
      <c r="E500" s="6" t="n"/>
    </row>
    <row r="501">
      <c r="A501" s="6" t="inlineStr">
        <is>
          <t>5750 E. 58th Ave (R0091934) — FY2023</t>
        </is>
      </c>
      <c r="B501" s="25" t="inlineStr">
        <is>
          <t>Expense</t>
        </is>
      </c>
      <c r="C501" s="6" t="inlineStr">
        <is>
          <t>60115 - Water/Sewer</t>
        </is>
      </c>
      <c r="D501" s="22" t="n">
        <v>2850.72</v>
      </c>
      <c r="E501" s="6" t="n"/>
    </row>
    <row r="502">
      <c r="A502" s="6" t="inlineStr">
        <is>
          <t>5750 E. 58th Ave (R0091934) — FY2023</t>
        </is>
      </c>
      <c r="B502" s="25" t="inlineStr">
        <is>
          <t>Expense</t>
        </is>
      </c>
      <c r="C502" s="6" t="inlineStr">
        <is>
          <t>60220 - Parking Sweep Contract</t>
        </is>
      </c>
      <c r="D502" s="22" t="n">
        <v>960</v>
      </c>
      <c r="E502" s="6" t="n"/>
    </row>
    <row r="503">
      <c r="A503" s="6" t="inlineStr">
        <is>
          <t>5750 E. 58th Ave (R0091934) — FY2023</t>
        </is>
      </c>
      <c r="B503" s="25" t="inlineStr">
        <is>
          <t>Expense</t>
        </is>
      </c>
      <c r="C503" s="6" t="inlineStr">
        <is>
          <t>60235 - Trash Removal Contract</t>
        </is>
      </c>
      <c r="D503" s="22" t="n">
        <v>310.03</v>
      </c>
      <c r="E503" s="6" t="n"/>
    </row>
    <row r="504">
      <c r="A504" s="6" t="inlineStr">
        <is>
          <t>5750 E. 58th Ave (R0091934) — FY2023</t>
        </is>
      </c>
      <c r="B504" s="25" t="inlineStr">
        <is>
          <t>Expense</t>
        </is>
      </c>
      <c r="C504" s="6" t="inlineStr">
        <is>
          <t>60240 - Trash Removal Extra Service</t>
        </is>
      </c>
      <c r="D504" s="22" t="n">
        <v>89</v>
      </c>
      <c r="E504" s="6" t="n"/>
    </row>
    <row r="505">
      <c r="A505" s="6" t="inlineStr">
        <is>
          <t>5750 E. 58th Ave (R0091934) — FY2023</t>
        </is>
      </c>
      <c r="B505" s="25" t="inlineStr">
        <is>
          <t>Expense</t>
        </is>
      </c>
      <c r="C505" s="6" t="inlineStr">
        <is>
          <t>60315 - Door/Keys R&amp;M</t>
        </is>
      </c>
      <c r="D505" s="22" t="n">
        <v>92.38</v>
      </c>
      <c r="E505" s="6" t="n"/>
    </row>
    <row r="506">
      <c r="A506" s="6" t="inlineStr">
        <is>
          <t>5750 E. 58th Ave (R0091934) — FY2023</t>
        </is>
      </c>
      <c r="B506" s="25" t="inlineStr">
        <is>
          <t>Expense</t>
        </is>
      </c>
      <c r="C506" s="6" t="inlineStr">
        <is>
          <t>60405 - Backflow Inspections</t>
        </is>
      </c>
      <c r="D506" s="22" t="n">
        <v>110</v>
      </c>
      <c r="E506" s="6" t="n"/>
    </row>
    <row r="507">
      <c r="A507" s="6" t="inlineStr">
        <is>
          <t>5750 E. 58th Ave (R0091934) — FY2023</t>
        </is>
      </c>
      <c r="B507" s="25" t="inlineStr">
        <is>
          <t>Expense</t>
        </is>
      </c>
      <c r="C507" s="6" t="inlineStr">
        <is>
          <t>60420 - Plumbing/Sewer R&amp;M</t>
        </is>
      </c>
      <c r="D507" s="22" t="n">
        <v>1094</v>
      </c>
      <c r="E507" s="6" t="n"/>
    </row>
    <row r="508">
      <c r="A508" s="6" t="inlineStr">
        <is>
          <t>5750 E. 58th Ave (R0091934) — FY2023</t>
        </is>
      </c>
      <c r="B508" s="25" t="inlineStr">
        <is>
          <t>Expense</t>
        </is>
      </c>
      <c r="C508" s="6" t="inlineStr">
        <is>
          <t>60535 - Irrig Sprinklers R&amp;M</t>
        </is>
      </c>
      <c r="D508" s="22" t="n">
        <v>87.08</v>
      </c>
      <c r="E508" s="6" t="n"/>
    </row>
    <row r="509">
      <c r="A509" s="6" t="inlineStr">
        <is>
          <t>5750 E. 58th Ave (R0091934) — FY2023</t>
        </is>
      </c>
      <c r="B509" s="25" t="inlineStr">
        <is>
          <t>Expense</t>
        </is>
      </c>
      <c r="C509" s="6" t="inlineStr">
        <is>
          <t>60540 - Landscape Contract</t>
        </is>
      </c>
      <c r="D509" s="22" t="n">
        <v>1355.2</v>
      </c>
      <c r="E509" s="6" t="n"/>
    </row>
    <row r="510">
      <c r="A510" s="6" t="inlineStr">
        <is>
          <t>5750 E. 58th Ave (R0091934) — FY2023</t>
        </is>
      </c>
      <c r="B510" s="25" t="inlineStr">
        <is>
          <t>Expense</t>
        </is>
      </c>
      <c r="C510" s="6" t="inlineStr">
        <is>
          <t>60541 - Landscaping &amp; Irrigation Rpr &amp; Rpl</t>
        </is>
      </c>
      <c r="D510" s="22" t="n">
        <v>103.5</v>
      </c>
      <c r="E510" s="6" t="n"/>
    </row>
    <row r="511">
      <c r="A511" s="6" t="inlineStr">
        <is>
          <t>5750 E. 58th Ave (R0091934) — FY2023</t>
        </is>
      </c>
      <c r="B511" s="25" t="inlineStr">
        <is>
          <t>Expense</t>
        </is>
      </c>
      <c r="C511" s="6" t="inlineStr">
        <is>
          <t>60545 - Light R&amp;M Exterior</t>
        </is>
      </c>
      <c r="D511" s="22" t="n">
        <v>22.83</v>
      </c>
      <c r="E511" s="6" t="n"/>
    </row>
    <row r="512">
      <c r="A512" s="6" t="inlineStr">
        <is>
          <t>5750 E. 58th Ave (R0091934) — FY2023</t>
        </is>
      </c>
      <c r="B512" s="25" t="inlineStr">
        <is>
          <t>Expense</t>
        </is>
      </c>
      <c r="C512" s="6" t="inlineStr">
        <is>
          <t>60550 - Parking Lot/Sidewalk R&amp;M</t>
        </is>
      </c>
      <c r="D512" s="22" t="n">
        <v>775</v>
      </c>
      <c r="E512" s="6" t="n"/>
    </row>
    <row r="513">
      <c r="A513" s="6" t="inlineStr">
        <is>
          <t>5750 E. 58th Ave (R0091934) — FY2023</t>
        </is>
      </c>
      <c r="B513" s="25" t="inlineStr">
        <is>
          <t>Expense</t>
        </is>
      </c>
      <c r="C513" s="6" t="inlineStr">
        <is>
          <t>60566 - Roof/Gut R&amp;M</t>
        </is>
      </c>
      <c r="D513" s="22" t="n">
        <v>3822.27</v>
      </c>
      <c r="E513" s="6" t="n"/>
    </row>
    <row r="514">
      <c r="A514" s="6" t="inlineStr">
        <is>
          <t>5750 E. 58th Ave (R0091934) — FY2023</t>
        </is>
      </c>
      <c r="B514" s="25" t="inlineStr">
        <is>
          <t>Expense</t>
        </is>
      </c>
      <c r="C514" s="6" t="inlineStr">
        <is>
          <t>60570 - Sealing/Caulking Exterior</t>
        </is>
      </c>
      <c r="D514" s="22" t="n">
        <v>92.48999999999999</v>
      </c>
      <c r="E514" s="6" t="n"/>
    </row>
    <row r="515">
      <c r="A515" s="6" t="inlineStr">
        <is>
          <t>5750 E. 58th Ave (R0091934) — FY2023</t>
        </is>
      </c>
      <c r="B515" s="25" t="inlineStr">
        <is>
          <t>Expense</t>
        </is>
      </c>
      <c r="C515" s="6" t="inlineStr">
        <is>
          <t>60575 - Snow Removal</t>
        </is>
      </c>
      <c r="D515" s="22" t="n">
        <v>3757.07</v>
      </c>
      <c r="E515" s="6" t="n"/>
    </row>
    <row r="516">
      <c r="A516" s="6" t="inlineStr">
        <is>
          <t>5750 E. 58th Ave (R0091934) — FY2023</t>
        </is>
      </c>
      <c r="B516" s="25" t="inlineStr">
        <is>
          <t>Expense</t>
        </is>
      </c>
      <c r="C516" s="6" t="inlineStr">
        <is>
          <t>60605 - Fire Alarm Mo/Monitor</t>
        </is>
      </c>
      <c r="D516" s="22" t="n">
        <v>500</v>
      </c>
      <c r="E516" s="6" t="n"/>
    </row>
    <row r="517">
      <c r="A517" s="6" t="inlineStr">
        <is>
          <t>5750 E. 58th Ave (R0091934) — FY2023</t>
        </is>
      </c>
      <c r="B517" s="25" t="inlineStr">
        <is>
          <t>Expense</t>
        </is>
      </c>
      <c r="C517" s="6" t="inlineStr">
        <is>
          <t>60905 - Wages R&amp;M</t>
        </is>
      </c>
      <c r="D517" s="22" t="n">
        <v>7667.69</v>
      </c>
      <c r="E517" s="6" t="n"/>
    </row>
    <row r="518">
      <c r="A518" s="6" t="inlineStr">
        <is>
          <t>5750 E. 58th Ave (R0091934) — FY2023</t>
        </is>
      </c>
      <c r="B518" s="25" t="inlineStr">
        <is>
          <t>Expense</t>
        </is>
      </c>
      <c r="C518" s="6" t="inlineStr">
        <is>
          <t>60915 - Maint Property Costs</t>
        </is>
      </c>
      <c r="D518" s="22" t="n">
        <v>1331.77</v>
      </c>
      <c r="E518" s="6" t="n"/>
    </row>
    <row r="519">
      <c r="A519" s="6" t="inlineStr">
        <is>
          <t>5750 E. 58th Ave (R0091934) — FY2023</t>
        </is>
      </c>
      <c r="B519" s="25" t="inlineStr">
        <is>
          <t>Expense</t>
        </is>
      </c>
      <c r="C519" s="6" t="inlineStr">
        <is>
          <t>60920 - Small Tools &amp; Equipment</t>
        </is>
      </c>
      <c r="D519" s="22" t="n">
        <v>7.35</v>
      </c>
      <c r="E519" s="6" t="n"/>
    </row>
    <row r="520">
      <c r="A520" s="6" t="inlineStr">
        <is>
          <t>5750 E. 58th Ave (R0091934) — FY2023</t>
        </is>
      </c>
      <c r="B520" s="25" t="inlineStr">
        <is>
          <t>Expense</t>
        </is>
      </c>
      <c r="C520" s="6" t="inlineStr">
        <is>
          <t>60925 - Bldg Maint Supplies R&amp;M</t>
        </is>
      </c>
      <c r="D520" s="22" t="n">
        <v>171.76</v>
      </c>
      <c r="E520" s="6" t="n"/>
    </row>
    <row r="521">
      <c r="A521" s="6" t="inlineStr">
        <is>
          <t>5750 E. 58th Ave (R0091934) — FY2023</t>
        </is>
      </c>
      <c r="B521" s="25" t="inlineStr">
        <is>
          <t>Expense</t>
        </is>
      </c>
      <c r="C521" s="6" t="inlineStr">
        <is>
          <t>60950 - Administration Fees</t>
        </is>
      </c>
      <c r="D521" s="22" t="n">
        <v>5618.91</v>
      </c>
      <c r="E521" s="6" t="n"/>
    </row>
    <row r="522">
      <c r="A522" s="6" t="inlineStr">
        <is>
          <t>5750 E. 58th Ave (R0091934) — FY2023</t>
        </is>
      </c>
      <c r="B522" s="25" t="inlineStr">
        <is>
          <t>Expense</t>
        </is>
      </c>
      <c r="C522" s="6" t="inlineStr">
        <is>
          <t>60955 - Management Fees</t>
        </is>
      </c>
      <c r="D522" s="22" t="n">
        <v>16856.73</v>
      </c>
      <c r="E522" s="6" t="n"/>
    </row>
    <row r="523">
      <c r="A523" s="6" t="inlineStr">
        <is>
          <t>5750 E. 58th Ave (R0091934) — FY2023</t>
        </is>
      </c>
      <c r="B523" s="25" t="inlineStr">
        <is>
          <t>Expense</t>
        </is>
      </c>
      <c r="C523" s="6" t="inlineStr">
        <is>
          <t>60965 - Professional Tax Review Fee</t>
        </is>
      </c>
      <c r="D523" s="22" t="n">
        <v>101.25</v>
      </c>
      <c r="E523" s="6" t="n"/>
    </row>
    <row r="524">
      <c r="A524" s="6" t="inlineStr">
        <is>
          <t>5750 E. 58th Ave (R0091934) — FY2023</t>
        </is>
      </c>
      <c r="B524" s="25" t="inlineStr">
        <is>
          <t>Expense</t>
        </is>
      </c>
      <c r="C524" s="6" t="inlineStr">
        <is>
          <t>61015 - Tax Real Estate</t>
        </is>
      </c>
      <c r="D524" s="22" t="n">
        <v>102700.22</v>
      </c>
      <c r="E524" s="6" t="n"/>
    </row>
    <row r="525">
      <c r="A525" s="6" t="inlineStr">
        <is>
          <t>5750 E. 58th Ave (R0091934) — FY2023</t>
        </is>
      </c>
      <c r="B525" s="25" t="inlineStr">
        <is>
          <t>Expense</t>
        </is>
      </c>
      <c r="C525" s="6" t="inlineStr">
        <is>
          <t>61020 - Insurance</t>
        </is>
      </c>
      <c r="D525" s="22" t="n">
        <v>5808</v>
      </c>
      <c r="E525" s="6" t="n"/>
    </row>
    <row r="526">
      <c r="A526" s="11" t="inlineStr">
        <is>
          <t>5750 E. 58th Ave (R0091934) — FY2023</t>
        </is>
      </c>
      <c r="B526" s="26" t="inlineStr">
        <is>
          <t>Expense</t>
        </is>
      </c>
      <c r="C526" s="12" t="inlineStr">
        <is>
          <t>TOTAL OPERATING EXPENSES</t>
        </is>
      </c>
      <c r="D526" s="23">
        <f>SUM(D500:D525)</f>
        <v/>
      </c>
      <c r="E526" s="18" t="inlineStr">
        <is>
          <t>Printed total: $159,537.14. Property NOI $289,466.21. Zero-value accounts omitted. Sterling letter recast: RE Taxes $102,700 + CAM Reimbursable $56,837 + CAM Non-Reimbursable $9,025 = $168,562.</t>
        </is>
      </c>
    </row>
    <row r="527">
      <c r="A527" s="6" t="inlineStr">
        <is>
          <t>5750 E. 58th Ave (R0091934) — FY2023</t>
        </is>
      </c>
      <c r="B527" s="25" t="inlineStr">
        <is>
          <t>Memo (below NOI)</t>
        </is>
      </c>
      <c r="C527" s="6" t="inlineStr">
        <is>
          <t>Total Non-CAM Expenses</t>
        </is>
      </c>
      <c r="D527" s="22" t="n">
        <v>81481.44</v>
      </c>
      <c r="E527" s="6" t="inlineStr">
        <is>
          <t>Below Total Operating Expenses; not in the total above</t>
        </is>
      </c>
    </row>
    <row r="528">
      <c r="A528" s="6" t="inlineStr">
        <is>
          <t>5750 E. 58th Ave (R0091934) — FY2023</t>
        </is>
      </c>
      <c r="B528" s="25" t="inlineStr">
        <is>
          <t>Memo (below NOI)</t>
        </is>
      </c>
      <c r="C528" s="6" t="inlineStr">
        <is>
          <t>Net Operating Income (after non-CAM)</t>
        </is>
      </c>
      <c r="D528" s="22" t="n">
        <v>207984.77</v>
      </c>
      <c r="E528" s="6" t="inlineStr">
        <is>
          <t>Below Total Operating Expenses; not in the total above</t>
        </is>
      </c>
    </row>
    <row r="529">
      <c r="A529" s="6" t="inlineStr">
        <is>
          <t>5750 E. 58th Ave (R0091934) — FY2023</t>
        </is>
      </c>
      <c r="B529" s="25" t="inlineStr">
        <is>
          <t>Memo (below NOI)</t>
        </is>
      </c>
      <c r="C529" s="6" t="inlineStr">
        <is>
          <t>Mortgage Interest</t>
        </is>
      </c>
      <c r="D529" s="22" t="n">
        <v>73538.45</v>
      </c>
      <c r="E529" s="6" t="inlineStr">
        <is>
          <t>Below Total Operating Expenses; not in the total above</t>
        </is>
      </c>
    </row>
    <row r="530">
      <c r="A530" s="6" t="inlineStr">
        <is>
          <t>5750 E. 58th Ave (R0091934) — FY2023</t>
        </is>
      </c>
      <c r="B530" s="25" t="inlineStr">
        <is>
          <t>Memo (below NOI)</t>
        </is>
      </c>
      <c r="C530" s="6" t="inlineStr">
        <is>
          <t>Total Depreciation &amp; Amortization</t>
        </is>
      </c>
      <c r="D530" s="22" t="n">
        <v>23349</v>
      </c>
      <c r="E530" s="6" t="inlineStr">
        <is>
          <t>Below Total Operating Expenses; not in the total above</t>
        </is>
      </c>
    </row>
    <row r="531">
      <c r="A531" s="6" t="inlineStr">
        <is>
          <t>5750 E. 58th Ave (R0091934) — FY2023</t>
        </is>
      </c>
      <c r="B531" s="25" t="inlineStr">
        <is>
          <t>Memo (below NOI)</t>
        </is>
      </c>
      <c r="C531" s="6" t="inlineStr">
        <is>
          <t>Net Income</t>
        </is>
      </c>
      <c r="D531" s="22" t="n">
        <v>111097.32</v>
      </c>
      <c r="E531" s="6" t="inlineStr">
        <is>
          <t>Below Total Operating Expenses; not in the total above</t>
        </is>
      </c>
    </row>
    <row r="532">
      <c r="A532" s="6" t="inlineStr">
        <is>
          <t>5750 E. 58th Ave (R0091934) — FY2024</t>
        </is>
      </c>
      <c r="B532" s="25" t="inlineStr">
        <is>
          <t>Income</t>
        </is>
      </c>
      <c r="C532" s="6" t="inlineStr">
        <is>
          <t>51105 - Rent</t>
        </is>
      </c>
      <c r="D532" s="22" t="n">
        <v>312396.81</v>
      </c>
      <c r="E532" s="6" t="n"/>
    </row>
    <row r="533">
      <c r="A533" s="6" t="inlineStr">
        <is>
          <t>5750 E. 58th Ave (R0091934) — FY2024</t>
        </is>
      </c>
      <c r="B533" s="25" t="inlineStr">
        <is>
          <t>Income</t>
        </is>
      </c>
      <c r="C533" s="6" t="inlineStr">
        <is>
          <t>51205 - CAM Reimbursement Current</t>
        </is>
      </c>
      <c r="D533" s="22" t="n">
        <v>53388.72</v>
      </c>
      <c r="E533" s="6" t="n"/>
    </row>
    <row r="534">
      <c r="A534" s="6" t="inlineStr">
        <is>
          <t>5750 E. 58th Ave (R0091934) — FY2024</t>
        </is>
      </c>
      <c r="B534" s="25" t="inlineStr">
        <is>
          <t>Income</t>
        </is>
      </c>
      <c r="C534" s="6" t="inlineStr">
        <is>
          <t>51210 - Operating Expense Recovery</t>
        </is>
      </c>
      <c r="D534" s="22" t="n">
        <v>20784.17</v>
      </c>
      <c r="E534" s="6" t="n"/>
    </row>
    <row r="535">
      <c r="A535" s="6" t="inlineStr">
        <is>
          <t>5750 E. 58th Ave (R0091934) — FY2024</t>
        </is>
      </c>
      <c r="B535" s="25" t="inlineStr">
        <is>
          <t>Income</t>
        </is>
      </c>
      <c r="C535" s="6" t="inlineStr">
        <is>
          <t>51215 - Insurance Reimbursement</t>
        </is>
      </c>
      <c r="D535" s="22" t="n">
        <v>6659.28</v>
      </c>
      <c r="E535" s="6" t="n"/>
    </row>
    <row r="536">
      <c r="A536" s="6" t="inlineStr">
        <is>
          <t>5750 E. 58th Ave (R0091934) — FY2024</t>
        </is>
      </c>
      <c r="B536" s="25" t="inlineStr">
        <is>
          <t>Income</t>
        </is>
      </c>
      <c r="C536" s="6" t="inlineStr">
        <is>
          <t>51225 - RE Tax Reimbursement</t>
        </is>
      </c>
      <c r="D536" s="22" t="n">
        <v>100410.72</v>
      </c>
      <c r="E536" s="6" t="n"/>
    </row>
    <row r="537">
      <c r="A537" s="6" t="inlineStr">
        <is>
          <t>5750 E. 58th Ave (R0091934) — FY2024</t>
        </is>
      </c>
      <c r="B537" s="25" t="inlineStr">
        <is>
          <t>Income</t>
        </is>
      </c>
      <c r="C537" s="6" t="inlineStr">
        <is>
          <t>51320 - Late Fees &amp; Other Charges</t>
        </is>
      </c>
      <c r="D537" s="22" t="n">
        <v>1949.91</v>
      </c>
      <c r="E537" s="6" t="n"/>
    </row>
    <row r="538">
      <c r="A538" s="6" t="inlineStr">
        <is>
          <t>5750 E. 58th Ave (R0091934) — FY2024</t>
        </is>
      </c>
      <c r="B538" s="25" t="inlineStr">
        <is>
          <t>Income</t>
        </is>
      </c>
      <c r="C538" s="6" t="inlineStr">
        <is>
          <t>51335 - Misc Income Property</t>
        </is>
      </c>
      <c r="D538" s="22" t="n">
        <v>2397.64</v>
      </c>
      <c r="E538" s="6" t="n"/>
    </row>
    <row r="539">
      <c r="A539" s="11" t="inlineStr">
        <is>
          <t>5750 E. 58th Ave (R0091934) — FY2024</t>
        </is>
      </c>
      <c r="B539" s="26" t="inlineStr">
        <is>
          <t>Income</t>
        </is>
      </c>
      <c r="C539" s="12" t="inlineStr">
        <is>
          <t>TOTAL OPERATING REVENUES</t>
        </is>
      </c>
      <c r="D539" s="23">
        <f>SUM(D532:D538)</f>
        <v/>
      </c>
      <c r="E539" s="18" t="inlineStr">
        <is>
          <t>Printed total: $497,987.25.</t>
        </is>
      </c>
    </row>
    <row r="540">
      <c r="A540" s="6" t="inlineStr">
        <is>
          <t>5750 E. 58th Ave (R0091934) — FY2024</t>
        </is>
      </c>
      <c r="B540" s="25" t="inlineStr">
        <is>
          <t>Expense</t>
        </is>
      </c>
      <c r="C540" s="6" t="inlineStr">
        <is>
          <t>60105 - Elec House Meters</t>
        </is>
      </c>
      <c r="D540" s="22" t="n">
        <v>3064.07</v>
      </c>
      <c r="E540" s="6" t="n"/>
    </row>
    <row r="541">
      <c r="A541" s="6" t="inlineStr">
        <is>
          <t>5750 E. 58th Ave (R0091934) — FY2024</t>
        </is>
      </c>
      <c r="B541" s="25" t="inlineStr">
        <is>
          <t>Expense</t>
        </is>
      </c>
      <c r="C541" s="6" t="inlineStr">
        <is>
          <t>60115 - Water/Sewer</t>
        </is>
      </c>
      <c r="D541" s="22" t="n">
        <v>3765.2</v>
      </c>
      <c r="E541" s="6" t="n"/>
    </row>
    <row r="542">
      <c r="A542" s="6" t="inlineStr">
        <is>
          <t>5750 E. 58th Ave (R0091934) — FY2024</t>
        </is>
      </c>
      <c r="B542" s="25" t="inlineStr">
        <is>
          <t>Expense</t>
        </is>
      </c>
      <c r="C542" s="6" t="inlineStr">
        <is>
          <t>60220 - Parking Sweep Contract</t>
        </is>
      </c>
      <c r="D542" s="22" t="n">
        <v>960</v>
      </c>
      <c r="E542" s="6" t="n"/>
    </row>
    <row r="543">
      <c r="A543" s="6" t="inlineStr">
        <is>
          <t>5750 E. 58th Ave (R0091934) — FY2024</t>
        </is>
      </c>
      <c r="B543" s="25" t="inlineStr">
        <is>
          <t>Expense</t>
        </is>
      </c>
      <c r="C543" s="6" t="inlineStr">
        <is>
          <t>60235 - Trash Removal Contract</t>
        </is>
      </c>
      <c r="D543" s="22" t="n">
        <v>391.95</v>
      </c>
      <c r="E543" s="6" t="n"/>
    </row>
    <row r="544">
      <c r="A544" s="6" t="inlineStr">
        <is>
          <t>5750 E. 58th Ave (R0091934) — FY2024</t>
        </is>
      </c>
      <c r="B544" s="25" t="inlineStr">
        <is>
          <t>Expense</t>
        </is>
      </c>
      <c r="C544" s="6" t="inlineStr">
        <is>
          <t>60240 - Trash Removal Extra Service</t>
        </is>
      </c>
      <c r="D544" s="22" t="n">
        <v>24</v>
      </c>
      <c r="E544" s="6" t="n"/>
    </row>
    <row r="545">
      <c r="A545" s="6" t="inlineStr">
        <is>
          <t>5750 E. 58th Ave (R0091934) — FY2024</t>
        </is>
      </c>
      <c r="B545" s="25" t="inlineStr">
        <is>
          <t>Expense</t>
        </is>
      </c>
      <c r="C545" s="6" t="inlineStr">
        <is>
          <t>60315 - Door/Keys R&amp;M</t>
        </is>
      </c>
      <c r="D545" s="22" t="n">
        <v>26.45</v>
      </c>
      <c r="E545" s="6" t="n"/>
    </row>
    <row r="546">
      <c r="A546" s="6" t="inlineStr">
        <is>
          <t>5750 E. 58th Ave (R0091934) — FY2024</t>
        </is>
      </c>
      <c r="B546" s="25" t="inlineStr">
        <is>
          <t>Expense</t>
        </is>
      </c>
      <c r="C546" s="6" t="inlineStr">
        <is>
          <t>60345 - Lighting Interior</t>
        </is>
      </c>
      <c r="D546" s="22" t="n">
        <v>259.37</v>
      </c>
      <c r="E546" s="6" t="n"/>
    </row>
    <row r="547">
      <c r="A547" s="6" t="inlineStr">
        <is>
          <t>5750 E. 58th Ave (R0091934) — FY2024</t>
        </is>
      </c>
      <c r="B547" s="25" t="inlineStr">
        <is>
          <t>Expense</t>
        </is>
      </c>
      <c r="C547" s="6" t="inlineStr">
        <is>
          <t>60405 - Backflow Inspections</t>
        </is>
      </c>
      <c r="D547" s="22" t="n">
        <v>50</v>
      </c>
      <c r="E547" s="6" t="n"/>
    </row>
    <row r="548">
      <c r="A548" s="6" t="inlineStr">
        <is>
          <t>5750 E. 58th Ave (R0091934) — FY2024</t>
        </is>
      </c>
      <c r="B548" s="25" t="inlineStr">
        <is>
          <t>Expense</t>
        </is>
      </c>
      <c r="C548" s="6" t="inlineStr">
        <is>
          <t>60420 - Plumbing/Sewer R&amp;M</t>
        </is>
      </c>
      <c r="D548" s="22" t="n">
        <v>1200.98</v>
      </c>
      <c r="E548" s="6" t="n"/>
    </row>
    <row r="549">
      <c r="A549" s="6" t="inlineStr">
        <is>
          <t>5750 E. 58th Ave (R0091934) — FY2024</t>
        </is>
      </c>
      <c r="B549" s="25" t="inlineStr">
        <is>
          <t>Expense</t>
        </is>
      </c>
      <c r="C549" s="6" t="inlineStr">
        <is>
          <t>60540 - Landscape Contract</t>
        </is>
      </c>
      <c r="D549" s="22" t="n">
        <v>1436.4</v>
      </c>
      <c r="E549" s="6" t="n"/>
    </row>
    <row r="550">
      <c r="A550" s="6" t="inlineStr">
        <is>
          <t>5750 E. 58th Ave (R0091934) — FY2024</t>
        </is>
      </c>
      <c r="B550" s="25" t="inlineStr">
        <is>
          <t>Expense</t>
        </is>
      </c>
      <c r="C550" s="6" t="inlineStr">
        <is>
          <t>60541 - Landscaping &amp; Irrigation Rpr &amp; Rpl</t>
        </is>
      </c>
      <c r="D550" s="22" t="n">
        <v>1114.49</v>
      </c>
      <c r="E550" s="6" t="n"/>
    </row>
    <row r="551">
      <c r="A551" s="6" t="inlineStr">
        <is>
          <t>5750 E. 58th Ave (R0091934) — FY2024</t>
        </is>
      </c>
      <c r="B551" s="25" t="inlineStr">
        <is>
          <t>Expense</t>
        </is>
      </c>
      <c r="C551" s="6" t="inlineStr">
        <is>
          <t>60575 - Snow Removal</t>
        </is>
      </c>
      <c r="D551" s="22" t="n">
        <v>4984.25</v>
      </c>
      <c r="E551" s="6" t="n"/>
    </row>
    <row r="552">
      <c r="A552" s="6" t="inlineStr">
        <is>
          <t>5750 E. 58th Ave (R0091934) — FY2024</t>
        </is>
      </c>
      <c r="B552" s="25" t="inlineStr">
        <is>
          <t>Expense</t>
        </is>
      </c>
      <c r="C552" s="6" t="inlineStr">
        <is>
          <t>60605 - Fire Alarm Mo/Monitor</t>
        </is>
      </c>
      <c r="D552" s="22" t="n">
        <v>500</v>
      </c>
      <c r="E552" s="6" t="n"/>
    </row>
    <row r="553">
      <c r="A553" s="6" t="inlineStr">
        <is>
          <t>5750 E. 58th Ave (R0091934) — FY2024</t>
        </is>
      </c>
      <c r="B553" s="25" t="inlineStr">
        <is>
          <t>Expense</t>
        </is>
      </c>
      <c r="C553" s="6" t="inlineStr">
        <is>
          <t>60610 - Fire Sprinkler, Alarm &amp; Extinguisher Inspection</t>
        </is>
      </c>
      <c r="D553" s="22" t="n">
        <v>321</v>
      </c>
      <c r="E553" s="6" t="n"/>
    </row>
    <row r="554">
      <c r="A554" s="6" t="inlineStr">
        <is>
          <t>5750 E. 58th Ave (R0091934) — FY2024</t>
        </is>
      </c>
      <c r="B554" s="25" t="inlineStr">
        <is>
          <t>Expense</t>
        </is>
      </c>
      <c r="C554" s="6" t="inlineStr">
        <is>
          <t>60615 - Fire Sprinkler Alarm &amp; Extinguisher R&amp;M</t>
        </is>
      </c>
      <c r="D554" s="22" t="n">
        <v>400.62</v>
      </c>
      <c r="E554" s="6" t="n"/>
    </row>
    <row r="555">
      <c r="A555" s="6" t="inlineStr">
        <is>
          <t>5750 E. 58th Ave (R0091934) — FY2024</t>
        </is>
      </c>
      <c r="B555" s="25" t="inlineStr">
        <is>
          <t>Expense</t>
        </is>
      </c>
      <c r="C555" s="6" t="inlineStr">
        <is>
          <t>60905 - Wages R&amp;M</t>
        </is>
      </c>
      <c r="D555" s="22" t="n">
        <v>6982.84</v>
      </c>
      <c r="E555" s="6" t="n"/>
    </row>
    <row r="556">
      <c r="A556" s="6" t="inlineStr">
        <is>
          <t>5750 E. 58th Ave (R0091934) — FY2024</t>
        </is>
      </c>
      <c r="B556" s="25" t="inlineStr">
        <is>
          <t>Expense</t>
        </is>
      </c>
      <c r="C556" s="6" t="inlineStr">
        <is>
          <t>60915 - Maint Property Costs</t>
        </is>
      </c>
      <c r="D556" s="22" t="n">
        <v>1244.17</v>
      </c>
      <c r="E556" s="6" t="n"/>
    </row>
    <row r="557">
      <c r="A557" s="6" t="inlineStr">
        <is>
          <t>5750 E. 58th Ave (R0091934) — FY2024</t>
        </is>
      </c>
      <c r="B557" s="25" t="inlineStr">
        <is>
          <t>Expense</t>
        </is>
      </c>
      <c r="C557" s="6" t="inlineStr">
        <is>
          <t>60925 - Bldg Maint Supplies R&amp;M</t>
        </is>
      </c>
      <c r="D557" s="22" t="n">
        <v>6.42</v>
      </c>
      <c r="E557" s="6" t="n"/>
    </row>
    <row r="558">
      <c r="A558" s="6" t="inlineStr">
        <is>
          <t>5750 E. 58th Ave (R0091934) — FY2024</t>
        </is>
      </c>
      <c r="B558" s="25" t="inlineStr">
        <is>
          <t>Expense</t>
        </is>
      </c>
      <c r="C558" s="6" t="inlineStr">
        <is>
          <t>60940 - Signage CAM</t>
        </is>
      </c>
      <c r="D558" s="22" t="n">
        <v>19.78</v>
      </c>
      <c r="E558" s="6" t="n"/>
    </row>
    <row r="559">
      <c r="A559" s="6" t="inlineStr">
        <is>
          <t>5750 E. 58th Ave (R0091934) — FY2024</t>
        </is>
      </c>
      <c r="B559" s="25" t="inlineStr">
        <is>
          <t>Expense</t>
        </is>
      </c>
      <c r="C559" s="6" t="inlineStr">
        <is>
          <t>60955 - Management Fees</t>
        </is>
      </c>
      <c r="D559" s="22" t="n">
        <v>25178.89</v>
      </c>
      <c r="E559" s="6" t="n"/>
    </row>
    <row r="560">
      <c r="A560" s="6" t="inlineStr">
        <is>
          <t>5750 E. 58th Ave (R0091934) — FY2024</t>
        </is>
      </c>
      <c r="B560" s="25" t="inlineStr">
        <is>
          <t>Expense</t>
        </is>
      </c>
      <c r="C560" s="6" t="inlineStr">
        <is>
          <t>61015 - Tax Real Estate</t>
        </is>
      </c>
      <c r="D560" s="22" t="n">
        <v>105852</v>
      </c>
      <c r="E560" s="6" t="n"/>
    </row>
    <row r="561">
      <c r="A561" s="6" t="inlineStr">
        <is>
          <t>5750 E. 58th Ave (R0091934) — FY2024</t>
        </is>
      </c>
      <c r="B561" s="25" t="inlineStr">
        <is>
          <t>Expense</t>
        </is>
      </c>
      <c r="C561" s="6" t="inlineStr">
        <is>
          <t>61020 - Insurance</t>
        </is>
      </c>
      <c r="D561" s="22" t="n">
        <v>5897</v>
      </c>
      <c r="E561" s="6" t="n"/>
    </row>
    <row r="562">
      <c r="A562" s="11" t="inlineStr">
        <is>
          <t>5750 E. 58th Ave (R0091934) — FY2024</t>
        </is>
      </c>
      <c r="B562" s="26" t="inlineStr">
        <is>
          <t>Expense</t>
        </is>
      </c>
      <c r="C562" s="12" t="inlineStr">
        <is>
          <t>TOTAL OPERATING EXPENSES</t>
        </is>
      </c>
      <c r="D562" s="23">
        <f>SUM(D540:D561)</f>
        <v/>
      </c>
      <c r="E562" s="18" t="inlineStr">
        <is>
          <t>Printed total: $163,679.88. Property NOI $334,307.37. Zero-value accounts omitted. Sterling letter recast: RE Taxes $105,852 + CAM Reimbursable $57,828 + CAM Non-Reimbursable $2,041 = $165,721.</t>
        </is>
      </c>
    </row>
    <row r="563">
      <c r="A563" s="6" t="inlineStr">
        <is>
          <t>5750 E. 58th Ave (R0091934) — FY2024</t>
        </is>
      </c>
      <c r="B563" s="25" t="inlineStr">
        <is>
          <t>Memo (below NOI)</t>
        </is>
      </c>
      <c r="C563" s="6" t="inlineStr">
        <is>
          <t>Total Non-CAM Expenses</t>
        </is>
      </c>
      <c r="D563" s="22" t="n">
        <v>11946.49</v>
      </c>
      <c r="E563" s="6" t="inlineStr">
        <is>
          <t>Below Total Operating Expenses; not in the total above</t>
        </is>
      </c>
    </row>
    <row r="564">
      <c r="A564" s="6" t="inlineStr">
        <is>
          <t>5750 E. 58th Ave (R0091934) — FY2024</t>
        </is>
      </c>
      <c r="B564" s="25" t="inlineStr">
        <is>
          <t>Memo (below NOI)</t>
        </is>
      </c>
      <c r="C564" s="6" t="inlineStr">
        <is>
          <t>Net Operating Income (after non-CAM)</t>
        </is>
      </c>
      <c r="D564" s="22" t="n">
        <v>322360.88</v>
      </c>
      <c r="E564" s="6" t="inlineStr">
        <is>
          <t>Below Total Operating Expenses; not in the total above</t>
        </is>
      </c>
    </row>
    <row r="565">
      <c r="A565" s="6" t="inlineStr">
        <is>
          <t>5750 E. 58th Ave (R0091934) — FY2024</t>
        </is>
      </c>
      <c r="B565" s="25" t="inlineStr">
        <is>
          <t>Memo (below NOI)</t>
        </is>
      </c>
      <c r="C565" s="6" t="inlineStr">
        <is>
          <t>Mortgage Interest</t>
        </is>
      </c>
      <c r="D565" s="22" t="n">
        <v>71852.17</v>
      </c>
      <c r="E565" s="6" t="inlineStr">
        <is>
          <t>Below Total Operating Expenses; not in the total above</t>
        </is>
      </c>
    </row>
    <row r="566">
      <c r="A566" s="6" t="inlineStr">
        <is>
          <t>5750 E. 58th Ave (R0091934) — FY2024</t>
        </is>
      </c>
      <c r="B566" s="25" t="inlineStr">
        <is>
          <t>Memo (below NOI)</t>
        </is>
      </c>
      <c r="C566" s="6" t="inlineStr">
        <is>
          <t>Total Depreciation &amp; Amortization</t>
        </is>
      </c>
      <c r="D566" s="22" t="n">
        <v>23346</v>
      </c>
      <c r="E566" s="6" t="inlineStr">
        <is>
          <t>Below Total Operating Expenses; not in the total above</t>
        </is>
      </c>
    </row>
    <row r="567">
      <c r="A567" s="6" t="inlineStr">
        <is>
          <t>5750 E. 58th Ave (R0091934) — FY2024</t>
        </is>
      </c>
      <c r="B567" s="25" t="inlineStr">
        <is>
          <t>Memo (below NOI)</t>
        </is>
      </c>
      <c r="C567" s="6" t="inlineStr">
        <is>
          <t>Net Income</t>
        </is>
      </c>
      <c r="D567" s="22" t="n">
        <v>227162.71</v>
      </c>
      <c r="E567" s="6" t="inlineStr">
        <is>
          <t>Below Total Operating Expenses; not in the total above</t>
        </is>
      </c>
    </row>
    <row r="568">
      <c r="A568" s="6" t="inlineStr">
        <is>
          <t>6475 E. 56th Ave (R0091912) — FY2021</t>
        </is>
      </c>
      <c r="B568" s="25" t="inlineStr">
        <is>
          <t>Income</t>
        </is>
      </c>
      <c r="C568" s="6" t="inlineStr">
        <is>
          <t>Gross rents (Form 8825 line 2)</t>
        </is>
      </c>
      <c r="D568" s="22" t="n">
        <v>111569</v>
      </c>
      <c r="E568" s="6" t="n"/>
    </row>
    <row r="569">
      <c r="A569" s="11" t="inlineStr">
        <is>
          <t>6475 E. 56th Ave (R0091912) — FY2021</t>
        </is>
      </c>
      <c r="B569" s="26" t="inlineStr">
        <is>
          <t>Income</t>
        </is>
      </c>
      <c r="C569" s="12" t="inlineStr">
        <is>
          <t>TOTAL INCOME</t>
        </is>
      </c>
      <c r="D569" s="23">
        <f>SUM(D568:D568)</f>
        <v/>
      </c>
      <c r="E569" s="18" t="inlineStr">
        <is>
          <t>Printed total: $111,569.00. Single tenant McElroy Metal Mill Inc. dba Metal Mart.</t>
        </is>
      </c>
    </row>
    <row r="570">
      <c r="A570" s="6" t="inlineStr">
        <is>
          <t>6475 E. 56th Ave (R0091912) — FY2021</t>
        </is>
      </c>
      <c r="B570" s="25" t="inlineStr">
        <is>
          <t>Expense</t>
        </is>
      </c>
      <c r="C570" s="6" t="inlineStr">
        <is>
          <t>Insurance</t>
        </is>
      </c>
      <c r="D570" s="22" t="n">
        <v>2813</v>
      </c>
      <c r="E570" s="6" t="n"/>
    </row>
    <row r="571">
      <c r="A571" s="6" t="inlineStr">
        <is>
          <t>6475 E. 56th Ave (R0091912) — FY2021</t>
        </is>
      </c>
      <c r="B571" s="25" t="inlineStr">
        <is>
          <t>Expense</t>
        </is>
      </c>
      <c r="C571" s="6" t="inlineStr">
        <is>
          <t>Legal and other professional fees</t>
        </is>
      </c>
      <c r="D571" s="22" t="n">
        <v>5080</v>
      </c>
      <c r="E571" s="6" t="n"/>
    </row>
    <row r="572">
      <c r="A572" s="6" t="inlineStr">
        <is>
          <t>6475 E. 56th Ave (R0091912) — FY2021</t>
        </is>
      </c>
      <c r="B572" s="25" t="inlineStr">
        <is>
          <t>Expense</t>
        </is>
      </c>
      <c r="C572" s="6" t="inlineStr">
        <is>
          <t>Taxes</t>
        </is>
      </c>
      <c r="D572" s="22" t="n">
        <v>20451</v>
      </c>
      <c r="E572" s="6" t="n"/>
    </row>
    <row r="573">
      <c r="A573" s="6" t="inlineStr">
        <is>
          <t>6475 E. 56th Ave (R0091912) — FY2021</t>
        </is>
      </c>
      <c r="B573" s="25" t="inlineStr">
        <is>
          <t>Expense</t>
        </is>
      </c>
      <c r="C573" s="6" t="inlineStr">
        <is>
          <t>Depreciation</t>
        </is>
      </c>
      <c r="D573" s="22" t="n">
        <v>14648</v>
      </c>
      <c r="E573" s="6" t="n"/>
    </row>
    <row r="574">
      <c r="A574" s="11" t="inlineStr">
        <is>
          <t>6475 E. 56th Ave (R0091912) — FY2021</t>
        </is>
      </c>
      <c r="B574" s="26" t="inlineStr">
        <is>
          <t>Expense</t>
        </is>
      </c>
      <c r="C574" s="12" t="inlineStr">
        <is>
          <t>TOTAL EXPENSE</t>
        </is>
      </c>
      <c r="D574" s="23">
        <f>SUM(D570:D573)</f>
        <v/>
      </c>
      <c r="E574" s="18" t="inlineStr">
        <is>
          <t>Printed total: $42,992.00. IRS Form 8825 tax basis; net rental real estate income $68,577.</t>
        </is>
      </c>
    </row>
    <row r="575">
      <c r="A575" s="6" t="inlineStr">
        <is>
          <t>6475 E. 56th Ave (R0091912) — FY2022</t>
        </is>
      </c>
      <c r="B575" s="25" t="inlineStr">
        <is>
          <t>Income</t>
        </is>
      </c>
      <c r="C575" s="6" t="inlineStr">
        <is>
          <t>Gross rents (Form 8825 line 2)</t>
        </is>
      </c>
      <c r="D575" s="22" t="n">
        <v>160750</v>
      </c>
      <c r="E575" s="6" t="n"/>
    </row>
    <row r="576">
      <c r="A576" s="11" t="inlineStr">
        <is>
          <t>6475 E. 56th Ave (R0091912) — FY2022</t>
        </is>
      </c>
      <c r="B576" s="26" t="inlineStr">
        <is>
          <t>Income</t>
        </is>
      </c>
      <c r="C576" s="12" t="inlineStr">
        <is>
          <t>TOTAL INCOME</t>
        </is>
      </c>
      <c r="D576" s="23">
        <f>SUM(D575:D575)</f>
        <v/>
      </c>
      <c r="E576" s="18" t="inlineStr">
        <is>
          <t>Printed total: $160,750.00. Single tenant McElroy Metal Mill Inc. dba Metal Mart.</t>
        </is>
      </c>
    </row>
    <row r="577">
      <c r="A577" s="6" t="inlineStr">
        <is>
          <t>6475 E. 56th Ave (R0091912) — FY2022</t>
        </is>
      </c>
      <c r="B577" s="25" t="inlineStr">
        <is>
          <t>Expense</t>
        </is>
      </c>
      <c r="C577" s="6" t="inlineStr">
        <is>
          <t>Insurance</t>
        </is>
      </c>
      <c r="D577" s="22" t="n">
        <v>3199</v>
      </c>
      <c r="E577" s="6" t="n"/>
    </row>
    <row r="578">
      <c r="A578" s="6" t="inlineStr">
        <is>
          <t>6475 E. 56th Ave (R0091912) — FY2022</t>
        </is>
      </c>
      <c r="B578" s="25" t="inlineStr">
        <is>
          <t>Expense</t>
        </is>
      </c>
      <c r="C578" s="6" t="inlineStr">
        <is>
          <t>Legal and other professional fees</t>
        </is>
      </c>
      <c r="D578" s="22" t="n">
        <v>630</v>
      </c>
      <c r="E578" s="6" t="n"/>
    </row>
    <row r="579">
      <c r="A579" s="6" t="inlineStr">
        <is>
          <t>6475 E. 56th Ave (R0091912) — FY2022</t>
        </is>
      </c>
      <c r="B579" s="25" t="inlineStr">
        <is>
          <t>Expense</t>
        </is>
      </c>
      <c r="C579" s="6" t="inlineStr">
        <is>
          <t>Repairs</t>
        </is>
      </c>
      <c r="D579" s="22" t="n">
        <v>7332</v>
      </c>
      <c r="E579" s="6" t="n"/>
    </row>
    <row r="580">
      <c r="A580" s="6" t="inlineStr">
        <is>
          <t>6475 E. 56th Ave (R0091912) — FY2022</t>
        </is>
      </c>
      <c r="B580" s="25" t="inlineStr">
        <is>
          <t>Expense</t>
        </is>
      </c>
      <c r="C580" s="6" t="inlineStr">
        <is>
          <t>Taxes</t>
        </is>
      </c>
      <c r="D580" s="22" t="n">
        <v>30841</v>
      </c>
      <c r="E580" s="6" t="n"/>
    </row>
    <row r="581">
      <c r="A581" s="6" t="inlineStr">
        <is>
          <t>6475 E. 56th Ave (R0091912) — FY2022</t>
        </is>
      </c>
      <c r="B581" s="25" t="inlineStr">
        <is>
          <t>Expense</t>
        </is>
      </c>
      <c r="C581" s="6" t="inlineStr">
        <is>
          <t>Depreciation</t>
        </is>
      </c>
      <c r="D581" s="22" t="n">
        <v>14648</v>
      </c>
      <c r="E581" s="6" t="n"/>
    </row>
    <row r="582">
      <c r="A582" s="6" t="inlineStr">
        <is>
          <t>6475 E. 56th Ave (R0091912) — FY2022</t>
        </is>
      </c>
      <c r="B582" s="25" t="inlineStr">
        <is>
          <t>Expense</t>
        </is>
      </c>
      <c r="C582" s="6" t="inlineStr">
        <is>
          <t>Other (Statement #7)</t>
        </is>
      </c>
      <c r="D582" s="22" t="n">
        <v>8</v>
      </c>
      <c r="E582" s="6" t="n"/>
    </row>
    <row r="583">
      <c r="A583" s="11" t="inlineStr">
        <is>
          <t>6475 E. 56th Ave (R0091912) — FY2022</t>
        </is>
      </c>
      <c r="B583" s="26" t="inlineStr">
        <is>
          <t>Expense</t>
        </is>
      </c>
      <c r="C583" s="12" t="inlineStr">
        <is>
          <t>TOTAL EXPENSE</t>
        </is>
      </c>
      <c r="D583" s="23">
        <f>SUM(D577:D582)</f>
        <v/>
      </c>
      <c r="E583" s="18" t="inlineStr">
        <is>
          <t>Printed total: $56,658.00. IRS Form 8825 tax basis; net rental real estate income $104,092.</t>
        </is>
      </c>
    </row>
    <row r="584">
      <c r="A584" s="6" t="inlineStr">
        <is>
          <t>6475 E. 56th Ave (R0091912) — FY2023</t>
        </is>
      </c>
      <c r="B584" s="25" t="inlineStr">
        <is>
          <t>Income</t>
        </is>
      </c>
      <c r="C584" s="6" t="inlineStr">
        <is>
          <t>Gross rents (Form 8825 line 2)</t>
        </is>
      </c>
      <c r="D584" s="22" t="n">
        <v>165437</v>
      </c>
      <c r="E584" s="6" t="n"/>
    </row>
    <row r="585">
      <c r="A585" s="11" t="inlineStr">
        <is>
          <t>6475 E. 56th Ave (R0091912) — FY2023</t>
        </is>
      </c>
      <c r="B585" s="26" t="inlineStr">
        <is>
          <t>Income</t>
        </is>
      </c>
      <c r="C585" s="12" t="inlineStr">
        <is>
          <t>TOTAL INCOME</t>
        </is>
      </c>
      <c r="D585" s="23">
        <f>SUM(D584:D584)</f>
        <v/>
      </c>
      <c r="E585" s="18" t="inlineStr">
        <is>
          <t>Printed total: $165,437.00. Single tenant McElroy Metal Mill Inc. dba Metal Mart.</t>
        </is>
      </c>
    </row>
    <row r="586">
      <c r="A586" s="6" t="inlineStr">
        <is>
          <t>6475 E. 56th Ave (R0091912) — FY2023</t>
        </is>
      </c>
      <c r="B586" s="25" t="inlineStr">
        <is>
          <t>Expense</t>
        </is>
      </c>
      <c r="C586" s="6" t="inlineStr">
        <is>
          <t>Insurance</t>
        </is>
      </c>
      <c r="D586" s="22" t="n">
        <v>2896</v>
      </c>
      <c r="E586" s="6" t="n"/>
    </row>
    <row r="587">
      <c r="A587" s="6" t="inlineStr">
        <is>
          <t>6475 E. 56th Ave (R0091912) — FY2023</t>
        </is>
      </c>
      <c r="B587" s="25" t="inlineStr">
        <is>
          <t>Expense</t>
        </is>
      </c>
      <c r="C587" s="6" t="inlineStr">
        <is>
          <t>Legal and other professional fees</t>
        </is>
      </c>
      <c r="D587" s="22" t="n">
        <v>2313</v>
      </c>
      <c r="E587" s="6" t="n"/>
    </row>
    <row r="588">
      <c r="A588" s="6" t="inlineStr">
        <is>
          <t>6475 E. 56th Ave (R0091912) — FY2023</t>
        </is>
      </c>
      <c r="B588" s="25" t="inlineStr">
        <is>
          <t>Expense</t>
        </is>
      </c>
      <c r="C588" s="6" t="inlineStr">
        <is>
          <t>Repairs</t>
        </is>
      </c>
      <c r="D588" s="22" t="n">
        <v>1056</v>
      </c>
      <c r="E588" s="6" t="n"/>
    </row>
    <row r="589">
      <c r="A589" s="6" t="inlineStr">
        <is>
          <t>6475 E. 56th Ave (R0091912) — FY2023</t>
        </is>
      </c>
      <c r="B589" s="25" t="inlineStr">
        <is>
          <t>Expense</t>
        </is>
      </c>
      <c r="C589" s="6" t="inlineStr">
        <is>
          <t>Taxes</t>
        </is>
      </c>
      <c r="D589" s="22" t="n">
        <v>31278</v>
      </c>
      <c r="E589" s="6" t="n"/>
    </row>
    <row r="590">
      <c r="A590" s="6" t="inlineStr">
        <is>
          <t>6475 E. 56th Ave (R0091912) — FY2023</t>
        </is>
      </c>
      <c r="B590" s="25" t="inlineStr">
        <is>
          <t>Expense</t>
        </is>
      </c>
      <c r="C590" s="6" t="inlineStr">
        <is>
          <t>Depreciation</t>
        </is>
      </c>
      <c r="D590" s="22" t="n">
        <v>14648</v>
      </c>
      <c r="E590" s="6" t="n"/>
    </row>
    <row r="591">
      <c r="A591" s="6" t="inlineStr">
        <is>
          <t>6475 E. 56th Ave (R0091912) — FY2023</t>
        </is>
      </c>
      <c r="B591" s="25" t="inlineStr">
        <is>
          <t>Expense</t>
        </is>
      </c>
      <c r="C591" s="6" t="inlineStr">
        <is>
          <t>Other (Statement #6)</t>
        </is>
      </c>
      <c r="D591" s="22" t="n">
        <v>24</v>
      </c>
      <c r="E591" s="6" t="n"/>
    </row>
    <row r="592">
      <c r="A592" s="11" t="inlineStr">
        <is>
          <t>6475 E. 56th Ave (R0091912) — FY2023</t>
        </is>
      </c>
      <c r="B592" s="26" t="inlineStr">
        <is>
          <t>Expense</t>
        </is>
      </c>
      <c r="C592" s="12" t="inlineStr">
        <is>
          <t>TOTAL EXPENSE</t>
        </is>
      </c>
      <c r="D592" s="23">
        <f>SUM(D586:D591)</f>
        <v/>
      </c>
      <c r="E592" s="18" t="inlineStr">
        <is>
          <t>Printed total: $52,215.00. IRS Form 8825 tax basis; net rental real estate income $113,222.</t>
        </is>
      </c>
    </row>
    <row r="593">
      <c r="A593" s="6" t="inlineStr">
        <is>
          <t>6475 E. 56th Ave (R0091912) — FY2024</t>
        </is>
      </c>
      <c r="B593" s="25" t="inlineStr">
        <is>
          <t>Income</t>
        </is>
      </c>
      <c r="C593" s="6" t="inlineStr">
        <is>
          <t>Gross rents (Form 8825 line 2)</t>
        </is>
      </c>
      <c r="D593" s="22" t="n">
        <v>171406</v>
      </c>
      <c r="E593" s="6" t="n"/>
    </row>
    <row r="594">
      <c r="A594" s="11" t="inlineStr">
        <is>
          <t>6475 E. 56th Ave (R0091912) — FY2024</t>
        </is>
      </c>
      <c r="B594" s="26" t="inlineStr">
        <is>
          <t>Income</t>
        </is>
      </c>
      <c r="C594" s="12" t="inlineStr">
        <is>
          <t>TOTAL INCOME</t>
        </is>
      </c>
      <c r="D594" s="23">
        <f>SUM(D593:D593)</f>
        <v/>
      </c>
      <c r="E594" s="18" t="inlineStr">
        <is>
          <t>Printed total: $171,406.00. Single tenant McElroy Metal Mill Inc. dba Metal Mart.</t>
        </is>
      </c>
    </row>
    <row r="595">
      <c r="A595" s="6" t="inlineStr">
        <is>
          <t>6475 E. 56th Ave (R0091912) — FY2024</t>
        </is>
      </c>
      <c r="B595" s="25" t="inlineStr">
        <is>
          <t>Expense</t>
        </is>
      </c>
      <c r="C595" s="6" t="inlineStr">
        <is>
          <t>Insurance</t>
        </is>
      </c>
      <c r="D595" s="22" t="n">
        <v>3922</v>
      </c>
      <c r="E595" s="6" t="n"/>
    </row>
    <row r="596">
      <c r="A596" s="6" t="inlineStr">
        <is>
          <t>6475 E. 56th Ave (R0091912) — FY2024</t>
        </is>
      </c>
      <c r="B596" s="25" t="inlineStr">
        <is>
          <t>Expense</t>
        </is>
      </c>
      <c r="C596" s="6" t="inlineStr">
        <is>
          <t>Legal and other professional fees</t>
        </is>
      </c>
      <c r="D596" s="22" t="n">
        <v>650</v>
      </c>
      <c r="E596" s="6" t="n"/>
    </row>
    <row r="597">
      <c r="A597" s="6" t="inlineStr">
        <is>
          <t>6475 E. 56th Ave (R0091912) — FY2024</t>
        </is>
      </c>
      <c r="B597" s="25" t="inlineStr">
        <is>
          <t>Expense</t>
        </is>
      </c>
      <c r="C597" s="6" t="inlineStr">
        <is>
          <t>Taxes</t>
        </is>
      </c>
      <c r="D597" s="22" t="n">
        <v>37247</v>
      </c>
      <c r="E597" s="6" t="n"/>
    </row>
    <row r="598">
      <c r="A598" s="6" t="inlineStr">
        <is>
          <t>6475 E. 56th Ave (R0091912) — FY2024</t>
        </is>
      </c>
      <c r="B598" s="25" t="inlineStr">
        <is>
          <t>Expense</t>
        </is>
      </c>
      <c r="C598" s="6" t="inlineStr">
        <is>
          <t>Depreciation</t>
        </is>
      </c>
      <c r="D598" s="22" t="n">
        <v>14648</v>
      </c>
      <c r="E598" s="6" t="n"/>
    </row>
    <row r="599">
      <c r="A599" s="6" t="inlineStr">
        <is>
          <t>6475 E. 56th Ave (R0091912) — FY2024</t>
        </is>
      </c>
      <c r="B599" s="25" t="inlineStr">
        <is>
          <t>Expense</t>
        </is>
      </c>
      <c r="C599" s="6" t="inlineStr">
        <is>
          <t>Other (Statement #6) - bank charges $24 + office expenses $1,101</t>
        </is>
      </c>
      <c r="D599" s="22" t="n">
        <v>1125</v>
      </c>
      <c r="E599" s="6" t="n"/>
    </row>
    <row r="600">
      <c r="A600" s="11" t="inlineStr">
        <is>
          <t>6475 E. 56th Ave (R0091912) — FY2024</t>
        </is>
      </c>
      <c r="B600" s="26" t="inlineStr">
        <is>
          <t>Expense</t>
        </is>
      </c>
      <c r="C600" s="12" t="inlineStr">
        <is>
          <t>TOTAL EXPENSE</t>
        </is>
      </c>
      <c r="D600" s="23">
        <f>SUM(D595:D599)</f>
        <v/>
      </c>
      <c r="E600" s="18" t="inlineStr">
        <is>
          <t>Printed total: $57,592.00. IRS Form 8825 tax basis; net rental real estate income $113,814.</t>
        </is>
      </c>
    </row>
    <row r="601">
      <c r="A601" s="6" t="inlineStr">
        <is>
          <t>6475 Franklin St (R0098149) — CY2023</t>
        </is>
      </c>
      <c r="B601" s="25" t="inlineStr">
        <is>
          <t>Expense</t>
        </is>
      </c>
      <c r="C601" s="6" t="inlineStr">
        <is>
          <t>Building Insurance</t>
        </is>
      </c>
      <c r="D601" s="22" t="n">
        <v>11442</v>
      </c>
      <c r="E601" s="6" t="n"/>
    </row>
    <row r="602">
      <c r="A602" s="6" t="inlineStr">
        <is>
          <t>6475 Franklin St (R0098149) — CY2023</t>
        </is>
      </c>
      <c r="B602" s="25" t="inlineStr">
        <is>
          <t>Expense</t>
        </is>
      </c>
      <c r="C602" s="6" t="inlineStr">
        <is>
          <t>Building Repair &amp; Maintenance</t>
        </is>
      </c>
      <c r="D602" s="22" t="n">
        <v>15517</v>
      </c>
      <c r="E602" s="6" t="n"/>
    </row>
    <row r="603">
      <c r="A603" s="6" t="inlineStr">
        <is>
          <t>6475 Franklin St (R0098149) — CY2023</t>
        </is>
      </c>
      <c r="B603" s="25" t="inlineStr">
        <is>
          <t>Expense</t>
        </is>
      </c>
      <c r="C603" s="6" t="inlineStr">
        <is>
          <t>Ground Maintenance</t>
        </is>
      </c>
      <c r="D603" s="22" t="n">
        <v>3465</v>
      </c>
      <c r="E603" s="6" t="n"/>
    </row>
    <row r="604">
      <c r="A604" s="6" t="inlineStr">
        <is>
          <t>6475 Franklin St (R0098149) — CY2023</t>
        </is>
      </c>
      <c r="B604" s="25" t="inlineStr">
        <is>
          <t>Expense</t>
        </is>
      </c>
      <c r="C604" s="6" t="inlineStr">
        <is>
          <t>Utilities</t>
        </is>
      </c>
      <c r="D604" s="22" t="n">
        <v>36121</v>
      </c>
      <c r="E604" s="6" t="n"/>
    </row>
    <row r="605">
      <c r="A605" s="6" t="inlineStr">
        <is>
          <t>6475 Franklin St (R0098149) — CY2023</t>
        </is>
      </c>
      <c r="B605" s="25" t="inlineStr">
        <is>
          <t>Expense</t>
        </is>
      </c>
      <c r="C605" s="6" t="inlineStr">
        <is>
          <t>Property Taxes</t>
        </is>
      </c>
      <c r="D605" s="22" t="n">
        <v>90477</v>
      </c>
      <c r="E605" s="6" t="n"/>
    </row>
    <row r="606">
      <c r="A606" s="6" t="inlineStr">
        <is>
          <t>6475 Franklin St (R0098149) — CY2023</t>
        </is>
      </c>
      <c r="B606" s="25" t="inlineStr">
        <is>
          <t>Expense</t>
        </is>
      </c>
      <c r="C606" s="6" t="inlineStr">
        <is>
          <t>Bank Fees</t>
        </is>
      </c>
      <c r="D606" s="22" t="n">
        <v>151</v>
      </c>
      <c r="E606" s="6" t="n"/>
    </row>
    <row r="607">
      <c r="A607" s="11" t="inlineStr">
        <is>
          <t>6475 Franklin St (R0098149) — CY2023</t>
        </is>
      </c>
      <c r="B607" s="26" t="inlineStr">
        <is>
          <t>Expense</t>
        </is>
      </c>
      <c r="C607" s="12" t="inlineStr">
        <is>
          <t>TOTAL EXPENSE</t>
        </is>
      </c>
      <c r="D607" s="23">
        <f>SUM(D601:D606)</f>
        <v/>
      </c>
      <c r="E607" s="18" t="inlineStr">
        <is>
          <t>Printed total: $157,173.00. Adams County 2024 Commercial-Industrial Income &amp; Expense Survey (received 11/1/2024). Owner/landlord column only; tenant column blank (100% owner-occupied, 30,000 SF). Operating-expense grid subtotal $66,545; property taxes and bank fees were written on the Comments line. No total is printed on the form — this =SUM is computed.</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4"/>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Portfolio parcel schedules attached to source packages (North Side Gardens; Winner Storage/CubeSmart PTA; Dahn Corporation) — subject parcels highlighted</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2">
      <c r="A12" s="4" t="inlineStr">
        <is>
          <t>Winner Storage / CubeSmart PTA portfolio — schedule attached to R0085571 LOA (Ryan LLC, 2025/2026)</t>
        </is>
      </c>
      <c r="B12" s="20" t="n"/>
      <c r="C12" s="20" t="n"/>
      <c r="D12" s="20" t="n"/>
      <c r="E12" s="21" t="n"/>
    </row>
    <row r="13">
      <c r="A13" s="6" t="inlineStr">
        <is>
          <t>Lamar Owner LLC</t>
        </is>
      </c>
      <c r="B13" s="5" t="inlineStr">
        <is>
          <t>300506230</t>
        </is>
      </c>
      <c r="C13" s="6" t="inlineStr">
        <is>
          <t>9839 W 60th Ave</t>
        </is>
      </c>
      <c r="D13" s="5" t="inlineStr">
        <is>
          <t>Jefferson County</t>
        </is>
      </c>
      <c r="E13" s="5" t="inlineStr">
        <is>
          <t>CO</t>
        </is>
      </c>
    </row>
    <row r="14">
      <c r="A14" s="12" t="inlineStr">
        <is>
          <t>Winner Storage LLC/PTA USI No 730</t>
        </is>
      </c>
      <c r="B14" s="24" t="inlineStr">
        <is>
          <t>0182132318001</t>
        </is>
      </c>
      <c r="C14" s="12" t="inlineStr">
        <is>
          <t>15413 E 18th Ave</t>
        </is>
      </c>
      <c r="D14" s="24" t="inlineStr">
        <is>
          <t>Adams County</t>
        </is>
      </c>
      <c r="E14" s="24" t="inlineStr">
        <is>
          <t>CO</t>
        </is>
      </c>
    </row>
    <row r="15">
      <c r="A15" s="6" t="inlineStr">
        <is>
          <t>Winner Storage LLC</t>
        </is>
      </c>
      <c r="B15" s="5" t="inlineStr">
        <is>
          <t>033895533</t>
        </is>
      </c>
      <c r="C15" s="6" t="inlineStr">
        <is>
          <t>N/A</t>
        </is>
      </c>
      <c r="D15" s="5" t="inlineStr">
        <is>
          <t>Arapahoe County</t>
        </is>
      </c>
      <c r="E15" s="5" t="inlineStr">
        <is>
          <t>CO</t>
        </is>
      </c>
    </row>
    <row r="16">
      <c r="A16" s="6" t="inlineStr">
        <is>
          <t>Winner Storage LLC</t>
        </is>
      </c>
      <c r="B16" s="5" t="inlineStr">
        <is>
          <t>033895541</t>
        </is>
      </c>
      <c r="C16" s="6" t="inlineStr">
        <is>
          <t>14706 E 4th Ave</t>
        </is>
      </c>
      <c r="D16" s="5" t="inlineStr">
        <is>
          <t>Arapahoe County</t>
        </is>
      </c>
      <c r="E16" s="5" t="inlineStr">
        <is>
          <t>CO</t>
        </is>
      </c>
    </row>
    <row r="17">
      <c r="A17" s="12" t="inlineStr">
        <is>
          <t>Winner Storage LLC/PTA USI No 731</t>
        </is>
      </c>
      <c r="B17" s="24" t="inlineStr">
        <is>
          <t>0182131405022</t>
        </is>
      </c>
      <c r="C17" s="12" t="inlineStr">
        <is>
          <t>1540 Altura Blvd</t>
        </is>
      </c>
      <c r="D17" s="24" t="inlineStr">
        <is>
          <t>Adams County</t>
        </is>
      </c>
      <c r="E17" s="24" t="inlineStr">
        <is>
          <t>CO</t>
        </is>
      </c>
    </row>
    <row r="18">
      <c r="A18" s="6" t="inlineStr">
        <is>
          <t>Winner Storage LLC</t>
        </is>
      </c>
      <c r="B18" s="5" t="inlineStr">
        <is>
          <t>033902769</t>
        </is>
      </c>
      <c r="C18" s="6" t="inlineStr">
        <is>
          <t>1800 S Chambers Rd</t>
        </is>
      </c>
      <c r="D18" s="5" t="inlineStr">
        <is>
          <t>Arapahoe County</t>
        </is>
      </c>
      <c r="E18" s="5" t="inlineStr">
        <is>
          <t>CO</t>
        </is>
      </c>
    </row>
    <row r="19">
      <c r="A19" s="6" t="inlineStr">
        <is>
          <t>Winner Storage LLC</t>
        </is>
      </c>
      <c r="B19" s="5" t="inlineStr">
        <is>
          <t>033902785</t>
        </is>
      </c>
      <c r="C19" s="6" t="inlineStr">
        <is>
          <t>1815 S Helena St</t>
        </is>
      </c>
      <c r="D19" s="5" t="inlineStr">
        <is>
          <t>Arapahoe County</t>
        </is>
      </c>
      <c r="E19" s="5" t="inlineStr">
        <is>
          <t>CO</t>
        </is>
      </c>
    </row>
    <row r="20">
      <c r="A20" s="6" t="inlineStr">
        <is>
          <t>Neighborhood Self Storage LLC</t>
        </is>
      </c>
      <c r="B20" s="5" t="inlineStr">
        <is>
          <t>032382996</t>
        </is>
      </c>
      <c r="C20" s="6" t="inlineStr">
        <is>
          <t>2900 S Havana St</t>
        </is>
      </c>
      <c r="D20" s="5" t="inlineStr">
        <is>
          <t>Arapahoe County</t>
        </is>
      </c>
      <c r="E20" s="5" t="inlineStr">
        <is>
          <t>CO</t>
        </is>
      </c>
    </row>
    <row r="21">
      <c r="A21" s="6" t="inlineStr">
        <is>
          <t>Neighborhood Self Storage LLC</t>
        </is>
      </c>
      <c r="B21" s="5" t="inlineStr">
        <is>
          <t>032383003</t>
        </is>
      </c>
      <c r="C21" s="6" t="inlineStr">
        <is>
          <t>2902 S Havana St</t>
        </is>
      </c>
      <c r="D21" s="5" t="inlineStr">
        <is>
          <t>Arapahoe County</t>
        </is>
      </c>
      <c r="E21" s="5" t="inlineStr">
        <is>
          <t>CO</t>
        </is>
      </c>
    </row>
    <row r="22">
      <c r="A22" s="6" t="inlineStr">
        <is>
          <t>Cubesmart LP</t>
        </is>
      </c>
      <c r="B22" s="5" t="inlineStr">
        <is>
          <t>032879254</t>
        </is>
      </c>
      <c r="C22" s="6" t="inlineStr">
        <is>
          <t>5353 E County Line Rd</t>
        </is>
      </c>
      <c r="D22" s="5" t="inlineStr">
        <is>
          <t>Arapahoe County</t>
        </is>
      </c>
      <c r="E22" s="5" t="inlineStr">
        <is>
          <t>CO</t>
        </is>
      </c>
    </row>
    <row r="23">
      <c r="A23" s="6" t="inlineStr">
        <is>
          <t>Cubesmart LP</t>
        </is>
      </c>
      <c r="B23" s="5" t="inlineStr">
        <is>
          <t>034924396</t>
        </is>
      </c>
      <c r="C23" s="6" t="inlineStr">
        <is>
          <t>7059 S Kenton St</t>
        </is>
      </c>
      <c r="D23" s="5" t="inlineStr">
        <is>
          <t>Arapahoe County</t>
        </is>
      </c>
      <c r="E23" s="5" t="inlineStr">
        <is>
          <t>CO</t>
        </is>
      </c>
    </row>
    <row r="24">
      <c r="A24" s="6" t="inlineStr">
        <is>
          <t>Cubesmart LP</t>
        </is>
      </c>
      <c r="B24" s="5" t="inlineStr">
        <is>
          <t>6428404001</t>
        </is>
      </c>
      <c r="C24" s="6" t="inlineStr">
        <is>
          <t>2310 S Circle Dr</t>
        </is>
      </c>
      <c r="D24" s="5" t="inlineStr">
        <is>
          <t>El Paso County</t>
        </is>
      </c>
      <c r="E24" s="5" t="inlineStr">
        <is>
          <t>CO</t>
        </is>
      </c>
    </row>
    <row r="25">
      <c r="A25" s="6" t="inlineStr">
        <is>
          <t>U Store It</t>
        </is>
      </c>
      <c r="B25" s="5" t="inlineStr">
        <is>
          <t>6319402055</t>
        </is>
      </c>
      <c r="C25" s="6" t="inlineStr">
        <is>
          <t>380 E Garden Of The Gods Rd</t>
        </is>
      </c>
      <c r="D25" s="5" t="inlineStr">
        <is>
          <t>El Paso County</t>
        </is>
      </c>
      <c r="E25" s="5" t="inlineStr">
        <is>
          <t>CO</t>
        </is>
      </c>
    </row>
    <row r="26">
      <c r="A26" s="6" t="inlineStr">
        <is>
          <t>8700 Devonshire Storage LLC</t>
        </is>
      </c>
      <c r="B26" s="5" t="inlineStr">
        <is>
          <t>0171925204016</t>
        </is>
      </c>
      <c r="C26" s="6" t="inlineStr">
        <is>
          <t>8700 Devonshire Blvd</t>
        </is>
      </c>
      <c r="D26" s="5" t="inlineStr">
        <is>
          <t>Adams County</t>
        </is>
      </c>
      <c r="E26" s="5" t="inlineStr">
        <is>
          <t>CO</t>
        </is>
      </c>
    </row>
    <row r="27">
      <c r="A27" s="6" t="inlineStr">
        <is>
          <t>Cubesmart LP</t>
        </is>
      </c>
      <c r="B27" s="5" t="inlineStr">
        <is>
          <t>07032-00-036-000</t>
        </is>
      </c>
      <c r="C27" s="6" t="inlineStr">
        <is>
          <t>8930 E Hampden Ave</t>
        </is>
      </c>
      <c r="D27" s="5" t="inlineStr">
        <is>
          <t>Denver County</t>
        </is>
      </c>
      <c r="E27" s="5" t="inlineStr">
        <is>
          <t>CO</t>
        </is>
      </c>
    </row>
    <row r="28">
      <c r="A28" s="6" t="inlineStr">
        <is>
          <t>Cubesmart LP</t>
        </is>
      </c>
      <c r="B28" s="5" t="inlineStr">
        <is>
          <t>07032-00-038-000</t>
        </is>
      </c>
      <c r="C28" s="6" t="inlineStr">
        <is>
          <t>3540 S Yosemite St</t>
        </is>
      </c>
      <c r="D28" s="5" t="inlineStr">
        <is>
          <t>Denver County</t>
        </is>
      </c>
      <c r="E28" s="5" t="inlineStr">
        <is>
          <t>CO</t>
        </is>
      </c>
    </row>
    <row r="29">
      <c r="A29" s="6" t="inlineStr">
        <is>
          <t>U-store-it/Pta Usi No 769</t>
        </is>
      </c>
      <c r="B29" s="5" t="inlineStr">
        <is>
          <t>0182505401015</t>
        </is>
      </c>
      <c r="C29" s="6" t="inlineStr">
        <is>
          <t>6790 Federal Blvd</t>
        </is>
      </c>
      <c r="D29" s="5" t="inlineStr">
        <is>
          <t>Adams County</t>
        </is>
      </c>
      <c r="E29" s="5" t="inlineStr">
        <is>
          <t>CO</t>
        </is>
      </c>
    </row>
    <row r="30">
      <c r="A30" s="6" t="inlineStr">
        <is>
          <t>Cubesmart LP</t>
        </is>
      </c>
      <c r="B30" s="5" t="inlineStr">
        <is>
          <t>06172-00-031-000</t>
        </is>
      </c>
      <c r="C30" s="6" t="inlineStr">
        <is>
          <t>6150 Leetsdale Dr</t>
        </is>
      </c>
      <c r="D30" s="5" t="inlineStr">
        <is>
          <t>Denver County</t>
        </is>
      </c>
      <c r="E30" s="5" t="inlineStr">
        <is>
          <t>CO</t>
        </is>
      </c>
    </row>
    <row r="31">
      <c r="A31" s="6" t="inlineStr">
        <is>
          <t>Cubesmart LP C/O PTA - CS #229</t>
        </is>
      </c>
      <c r="B31" s="5" t="inlineStr">
        <is>
          <t>0171928108008</t>
        </is>
      </c>
      <c r="C31" s="6" t="inlineStr">
        <is>
          <t>8444 Pecos St</t>
        </is>
      </c>
      <c r="D31" s="5" t="inlineStr">
        <is>
          <t>Adams County</t>
        </is>
      </c>
      <c r="E31" s="5" t="inlineStr">
        <is>
          <t>CO</t>
        </is>
      </c>
    </row>
    <row r="32">
      <c r="A32" s="6" t="inlineStr">
        <is>
          <t>Cube Smart LP #229</t>
        </is>
      </c>
      <c r="B32" s="5" t="inlineStr">
        <is>
          <t>0171928108010</t>
        </is>
      </c>
      <c r="C32" s="6" t="inlineStr">
        <is>
          <t>8444 Pecos St</t>
        </is>
      </c>
      <c r="D32" s="5" t="inlineStr">
        <is>
          <t>Adams County</t>
        </is>
      </c>
      <c r="E32" s="5" t="inlineStr">
        <is>
          <t>CO</t>
        </is>
      </c>
    </row>
    <row r="33">
      <c r="A33" s="6" t="inlineStr">
        <is>
          <t>D Beeks Aurora Investments LLC</t>
        </is>
      </c>
      <c r="B33" s="5" t="inlineStr">
        <is>
          <t>031269288</t>
        </is>
      </c>
      <c r="C33" s="6" t="inlineStr">
        <is>
          <t>2125 Valentia Street</t>
        </is>
      </c>
      <c r="D33" s="5" t="inlineStr">
        <is>
          <t>Arapahoe County</t>
        </is>
      </c>
      <c r="E33" s="5" t="inlineStr">
        <is>
          <t>CO</t>
        </is>
      </c>
    </row>
    <row r="34">
      <c r="A34" s="6" t="inlineStr">
        <is>
          <t>Winner Storage LLC</t>
        </is>
      </c>
      <c r="B34" s="5" t="inlineStr">
        <is>
          <t>034003967</t>
        </is>
      </c>
      <c r="C34" s="6" t="inlineStr">
        <is>
          <t>1390 S Valentia St</t>
        </is>
      </c>
      <c r="D34" s="5" t="inlineStr">
        <is>
          <t>Arapahoe County</t>
        </is>
      </c>
      <c r="E34" s="5" t="inlineStr">
        <is>
          <t>CO</t>
        </is>
      </c>
    </row>
    <row r="35">
      <c r="A35" s="6" t="inlineStr">
        <is>
          <t>Winner Storage LLC</t>
        </is>
      </c>
      <c r="B35" s="5" t="inlineStr">
        <is>
          <t>300189566</t>
        </is>
      </c>
      <c r="C35" s="6" t="inlineStr">
        <is>
          <t>1733 S Wadsworth Blvd</t>
        </is>
      </c>
      <c r="D35" s="5" t="inlineStr">
        <is>
          <t>Jefferson County</t>
        </is>
      </c>
      <c r="E35" s="5" t="inlineStr">
        <is>
          <t>CO</t>
        </is>
      </c>
    </row>
    <row r="36">
      <c r="A36" s="6" t="inlineStr">
        <is>
          <t>Cubesmart LP</t>
        </is>
      </c>
      <c r="B36" s="5" t="inlineStr">
        <is>
          <t>031265631</t>
        </is>
      </c>
      <c r="C36" s="6" t="inlineStr">
        <is>
          <t>10303 E Warren Ave</t>
        </is>
      </c>
      <c r="D36" s="5" t="inlineStr">
        <is>
          <t>Arapahoe County</t>
        </is>
      </c>
      <c r="E36" s="5" t="inlineStr">
        <is>
          <t>CO</t>
        </is>
      </c>
    </row>
    <row r="37">
      <c r="A37" s="6" t="inlineStr">
        <is>
          <t>Winner Storage LLC</t>
        </is>
      </c>
      <c r="B37" s="5" t="inlineStr">
        <is>
          <t>031974674</t>
        </is>
      </c>
      <c r="C37" s="6" t="inlineStr">
        <is>
          <t>4120 S Federal Blvd</t>
        </is>
      </c>
      <c r="D37" s="5" t="inlineStr">
        <is>
          <t>Arapahoe County</t>
        </is>
      </c>
      <c r="E37" s="5" t="inlineStr">
        <is>
          <t>CO</t>
        </is>
      </c>
    </row>
    <row r="38">
      <c r="A38" s="6" t="inlineStr">
        <is>
          <t>Englewood Owner LLC</t>
        </is>
      </c>
      <c r="B38" s="5" t="inlineStr">
        <is>
          <t>035308359</t>
        </is>
      </c>
      <c r="C38" s="6" t="inlineStr">
        <is>
          <t>N/A</t>
        </is>
      </c>
      <c r="D38" s="5" t="inlineStr">
        <is>
          <t>Arapahoe County</t>
        </is>
      </c>
      <c r="E38" s="5" t="inlineStr">
        <is>
          <t>CO</t>
        </is>
      </c>
    </row>
    <row r="39">
      <c r="A39" s="6" t="inlineStr">
        <is>
          <t>Englewood Owner LLC</t>
        </is>
      </c>
      <c r="B39" s="5" t="inlineStr">
        <is>
          <t>035511812</t>
        </is>
      </c>
      <c r="C39" s="6" t="inlineStr">
        <is>
          <t>1090 W Hampden Ave</t>
        </is>
      </c>
      <c r="D39" s="5" t="inlineStr">
        <is>
          <t>Arapahoe County</t>
        </is>
      </c>
      <c r="E39" s="5" t="inlineStr">
        <is>
          <t>CO</t>
        </is>
      </c>
    </row>
    <row r="40">
      <c r="A40" s="6" t="inlineStr">
        <is>
          <t>Cubesmart LP</t>
        </is>
      </c>
      <c r="B40" s="5" t="inlineStr">
        <is>
          <t>300001349</t>
        </is>
      </c>
      <c r="C40" s="6" t="inlineStr">
        <is>
          <t>16845 Mt Vernon Rd</t>
        </is>
      </c>
      <c r="D40" s="5" t="inlineStr">
        <is>
          <t>Jefferson County</t>
        </is>
      </c>
      <c r="E40" s="5" t="inlineStr">
        <is>
          <t>CO</t>
        </is>
      </c>
    </row>
    <row r="41">
      <c r="A41" s="6" t="inlineStr">
        <is>
          <t>Winner Storage LLC</t>
        </is>
      </c>
      <c r="B41" s="5" t="inlineStr">
        <is>
          <t>033284798</t>
        </is>
      </c>
      <c r="C41" s="6" t="inlineStr">
        <is>
          <t>7650 S Broadway</t>
        </is>
      </c>
      <c r="D41" s="5" t="inlineStr">
        <is>
          <t>Arapahoe County</t>
        </is>
      </c>
      <c r="E41" s="5" t="inlineStr">
        <is>
          <t>CO</t>
        </is>
      </c>
    </row>
    <row r="43">
      <c r="A43" s="4" t="inlineStr">
        <is>
          <t>Dahn Corporation managed portfolio — schedule attached to R0040829 LOA (Nancy K. Naeve, SVP, 6/12/2025)</t>
        </is>
      </c>
      <c r="B43" s="20" t="n"/>
      <c r="C43" s="20" t="n"/>
      <c r="D43" s="20" t="n"/>
      <c r="E43" s="21" t="n"/>
    </row>
    <row r="44">
      <c r="A44" s="6" t="inlineStr">
        <is>
          <t>Mini U Storage AAA Ltd</t>
        </is>
      </c>
      <c r="B44" s="5" t="inlineStr">
        <is>
          <t>R0361999</t>
        </is>
      </c>
      <c r="C44" s="6" t="inlineStr">
        <is>
          <t>1400 E County Line Rd</t>
        </is>
      </c>
      <c r="D44" s="5" t="inlineStr">
        <is>
          <t>Douglas County</t>
        </is>
      </c>
      <c r="E44" s="5" t="inlineStr">
        <is>
          <t>CO</t>
        </is>
      </c>
    </row>
    <row r="45">
      <c r="A45" s="6" t="inlineStr">
        <is>
          <t>America360 Development LLC</t>
        </is>
      </c>
      <c r="B45" s="5" t="inlineStr">
        <is>
          <t>034611487</t>
        </is>
      </c>
      <c r="C45" s="6" t="inlineStr">
        <is>
          <t>16830 Hughes Dr</t>
        </is>
      </c>
      <c r="D45" s="5" t="inlineStr">
        <is>
          <t>Arapahoe County</t>
        </is>
      </c>
      <c r="E45" s="5" t="inlineStr">
        <is>
          <t>CO</t>
        </is>
      </c>
    </row>
    <row r="46">
      <c r="A46" s="6" t="inlineStr">
        <is>
          <t>Mini U Storage Highlands Ranch Ltd</t>
        </is>
      </c>
      <c r="B46" s="5" t="inlineStr">
        <is>
          <t>R0374153</t>
        </is>
      </c>
      <c r="C46" s="6" t="inlineStr">
        <is>
          <t>6678 E County Line Rd</t>
        </is>
      </c>
      <c r="D46" s="5" t="inlineStr">
        <is>
          <t>Douglas County</t>
        </is>
      </c>
      <c r="E46" s="5" t="inlineStr">
        <is>
          <t>CO</t>
        </is>
      </c>
    </row>
    <row r="47">
      <c r="A47" s="6" t="inlineStr">
        <is>
          <t>Colorado Mini Ltd</t>
        </is>
      </c>
      <c r="B47" s="5" t="inlineStr">
        <is>
          <t>02241-16-008-000</t>
        </is>
      </c>
      <c r="C47" s="6" t="inlineStr">
        <is>
          <t>3900 E 45th Ave</t>
        </is>
      </c>
      <c r="D47" s="5" t="inlineStr">
        <is>
          <t>Denver County</t>
        </is>
      </c>
      <c r="E47" s="5" t="inlineStr">
        <is>
          <t>CO</t>
        </is>
      </c>
    </row>
    <row r="48">
      <c r="A48" s="6" t="inlineStr">
        <is>
          <t>Mini U Storage ILIFF</t>
        </is>
      </c>
      <c r="B48" s="5" t="inlineStr">
        <is>
          <t>035416691</t>
        </is>
      </c>
      <c r="C48" s="6" t="inlineStr">
        <is>
          <t>7600 E ILIFF Ave</t>
        </is>
      </c>
      <c r="D48" s="5" t="inlineStr">
        <is>
          <t>Arapahoe County</t>
        </is>
      </c>
      <c r="E48" s="5" t="inlineStr">
        <is>
          <t>CO</t>
        </is>
      </c>
    </row>
    <row r="49">
      <c r="A49" s="6" t="inlineStr">
        <is>
          <t>DSI Growth &amp; Income Fund II</t>
        </is>
      </c>
      <c r="B49" s="5" t="inlineStr">
        <is>
          <t>300422700</t>
        </is>
      </c>
      <c r="C49" s="6" t="inlineStr">
        <is>
          <t>7322 S Carr St</t>
        </is>
      </c>
      <c r="D49" s="5" t="inlineStr">
        <is>
          <t>Jefferson County</t>
        </is>
      </c>
      <c r="E49" s="5" t="inlineStr">
        <is>
          <t>CO</t>
        </is>
      </c>
    </row>
    <row r="50">
      <c r="A50" s="6" t="inlineStr">
        <is>
          <t>Mini U Storage Mississippi Ltd</t>
        </is>
      </c>
      <c r="B50" s="5" t="inlineStr">
        <is>
          <t>032382911</t>
        </is>
      </c>
      <c r="C50" s="6" t="inlineStr">
        <is>
          <t>8600 E Mississippi Ave</t>
        </is>
      </c>
      <c r="D50" s="5" t="inlineStr">
        <is>
          <t>Arapahoe County</t>
        </is>
      </c>
      <c r="E50" s="5" t="inlineStr">
        <is>
          <t>CO</t>
        </is>
      </c>
    </row>
    <row r="51">
      <c r="A51" s="6" t="inlineStr">
        <is>
          <t>DSI Special Situations Fund II</t>
        </is>
      </c>
      <c r="B51" s="5" t="inlineStr">
        <is>
          <t>7424105063</t>
        </is>
      </c>
      <c r="C51" s="6" t="inlineStr">
        <is>
          <t>910 Motor City Dr</t>
        </is>
      </c>
      <c r="D51" s="5" t="inlineStr">
        <is>
          <t>El Paso County</t>
        </is>
      </c>
      <c r="E51" s="5" t="inlineStr">
        <is>
          <t>CO</t>
        </is>
      </c>
    </row>
    <row r="52">
      <c r="A52" s="6" t="inlineStr">
        <is>
          <t>Parker Tech Storage LLC</t>
        </is>
      </c>
      <c r="B52" s="5" t="inlineStr">
        <is>
          <t>R0440975</t>
        </is>
      </c>
      <c r="C52" s="6" t="inlineStr">
        <is>
          <t>18901 Longs Way</t>
        </is>
      </c>
      <c r="D52" s="5" t="inlineStr">
        <is>
          <t>Douglas County</t>
        </is>
      </c>
      <c r="E52" s="5" t="inlineStr">
        <is>
          <t>CO</t>
        </is>
      </c>
    </row>
    <row r="53">
      <c r="A53" s="12" t="inlineStr">
        <is>
          <t>DSI Special Situations Fund B</t>
        </is>
      </c>
      <c r="B53" s="24" t="inlineStr">
        <is>
          <t>0171914201013</t>
        </is>
      </c>
      <c r="C53" s="12" t="inlineStr">
        <is>
          <t>10350 Washington St</t>
        </is>
      </c>
      <c r="D53" s="24" t="inlineStr">
        <is>
          <t>Adams County</t>
        </is>
      </c>
      <c r="E53" s="24" t="inlineStr">
        <is>
          <t>CO</t>
        </is>
      </c>
    </row>
    <row r="55">
      <c r="A55" s="4" t="inlineStr">
        <is>
          <t>Watumull Properties Corp. / WPC portfolio — Exhibit A to the R0092711 letter of authority (Brad Calbert, 6/5/2025; tax years 2025-2026); Adams County parcels shown</t>
        </is>
      </c>
      <c r="B55" s="20" t="n"/>
      <c r="C55" s="20" t="n"/>
      <c r="D55" s="20" t="n"/>
      <c r="E55" s="21" t="n"/>
    </row>
    <row r="56">
      <c r="A56" s="12" t="inlineStr">
        <is>
          <t>WPC 50th LLC</t>
        </is>
      </c>
      <c r="B56" s="24" t="inlineStr">
        <is>
          <t>R0092711 / R0181935</t>
        </is>
      </c>
      <c r="C56" s="12" t="inlineStr">
        <is>
          <t>6701 E. 50th Ave</t>
        </is>
      </c>
      <c r="D56" s="24" t="inlineStr">
        <is>
          <t>Adams County</t>
        </is>
      </c>
      <c r="E56" s="24" t="inlineStr">
        <is>
          <t>CO</t>
        </is>
      </c>
    </row>
    <row r="57">
      <c r="A57" s="6" t="inlineStr">
        <is>
          <t>Watumull Properties Corp. (WPC entity per Exhibit A)</t>
        </is>
      </c>
      <c r="B57" s="5" t="inlineStr">
        <is>
          <t>R0075306</t>
        </is>
      </c>
      <c r="C57" s="6" t="inlineStr">
        <is>
          <t>9500 E. 104th Ave</t>
        </is>
      </c>
      <c r="D57" s="5" t="inlineStr">
        <is>
          <t>Adams County</t>
        </is>
      </c>
      <c r="E57" s="5" t="inlineStr">
        <is>
          <t>CO</t>
        </is>
      </c>
    </row>
    <row r="58">
      <c r="A58" s="6" t="inlineStr">
        <is>
          <t>Watumull Properties Corp. (WPC entity per Exhibit A)</t>
        </is>
      </c>
      <c r="B58" s="5" t="inlineStr">
        <is>
          <t>R0092694</t>
        </is>
      </c>
      <c r="C58" s="6" t="inlineStr">
        <is>
          <t>6100 E. 49th Dr</t>
        </is>
      </c>
      <c r="D58" s="5" t="inlineStr">
        <is>
          <t>Adams County</t>
        </is>
      </c>
      <c r="E58" s="5" t="inlineStr">
        <is>
          <t>CO</t>
        </is>
      </c>
    </row>
    <row r="59">
      <c r="A59" s="6" t="inlineStr">
        <is>
          <t>Watumull Properties Corp. (WPC entity per Exhibit A)</t>
        </is>
      </c>
      <c r="B59" s="5" t="inlineStr">
        <is>
          <t>R0083953</t>
        </is>
      </c>
      <c r="C59" s="6" t="inlineStr">
        <is>
          <t>20901 E. 32nd Pkwy</t>
        </is>
      </c>
      <c r="D59" s="5" t="inlineStr">
        <is>
          <t>Adams County</t>
        </is>
      </c>
      <c r="E59" s="5" t="inlineStr">
        <is>
          <t>CO</t>
        </is>
      </c>
    </row>
    <row r="60">
      <c r="A60" s="6" t="inlineStr">
        <is>
          <t>Watumull Properties Corp. (WPC entity per Exhibit A)</t>
        </is>
      </c>
      <c r="B60" s="5" t="inlineStr">
        <is>
          <t>R0142131</t>
        </is>
      </c>
      <c r="C60" s="6" t="inlineStr">
        <is>
          <t>6800 Broadway St</t>
        </is>
      </c>
      <c r="D60" s="5" t="inlineStr">
        <is>
          <t>Adams County</t>
        </is>
      </c>
      <c r="E60" s="5" t="inlineStr">
        <is>
          <t>CO</t>
        </is>
      </c>
    </row>
    <row r="61">
      <c r="A61" s="6" t="inlineStr">
        <is>
          <t>Watumull Properties Corp. (WPC entity per Exhibit A)</t>
        </is>
      </c>
      <c r="B61" s="5" t="inlineStr">
        <is>
          <t>R0142132</t>
        </is>
      </c>
      <c r="C61" s="6" t="inlineStr">
        <is>
          <t>Vacant Land (Broadway)</t>
        </is>
      </c>
      <c r="D61" s="5" t="inlineStr">
        <is>
          <t>Adams County</t>
        </is>
      </c>
      <c r="E61" s="5" t="inlineStr">
        <is>
          <t>CO</t>
        </is>
      </c>
    </row>
    <row r="62">
      <c r="A62" s="6" t="inlineStr">
        <is>
          <t>Watumull Properties Corp. (WPC entity per Exhibit A)</t>
        </is>
      </c>
      <c r="B62" s="5" t="inlineStr">
        <is>
          <t>R0070624</t>
        </is>
      </c>
      <c r="C62" s="6" t="inlineStr">
        <is>
          <t>460 E. 76th Ave</t>
        </is>
      </c>
      <c r="D62" s="5" t="inlineStr">
        <is>
          <t>Adams County</t>
        </is>
      </c>
      <c r="E62" s="5" t="inlineStr">
        <is>
          <t>CO</t>
        </is>
      </c>
    </row>
    <row r="63">
      <c r="A63" s="6" t="inlineStr">
        <is>
          <t>Watumull Properties Corp. (WPC entity per Exhibit A)</t>
        </is>
      </c>
      <c r="B63" s="5" t="inlineStr">
        <is>
          <t>R0070625</t>
        </is>
      </c>
      <c r="C63" s="6" t="inlineStr">
        <is>
          <t>470 E. 76th Ave</t>
        </is>
      </c>
      <c r="D63" s="5" t="inlineStr">
        <is>
          <t>Adams County</t>
        </is>
      </c>
      <c r="E63" s="5" t="inlineStr">
        <is>
          <t>CO</t>
        </is>
      </c>
    </row>
    <row r="64">
      <c r="A64" s="6" t="inlineStr">
        <is>
          <t>Watumull Properties Corp. (WPC entity per Exhibit A)</t>
        </is>
      </c>
      <c r="B64" s="5" t="inlineStr">
        <is>
          <t>R0070626</t>
        </is>
      </c>
      <c r="C64" s="6" t="inlineStr">
        <is>
          <t>480 E. 76th Ave</t>
        </is>
      </c>
      <c r="D64" s="5" t="inlineStr">
        <is>
          <t>Adams County</t>
        </is>
      </c>
      <c r="E64" s="5" t="inlineStr">
        <is>
          <t>CO</t>
        </is>
      </c>
    </row>
    <row r="65">
      <c r="A65" s="6" t="inlineStr">
        <is>
          <t>Watumull Properties Corp. (WPC entity per Exhibit A)</t>
        </is>
      </c>
      <c r="B65" s="5" t="inlineStr">
        <is>
          <t>R0070627</t>
        </is>
      </c>
      <c r="C65" s="6" t="inlineStr">
        <is>
          <t>490 E. 76th Ave</t>
        </is>
      </c>
      <c r="D65" s="5" t="inlineStr">
        <is>
          <t>Adams County</t>
        </is>
      </c>
      <c r="E65" s="5" t="inlineStr">
        <is>
          <t>CO</t>
        </is>
      </c>
    </row>
    <row r="66">
      <c r="A66" s="6" t="inlineStr">
        <is>
          <t>Watumull Properties Corp. (WPC entity per Exhibit A)</t>
        </is>
      </c>
      <c r="B66" s="5" t="inlineStr">
        <is>
          <t>R0070622</t>
        </is>
      </c>
      <c r="C66" s="6" t="inlineStr">
        <is>
          <t>500 E. 76th Ave</t>
        </is>
      </c>
      <c r="D66" s="5" t="inlineStr">
        <is>
          <t>Adams County</t>
        </is>
      </c>
      <c r="E66" s="5" t="inlineStr">
        <is>
          <t>CO</t>
        </is>
      </c>
    </row>
    <row r="67">
      <c r="A67" s="6" t="inlineStr">
        <is>
          <t>Watumull Properties Corp. (WPC entity per Exhibit A)</t>
        </is>
      </c>
      <c r="B67" s="5" t="inlineStr">
        <is>
          <t>R0070623</t>
        </is>
      </c>
      <c r="C67" s="6" t="inlineStr">
        <is>
          <t>550 E. 76th Ave</t>
        </is>
      </c>
      <c r="D67" s="5" t="inlineStr">
        <is>
          <t>Adams County</t>
        </is>
      </c>
      <c r="E67" s="5" t="inlineStr">
        <is>
          <t>CO</t>
        </is>
      </c>
    </row>
    <row r="68">
      <c r="A68" s="7" t="inlineStr">
        <is>
          <t>Exhibit A also lists ~28 parcels outside Adams County (Arapahoe, Boulder, Denver and Jefferson) across 19 WPC/Watumull entities; only the Adams County schedule is reproduced here. Highlighted row is the subject.</t>
        </is>
      </c>
    </row>
    <row r="70">
      <c r="A70" s="4" t="inlineStr">
        <is>
          <t>Peoria Way Associates LLC — schedule attached to the R0092720 letter of authority (Steven Ganz, Manager, 5/12/2026; tax years 2025-2026 and prior)</t>
        </is>
      </c>
      <c r="B70" s="20" t="n"/>
      <c r="C70" s="20" t="n"/>
      <c r="D70" s="20" t="n"/>
      <c r="E70" s="21" t="n"/>
    </row>
    <row r="71">
      <c r="A71" s="12" t="inlineStr">
        <is>
          <t>Peoria Way Associates LLC</t>
        </is>
      </c>
      <c r="B71" s="24" t="inlineStr">
        <is>
          <t>R0092720 / R0092717</t>
        </is>
      </c>
      <c r="C71" s="12" t="inlineStr">
        <is>
          <t>4950-4970 Olive St</t>
        </is>
      </c>
      <c r="D71" s="24" t="inlineStr">
        <is>
          <t>Adams County</t>
        </is>
      </c>
      <c r="E71" s="24" t="inlineStr">
        <is>
          <t>CO</t>
        </is>
      </c>
    </row>
    <row r="72">
      <c r="A72" s="6" t="inlineStr">
        <is>
          <t>Peoria Way Associates LLC</t>
        </is>
      </c>
      <c r="B72" s="5" t="inlineStr">
        <is>
          <t>R0093018</t>
        </is>
      </c>
      <c r="C72" s="6" t="inlineStr">
        <is>
          <t>3350 Peoria St</t>
        </is>
      </c>
      <c r="D72" s="5" t="inlineStr">
        <is>
          <t>Adams County</t>
        </is>
      </c>
      <c r="E72" s="5" t="inlineStr">
        <is>
          <t>CO</t>
        </is>
      </c>
    </row>
    <row r="73">
      <c r="A73" s="6" t="inlineStr">
        <is>
          <t>Peoria Way Associates LLC</t>
        </is>
      </c>
      <c r="B73" s="5" t="inlineStr">
        <is>
          <t>01234-02-011</t>
        </is>
      </c>
      <c r="C73" s="6" t="inlineStr">
        <is>
          <t>3899 Peoria Way</t>
        </is>
      </c>
      <c r="D73" s="5" t="inlineStr">
        <is>
          <t>Denver County</t>
        </is>
      </c>
      <c r="E73" s="5" t="inlineStr">
        <is>
          <t>CO</t>
        </is>
      </c>
    </row>
    <row r="74">
      <c r="A74" s="6" t="inlineStr">
        <is>
          <t>Peoria Way Associates LLC</t>
        </is>
      </c>
      <c r="B74" s="5" t="inlineStr">
        <is>
          <t>01191-05-014</t>
        </is>
      </c>
      <c r="C74" s="6" t="inlineStr">
        <is>
          <t>4390-4430 Glencoe St</t>
        </is>
      </c>
      <c r="D74" s="5" t="inlineStr">
        <is>
          <t>Denver County</t>
        </is>
      </c>
      <c r="E74" s="5" t="inlineStr">
        <is>
          <t>CO</t>
        </is>
      </c>
    </row>
  </sheetData>
  <mergeCells count="8">
    <mergeCell ref="A55:E55"/>
    <mergeCell ref="A12:E12"/>
    <mergeCell ref="A43:E43"/>
    <mergeCell ref="A2:E2"/>
    <mergeCell ref="A10:E10"/>
    <mergeCell ref="A68:E68"/>
    <mergeCell ref="A1:E1"/>
    <mergeCell ref="A70:E7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2026-07-30T22:56:27Z</dcterms:created>
  <dcterms:modified xmlns:dcterms="http://purl.org/dc/terms/" xmlns:xsi="http://www.w3.org/2001/XMLSchema-instance" xsi:type="dcterms:W3CDTF">2026-08-04T04:11:20Z</dcterms:modified>
</cp:coreProperties>
</file>