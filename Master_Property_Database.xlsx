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$#,##0;($#,##0);-"/>
    <numFmt numFmtId="166" formatCode="$#,##0.00"/>
    <numFmt numFmtId="167" formatCode="$#,##0.00;($#,##0.00);-"/>
    <numFmt numFmtId="168" formatCode="$0.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3" fontId="5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0" fontId="7" fillId="0" borderId="0" pivotButton="0" quotePrefix="0" xfId="0"/>
    <xf numFmtId="167" fontId="7" fillId="5" borderId="0" pivotButton="0" quotePrefix="0" xfId="0"/>
    <xf numFmtId="0" fontId="7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  <col width="9" customWidth="1" min="7" max="7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2026-08-25  |  29 subject properties (8 original + 21 in the "584" batch),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  <c r="G5" s="32" t="inlineStr">
        <is>
          <t>Batch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33" t="n">
        <v>10</v>
      </c>
      <c r="B15" s="33" t="inlineStr">
        <is>
          <t>R0218284.pdf</t>
        </is>
      </c>
      <c r="C15" s="33" t="inlineStr">
        <is>
          <t>Tax appeal — income approach</t>
        </is>
      </c>
      <c r="D15" s="33" t="inlineStr">
        <is>
          <t>20600 E. 35th Dr, Bldg 12, Denver (Majestic Commercenter)</t>
        </is>
      </c>
      <c r="E15" s="33" t="inlineStr">
        <is>
          <t>Assess. Yr 2026</t>
        </is>
      </c>
      <c r="F15" s="33" t="inlineStr">
        <is>
          <t>Sterling Property Tax Specialists (B. Fearn)</t>
        </is>
      </c>
      <c r="G15" s="34" t="inlineStr">
        <is>
          <t>584</t>
        </is>
      </c>
    </row>
    <row r="16" ht="26" customHeight="1">
      <c r="A16" s="33" t="n">
        <v>11</v>
      </c>
      <c r="B16" s="33" t="inlineStr">
        <is>
          <t>R0213058.pdf</t>
        </is>
      </c>
      <c r="C16" s="33" t="inlineStr">
        <is>
          <t>Tax appeal — income approach</t>
        </is>
      </c>
      <c r="D16" s="33" t="inlineStr">
        <is>
          <t>Lovett 76 Logistics Center, 6196 E Bridge St, Brighton</t>
        </is>
      </c>
      <c r="E16" s="33" t="inlineStr">
        <is>
          <t>Assess. Yr 2025</t>
        </is>
      </c>
      <c r="F16" s="33" t="inlineStr">
        <is>
          <t>Ryan LLC (Beth Diehl)</t>
        </is>
      </c>
      <c r="G16" s="34" t="inlineStr">
        <is>
          <t>584</t>
        </is>
      </c>
    </row>
    <row r="17" ht="26" customHeight="1">
      <c r="A17" s="33" t="n">
        <v>12</v>
      </c>
      <c r="B17" s="33" t="inlineStr">
        <is>
          <t>R0218283.pdf</t>
        </is>
      </c>
      <c r="C17" s="33" t="inlineStr">
        <is>
          <t>Tax appeal — income approach</t>
        </is>
      </c>
      <c r="D17" s="33" t="inlineStr">
        <is>
          <t>20310 E. 35th Dr, Bldg 11, Denver (Majestic Commercenter)</t>
        </is>
      </c>
      <c r="E17" s="33" t="inlineStr">
        <is>
          <t>Assess. Yr 2026</t>
        </is>
      </c>
      <c r="F17" s="33" t="inlineStr">
        <is>
          <t>Sterling Property Tax Specialists (B. Fearn)</t>
        </is>
      </c>
      <c r="G17" s="34" t="inlineStr">
        <is>
          <t>584</t>
        </is>
      </c>
    </row>
    <row r="18" ht="26" customHeight="1">
      <c r="A18" s="33" t="n">
        <v>13</v>
      </c>
      <c r="B18" s="33" t="inlineStr">
        <is>
          <t>R0218172.pdf</t>
        </is>
      </c>
      <c r="C18" s="33" t="inlineStr">
        <is>
          <t>Tax appeal — cost &amp; income approach (3 schedules)</t>
        </is>
      </c>
      <c r="D18" s="33" t="inlineStr">
        <is>
          <t>Denali Buildings 1, 2 &amp; 3 (R0218172/73/74)</t>
        </is>
      </c>
      <c r="E18" s="33" t="inlineStr">
        <is>
          <t>Assess. Yr 2025</t>
        </is>
      </c>
      <c r="F18" s="33" t="inlineStr">
        <is>
          <t>Sterling Property Tax Specialists (B. Fearn)</t>
        </is>
      </c>
      <c r="G18" s="34" t="inlineStr">
        <is>
          <t>584</t>
        </is>
      </c>
    </row>
    <row r="19">
      <c r="A19" s="33" t="n">
        <v>14</v>
      </c>
      <c r="B19" s="33" t="inlineStr">
        <is>
          <t>R0212546.pdf</t>
        </is>
      </c>
      <c r="C19" s="33" t="inlineStr">
        <is>
          <t>Tax appeal — income approach (2 schedules)</t>
        </is>
      </c>
      <c r="D19" s="33" t="inlineStr">
        <is>
          <t>2780 N. Tower Road (R0212546 &amp; R0212547)</t>
        </is>
      </c>
      <c r="E19" s="33" t="inlineStr">
        <is>
          <t>Assess. Yr 2026</t>
        </is>
      </c>
      <c r="F19" s="33" t="inlineStr">
        <is>
          <t>Sterling Property Tax Specialists (B. Fearn)</t>
        </is>
      </c>
      <c r="G19" s="34" t="inlineStr">
        <is>
          <t>584</t>
        </is>
      </c>
    </row>
    <row r="20">
      <c r="A20" s="33" t="n">
        <v>15</v>
      </c>
      <c r="B20" s="33" t="inlineStr">
        <is>
          <t>R0198564.pdf</t>
        </is>
      </c>
      <c r="C20" s="33" t="inlineStr">
        <is>
          <t>County Commercial-Industrial Income &amp; Expense Survey</t>
        </is>
      </c>
      <c r="D20" s="33" t="inlineStr">
        <is>
          <t>1111 E 71st Ave (TrusTile Doors), Denver</t>
        </is>
      </c>
      <c r="E20" s="33" t="inlineStr">
        <is>
          <t>Oct 2023-Sep 2024</t>
        </is>
      </c>
      <c r="F20" s="33" t="inlineStr">
        <is>
          <t>Adams County Assessor / Owner</t>
        </is>
      </c>
      <c r="G20" s="34" t="inlineStr">
        <is>
          <t>584</t>
        </is>
      </c>
    </row>
    <row r="21">
      <c r="A21" s="33" t="n">
        <v>16</v>
      </c>
      <c r="B21" s="33" t="inlineStr">
        <is>
          <t>R0217136.pdf</t>
        </is>
      </c>
      <c r="C21" s="33" t="inlineStr">
        <is>
          <t>Tax appeal — income approach</t>
        </is>
      </c>
      <c r="D21" s="33" t="inlineStr">
        <is>
          <t>Broadway Logistics Center, 6795 Broadway St, Denver</t>
        </is>
      </c>
      <c r="E21" s="33" t="inlineStr">
        <is>
          <t>Assess. Yr 2025</t>
        </is>
      </c>
      <c r="F21" s="33" t="inlineStr">
        <is>
          <t>Ryan LLC (Beth Diehl)</t>
        </is>
      </c>
      <c r="G21" s="34" t="inlineStr">
        <is>
          <t>584</t>
        </is>
      </c>
    </row>
    <row r="22">
      <c r="A22" s="33" t="n">
        <v>17</v>
      </c>
      <c r="B22" s="33" t="inlineStr">
        <is>
          <t>R0198789.pdf</t>
        </is>
      </c>
      <c r="C22" s="33" t="inlineStr">
        <is>
          <t>Leasehold assessment appeal + lease abstract</t>
        </is>
      </c>
      <c r="D22" s="33" t="inlineStr">
        <is>
          <t>DEN3 Bull Crossing, 14601 Grant St, Thornton (Amazon)</t>
        </is>
      </c>
      <c r="E22" s="33" t="inlineStr">
        <is>
          <t>Assess. Yr 2025</t>
        </is>
      </c>
      <c r="F22" s="33" t="inlineStr">
        <is>
          <t>Amazon.com Services LLC (B. Wright)</t>
        </is>
      </c>
      <c r="G22" s="34" t="inlineStr">
        <is>
          <t>584</t>
        </is>
      </c>
    </row>
    <row r="23">
      <c r="A23" s="33" t="n">
        <v>18</v>
      </c>
      <c r="B23" s="33" t="inlineStr">
        <is>
          <t>R0198530.pdf</t>
        </is>
      </c>
      <c r="C23" s="33" t="inlineStr">
        <is>
          <t>Notice of Determination + assessment appeal + lease abstract</t>
        </is>
      </c>
      <c r="D23" s="33" t="inlineStr">
        <is>
          <t>DEN7, 22300 E 26th Ave, Aurora (Amazon)</t>
        </is>
      </c>
      <c r="E23" s="33" t="inlineStr">
        <is>
          <t>Tax Yr 2025</t>
        </is>
      </c>
      <c r="F23" s="33" t="inlineStr">
        <is>
          <t>Amazon.com Services LLC (B. Wright)</t>
        </is>
      </c>
      <c r="G23" s="34" t="inlineStr">
        <is>
          <t>584</t>
        </is>
      </c>
    </row>
    <row r="24">
      <c r="A24" s="33" t="n">
        <v>19</v>
      </c>
      <c r="B24" s="33" t="inlineStr">
        <is>
          <t>R0193588.pdf</t>
        </is>
      </c>
      <c r="C24" s="33" t="inlineStr">
        <is>
          <t>Tax appeal — income approach</t>
        </is>
      </c>
      <c r="D24" s="33" t="inlineStr">
        <is>
          <t>2889 Himalaya Rd, Bldg 15 (Majestic Commercenter)</t>
        </is>
      </c>
      <c r="E24" s="33" t="inlineStr">
        <is>
          <t>Assess. Yr 2026</t>
        </is>
      </c>
      <c r="F24" s="33" t="inlineStr">
        <is>
          <t>Sterling Property Tax Specialists (B. Fearn)</t>
        </is>
      </c>
      <c r="G24" s="34" t="inlineStr">
        <is>
          <t>584</t>
        </is>
      </c>
    </row>
    <row r="25">
      <c r="A25" s="33" t="n">
        <v>20</v>
      </c>
      <c r="B25" s="33" t="inlineStr">
        <is>
          <t>R0191292.pdf</t>
        </is>
      </c>
      <c r="C25" s="33" t="inlineStr">
        <is>
          <t>Notice of Determination + assessment appeal + lease abstract</t>
        </is>
      </c>
      <c r="D25" s="33" t="inlineStr">
        <is>
          <t>DEN2, 22205 E 19th Ave, Aurora (Amazon)</t>
        </is>
      </c>
      <c r="E25" s="33" t="inlineStr">
        <is>
          <t>Tax Yr 2025</t>
        </is>
      </c>
      <c r="F25" s="33" t="inlineStr">
        <is>
          <t>Amazon.com Services LLC (B. Wright)</t>
        </is>
      </c>
      <c r="G25" s="34" t="inlineStr">
        <is>
          <t>584</t>
        </is>
      </c>
    </row>
    <row r="26">
      <c r="A26" s="33" t="n">
        <v>21</v>
      </c>
      <c r="B26" s="33" t="inlineStr">
        <is>
          <t>R0187866.pdf</t>
        </is>
      </c>
      <c r="C26" s="33" t="inlineStr">
        <is>
          <t>Tax appeal — income approach</t>
        </is>
      </c>
      <c r="D26" s="33" t="inlineStr">
        <is>
          <t>19799 E. 36th Dr, Bldg 29 (Majestic Commercenter)</t>
        </is>
      </c>
      <c r="E26" s="33" t="inlineStr">
        <is>
          <t>Assess. Yr 2026</t>
        </is>
      </c>
      <c r="F26" s="33" t="inlineStr">
        <is>
          <t>Sterling Property Tax Specialists (B. Fearn)</t>
        </is>
      </c>
      <c r="G26" s="34" t="inlineStr">
        <is>
          <t>584</t>
        </is>
      </c>
    </row>
    <row r="27">
      <c r="A27" s="33" t="n">
        <v>22</v>
      </c>
      <c r="B27" s="33" t="inlineStr">
        <is>
          <t>R0172868.pdf</t>
        </is>
      </c>
      <c r="C27" s="33" t="inlineStr">
        <is>
          <t>Tax appeal — income approach</t>
        </is>
      </c>
      <c r="D27" s="33" t="inlineStr">
        <is>
          <t>19755 E. 35th Dr, Bldg 26 (Majestic Commercenter)</t>
        </is>
      </c>
      <c r="E27" s="33" t="inlineStr">
        <is>
          <t>Assess. Yr 2026</t>
        </is>
      </c>
      <c r="F27" s="33" t="inlineStr">
        <is>
          <t>Sterling Property Tax Specialists (B. Fearn)</t>
        </is>
      </c>
      <c r="G27" s="34" t="inlineStr">
        <is>
          <t>584</t>
        </is>
      </c>
    </row>
    <row r="28">
      <c r="A28" s="33" t="n">
        <v>23</v>
      </c>
      <c r="B28" s="33" t="inlineStr">
        <is>
          <t>R0180551.pdf</t>
        </is>
      </c>
      <c r="C28" s="33" t="inlineStr">
        <is>
          <t>Tax appeal — income approach</t>
        </is>
      </c>
      <c r="D28" s="33" t="inlineStr">
        <is>
          <t>Home Depot Denver, 1953 Gun Club Rd, Aurora</t>
        </is>
      </c>
      <c r="E28" s="33" t="inlineStr">
        <is>
          <t>Assess. Yr 2025</t>
        </is>
      </c>
      <c r="F28" s="33" t="inlineStr">
        <is>
          <t>Ryan LLC (Beth Diehl)</t>
        </is>
      </c>
      <c r="G28" s="34" t="inlineStr">
        <is>
          <t>584</t>
        </is>
      </c>
    </row>
    <row r="29">
      <c r="A29" s="33" t="n">
        <v>24</v>
      </c>
      <c r="B29" s="33" t="inlineStr">
        <is>
          <t>R0172848.pdf</t>
        </is>
      </c>
      <c r="C29" s="33" t="inlineStr">
        <is>
          <t>Tax appeal — market pro forma + rent roll + P&amp;L</t>
        </is>
      </c>
      <c r="D29" s="33" t="inlineStr">
        <is>
          <t>22100 E 26th Ave, Aurora (ASB Real Estate)</t>
        </is>
      </c>
      <c r="E29" s="33" t="inlineStr">
        <is>
          <t>Tax Yr 2025</t>
        </is>
      </c>
      <c r="F29" s="33" t="inlineStr">
        <is>
          <t>Ryan LLC (Ethan Horn)</t>
        </is>
      </c>
      <c r="G29" s="34" t="inlineStr">
        <is>
          <t>584</t>
        </is>
      </c>
    </row>
    <row r="30">
      <c r="A30" s="33" t="n">
        <v>25</v>
      </c>
      <c r="B30" s="33" t="inlineStr">
        <is>
          <t>R0172865.pdf</t>
        </is>
      </c>
      <c r="C30" s="33" t="inlineStr">
        <is>
          <t>Tax appeal — income approach</t>
        </is>
      </c>
      <c r="D30" s="33" t="inlineStr">
        <is>
          <t>3500 N. Windsor Dr, Bldg 24 (Majestic Commercenter)</t>
        </is>
      </c>
      <c r="E30" s="33" t="inlineStr">
        <is>
          <t>Assess. Yr 2026</t>
        </is>
      </c>
      <c r="F30" s="33" t="inlineStr">
        <is>
          <t>Sterling Property Tax Specialists (B. Fearn)</t>
        </is>
      </c>
      <c r="G30" s="34" t="inlineStr">
        <is>
          <t>584</t>
        </is>
      </c>
    </row>
    <row r="31">
      <c r="A31" s="33" t="n">
        <v>26</v>
      </c>
      <c r="B31" s="33" t="inlineStr">
        <is>
          <t>R0132030.pdf</t>
        </is>
      </c>
      <c r="C31" s="33" t="inlineStr">
        <is>
          <t>Tax appeal — income approach</t>
        </is>
      </c>
      <c r="D31" s="33" t="inlineStr">
        <is>
          <t>3543 N. Windsor Dr, Bldg 22 (Majestic Commercenter)</t>
        </is>
      </c>
      <c r="E31" s="33" t="inlineStr">
        <is>
          <t>Assess. Yr 2026</t>
        </is>
      </c>
      <c r="F31" s="33" t="inlineStr">
        <is>
          <t>Sterling Property Tax Specialists (B. Fearn)</t>
        </is>
      </c>
      <c r="G31" s="34" t="inlineStr">
        <is>
          <t>584</t>
        </is>
      </c>
    </row>
    <row r="32">
      <c r="A32" s="33" t="n">
        <v>27</v>
      </c>
      <c r="B32" s="33" t="inlineStr">
        <is>
          <t>R0092655.pdf</t>
        </is>
      </c>
      <c r="C32" s="33" t="inlineStr">
        <is>
          <t>Valuation protest form + DMA appeal package</t>
        </is>
      </c>
      <c r="D32" s="33" t="inlineStr">
        <is>
          <t>5199 Ivy St, Commerce City (Shamrock Foods)</t>
        </is>
      </c>
      <c r="E32" s="33" t="inlineStr">
        <is>
          <t>Tax Yr 2025</t>
        </is>
      </c>
      <c r="F32" s="33" t="inlineStr">
        <is>
          <t>DuCharme, McMillen &amp; Assoc. (C. Young)</t>
        </is>
      </c>
      <c r="G32" s="34" t="inlineStr">
        <is>
          <t>584</t>
        </is>
      </c>
    </row>
    <row r="34">
      <c r="A34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35">
      <c r="A35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36">
      <c r="A36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</sheetData>
  <mergeCells count="5">
    <mergeCell ref="A1:G1"/>
    <mergeCell ref="A36:F36"/>
    <mergeCell ref="A2:G2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  <col width="9" customWidth="1" min="26" max="26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  <c r="Z4" s="32" t="inlineStr">
        <is>
          <t>Batch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33" t="inlineStr">
        <is>
          <t>R0218284</t>
        </is>
      </c>
      <c r="B13" s="33" t="inlineStr">
        <is>
          <t>R0218284</t>
        </is>
      </c>
      <c r="C13" s="33" t="inlineStr">
        <is>
          <t>R0218284</t>
        </is>
      </c>
      <c r="D13" s="33" t="inlineStr">
        <is>
          <t>Majestic Commercenter Bldg 12</t>
        </is>
      </c>
      <c r="E13" s="33" t="inlineStr">
        <is>
          <t>20600 E. 35th Drive</t>
        </is>
      </c>
      <c r="F13" s="33" t="inlineStr">
        <is>
          <t>Denver</t>
        </is>
      </c>
      <c r="G13" s="33" t="inlineStr">
        <is>
          <t>CO</t>
        </is>
      </c>
      <c r="H13" s="33" t="inlineStr">
        <is>
          <t>80238 (est.)</t>
        </is>
      </c>
      <c r="I13" s="33" t="inlineStr">
        <is>
          <t>Adams</t>
        </is>
      </c>
      <c r="J13" s="33" t="inlineStr">
        <is>
          <t>Majestic Realty Co. (Maj Commercenter Ph 1)</t>
        </is>
      </c>
      <c r="K13" s="33" t="inlineStr">
        <is>
          <t>—</t>
        </is>
      </c>
      <c r="L13" s="33" t="inlineStr">
        <is>
          <t>Industrial - Warehouse</t>
        </is>
      </c>
      <c r="M13" s="33" t="inlineStr">
        <is>
          <t>Multi-tenant (proforma)</t>
        </is>
      </c>
      <c r="N13" s="33" t="n"/>
      <c r="O13" s="33" t="n"/>
      <c r="P13" s="35" t="n">
        <v>461580</v>
      </c>
      <c r="Q13" s="35" t="n">
        <v>461580</v>
      </c>
      <c r="R13" s="33" t="n">
        <v>2023</v>
      </c>
      <c r="S13" s="33" t="inlineStr">
        <is>
          <t>—</t>
        </is>
      </c>
      <c r="T13" s="33" t="inlineStr">
        <is>
          <t>0% (100% vacant at DOV)</t>
        </is>
      </c>
      <c r="U13" s="33" t="n"/>
      <c r="V13" s="33" t="inlineStr">
        <is>
          <t>2026</t>
        </is>
      </c>
      <c r="W13" s="36" t="n">
        <v>23875600</v>
      </c>
      <c r="X13" s="33" t="inlineStr">
        <is>
          <t>—</t>
        </is>
      </c>
      <c r="Y13" s="33" t="inlineStr">
        <is>
          <t>R0218284.pdf</t>
        </is>
      </c>
      <c r="Z13" s="34" t="inlineStr">
        <is>
          <t>584</t>
        </is>
      </c>
    </row>
    <row r="14">
      <c r="A14" s="33" t="inlineStr">
        <is>
          <t>R0213058</t>
        </is>
      </c>
      <c r="B14" s="33" t="inlineStr">
        <is>
          <t>R0213058</t>
        </is>
      </c>
      <c r="C14" s="33" t="inlineStr">
        <is>
          <t>R0213058</t>
        </is>
      </c>
      <c r="D14" s="33" t="inlineStr">
        <is>
          <t>Lovett 76 Logistics Center</t>
        </is>
      </c>
      <c r="E14" s="33" t="inlineStr">
        <is>
          <t>6196 E Bridge St</t>
        </is>
      </c>
      <c r="F14" s="33" t="inlineStr">
        <is>
          <t>Brighton</t>
        </is>
      </c>
      <c r="G14" s="33" t="inlineStr">
        <is>
          <t>CO</t>
        </is>
      </c>
      <c r="H14" s="33" t="inlineStr">
        <is>
          <t>80603</t>
        </is>
      </c>
      <c r="I14" s="33" t="inlineStr">
        <is>
          <t>Adams</t>
        </is>
      </c>
      <c r="J14" s="33" t="inlineStr">
        <is>
          <t>Lovett Industrial, LLC</t>
        </is>
      </c>
      <c r="K14" s="33" t="inlineStr">
        <is>
          <t>Lovett Industrial, LLC</t>
        </is>
      </c>
      <c r="L14" s="33" t="inlineStr">
        <is>
          <t>Industrial - Warehouse</t>
        </is>
      </c>
      <c r="M14" s="33" t="inlineStr">
        <is>
          <t>Single (proforma)</t>
        </is>
      </c>
      <c r="N14" s="37" t="n">
        <v>41.808</v>
      </c>
      <c r="O14" s="35" t="n">
        <v>1821156</v>
      </c>
      <c r="P14" s="35" t="n">
        <v>614010</v>
      </c>
      <c r="Q14" s="35" t="n">
        <v>614010</v>
      </c>
      <c r="R14" s="33" t="n">
        <v>2023</v>
      </c>
      <c r="S14" s="33" t="inlineStr">
        <is>
          <t>2.97:1</t>
        </is>
      </c>
      <c r="T14" s="33" t="inlineStr">
        <is>
          <t>—</t>
        </is>
      </c>
      <c r="U14" s="36" t="n">
        <v>70695025</v>
      </c>
      <c r="V14" s="33" t="inlineStr">
        <is>
          <t>2025</t>
        </is>
      </c>
      <c r="W14" s="36" t="n">
        <v>45408400</v>
      </c>
      <c r="X14" s="33" t="inlineStr">
        <is>
          <t>—</t>
        </is>
      </c>
      <c r="Y14" s="33" t="inlineStr">
        <is>
          <t>R0213058.pdf</t>
        </is>
      </c>
      <c r="Z14" s="34" t="inlineStr">
        <is>
          <t>584</t>
        </is>
      </c>
    </row>
    <row r="15">
      <c r="A15" s="33" t="inlineStr">
        <is>
          <t>R0218283</t>
        </is>
      </c>
      <c r="B15" s="33" t="inlineStr">
        <is>
          <t>R0218283</t>
        </is>
      </c>
      <c r="C15" s="33" t="inlineStr">
        <is>
          <t>R0218283</t>
        </is>
      </c>
      <c r="D15" s="33" t="inlineStr">
        <is>
          <t>Majestic Commercenter Bldg 11</t>
        </is>
      </c>
      <c r="E15" s="33" t="inlineStr">
        <is>
          <t>20310 E. 35th Drive</t>
        </is>
      </c>
      <c r="F15" s="33" t="inlineStr">
        <is>
          <t>Denver</t>
        </is>
      </c>
      <c r="G15" s="33" t="inlineStr">
        <is>
          <t>CO</t>
        </is>
      </c>
      <c r="H15" s="33" t="inlineStr">
        <is>
          <t>80238 (est.)</t>
        </is>
      </c>
      <c r="I15" s="33" t="inlineStr">
        <is>
          <t>Adams</t>
        </is>
      </c>
      <c r="J15" s="33" t="inlineStr">
        <is>
          <t>Majestic Realty Co. (Maj Commercenter Ph 1)</t>
        </is>
      </c>
      <c r="K15" s="33" t="inlineStr">
        <is>
          <t>—</t>
        </is>
      </c>
      <c r="L15" s="33" t="inlineStr">
        <is>
          <t>Industrial - Warehouse</t>
        </is>
      </c>
      <c r="M15" s="33" t="inlineStr">
        <is>
          <t>Multi-tenant (proforma)</t>
        </is>
      </c>
      <c r="N15" s="33" t="n"/>
      <c r="O15" s="33" t="n"/>
      <c r="P15" s="35" t="n">
        <v>244920</v>
      </c>
      <c r="Q15" s="35" t="n">
        <v>244920</v>
      </c>
      <c r="R15" s="33" t="n">
        <v>2023</v>
      </c>
      <c r="S15" s="33" t="inlineStr">
        <is>
          <t>—</t>
        </is>
      </c>
      <c r="T15" s="33" t="inlineStr">
        <is>
          <t>0% (100% vacant at DOV)</t>
        </is>
      </c>
      <c r="U15" s="33" t="n"/>
      <c r="V15" s="33" t="inlineStr">
        <is>
          <t>2026</t>
        </is>
      </c>
      <c r="W15" s="36" t="n">
        <v>12668600</v>
      </c>
      <c r="X15" s="33" t="inlineStr">
        <is>
          <t>—</t>
        </is>
      </c>
      <c r="Y15" s="33" t="inlineStr">
        <is>
          <t>R0218283.pdf</t>
        </is>
      </c>
      <c r="Z15" s="34" t="inlineStr">
        <is>
          <t>584</t>
        </is>
      </c>
    </row>
    <row r="16">
      <c r="A16" s="33" t="inlineStr">
        <is>
          <t>R0218172</t>
        </is>
      </c>
      <c r="B16" s="33" t="inlineStr">
        <is>
          <t>R0218172</t>
        </is>
      </c>
      <c r="C16" s="33" t="inlineStr">
        <is>
          <t>R0218172</t>
        </is>
      </c>
      <c r="D16" s="33" t="inlineStr">
        <is>
          <t>Denali Building 1</t>
        </is>
      </c>
      <c r="E16" s="33" t="inlineStr">
        <is>
          <t>Denali Buildings 1-3 (Bldg 1)</t>
        </is>
      </c>
      <c r="F16" s="33" t="inlineStr">
        <is>
          <t>Adams County</t>
        </is>
      </c>
      <c r="G16" s="33" t="inlineStr">
        <is>
          <t>CO</t>
        </is>
      </c>
      <c r="H16" s="33" t="inlineStr">
        <is>
          <t>—</t>
        </is>
      </c>
      <c r="I16" s="33" t="inlineStr">
        <is>
          <t>Adams</t>
        </is>
      </c>
      <c r="J16" s="33" t="inlineStr">
        <is>
          <t>—</t>
        </is>
      </c>
      <c r="K16" s="33" t="inlineStr">
        <is>
          <t>—</t>
        </is>
      </c>
      <c r="L16" s="33" t="inlineStr">
        <is>
          <t>Industrial - Warehouse</t>
        </is>
      </c>
      <c r="M16" s="33" t="inlineStr">
        <is>
          <t>Multi-tenant (proforma)</t>
        </is>
      </c>
      <c r="N16" s="33" t="n"/>
      <c r="O16" s="33" t="n"/>
      <c r="P16" s="35" t="n">
        <v>353350</v>
      </c>
      <c r="Q16" s="35" t="n">
        <v>353350</v>
      </c>
      <c r="R16" s="33" t="n">
        <v>2024</v>
      </c>
      <c r="S16" s="33" t="inlineStr">
        <is>
          <t>—</t>
        </is>
      </c>
      <c r="T16" s="33" t="inlineStr">
        <is>
          <t>0% (100% vacant at DOV)</t>
        </is>
      </c>
      <c r="U16" s="36" t="n">
        <v>40319703</v>
      </c>
      <c r="V16" s="33" t="inlineStr">
        <is>
          <t>2025</t>
        </is>
      </c>
      <c r="W16" s="36" t="n">
        <v>16841375</v>
      </c>
      <c r="X16" s="33" t="inlineStr">
        <is>
          <t>—</t>
        </is>
      </c>
      <c r="Y16" s="33" t="inlineStr">
        <is>
          <t>R0218172.pdf</t>
        </is>
      </c>
      <c r="Z16" s="34" t="inlineStr">
        <is>
          <t>584</t>
        </is>
      </c>
    </row>
    <row r="17">
      <c r="A17" s="33" t="inlineStr">
        <is>
          <t>R0218173</t>
        </is>
      </c>
      <c r="B17" s="33" t="inlineStr">
        <is>
          <t>R0218173</t>
        </is>
      </c>
      <c r="C17" s="33" t="inlineStr">
        <is>
          <t>R0218173</t>
        </is>
      </c>
      <c r="D17" s="33" t="inlineStr">
        <is>
          <t>Denali Building 2</t>
        </is>
      </c>
      <c r="E17" s="33" t="inlineStr">
        <is>
          <t>Denali Buildings 1-3 (Bldg 2)</t>
        </is>
      </c>
      <c r="F17" s="33" t="inlineStr">
        <is>
          <t>Adams County</t>
        </is>
      </c>
      <c r="G17" s="33" t="inlineStr">
        <is>
          <t>CO</t>
        </is>
      </c>
      <c r="H17" s="33" t="inlineStr">
        <is>
          <t>—</t>
        </is>
      </c>
      <c r="I17" s="33" t="inlineStr">
        <is>
          <t>Adams</t>
        </is>
      </c>
      <c r="J17" s="33" t="inlineStr">
        <is>
          <t>—</t>
        </is>
      </c>
      <c r="K17" s="33" t="inlineStr">
        <is>
          <t>—</t>
        </is>
      </c>
      <c r="L17" s="33" t="inlineStr">
        <is>
          <t>Industrial - Warehouse</t>
        </is>
      </c>
      <c r="M17" s="33" t="inlineStr">
        <is>
          <t>Multi-tenant (proforma)</t>
        </is>
      </c>
      <c r="N17" s="33" t="n"/>
      <c r="O17" s="33" t="n"/>
      <c r="P17" s="35" t="n">
        <v>205800</v>
      </c>
      <c r="Q17" s="35" t="n">
        <v>205800</v>
      </c>
      <c r="R17" s="33" t="n">
        <v>2024</v>
      </c>
      <c r="S17" s="33" t="inlineStr">
        <is>
          <t>—</t>
        </is>
      </c>
      <c r="T17" s="33" t="inlineStr">
        <is>
          <t>0% (100% vacant at DOV)</t>
        </is>
      </c>
      <c r="U17" s="36" t="n">
        <v>22901099</v>
      </c>
      <c r="V17" s="33" t="inlineStr">
        <is>
          <t>2025</t>
        </is>
      </c>
      <c r="W17" s="36" t="n">
        <v>9808844</v>
      </c>
      <c r="X17" s="33" t="inlineStr">
        <is>
          <t>—</t>
        </is>
      </c>
      <c r="Y17" s="33" t="inlineStr">
        <is>
          <t>R0218172.pdf</t>
        </is>
      </c>
      <c r="Z17" s="34" t="inlineStr">
        <is>
          <t>584</t>
        </is>
      </c>
    </row>
    <row r="18">
      <c r="A18" s="33" t="inlineStr">
        <is>
          <t>R0218174</t>
        </is>
      </c>
      <c r="B18" s="33" t="inlineStr">
        <is>
          <t>R0218174</t>
        </is>
      </c>
      <c r="C18" s="33" t="inlineStr">
        <is>
          <t>R0218174</t>
        </is>
      </c>
      <c r="D18" s="33" t="inlineStr">
        <is>
          <t>Denali Building 3</t>
        </is>
      </c>
      <c r="E18" s="33" t="inlineStr">
        <is>
          <t>Denali Buildings 1-3 (Bldg 3)</t>
        </is>
      </c>
      <c r="F18" s="33" t="inlineStr">
        <is>
          <t>Adams County</t>
        </is>
      </c>
      <c r="G18" s="33" t="inlineStr">
        <is>
          <t>CO</t>
        </is>
      </c>
      <c r="H18" s="33" t="inlineStr">
        <is>
          <t>—</t>
        </is>
      </c>
      <c r="I18" s="33" t="inlineStr">
        <is>
          <t>Adams</t>
        </is>
      </c>
      <c r="J18" s="33" t="inlineStr">
        <is>
          <t>—</t>
        </is>
      </c>
      <c r="K18" s="33" t="inlineStr">
        <is>
          <t>—</t>
        </is>
      </c>
      <c r="L18" s="33" t="inlineStr">
        <is>
          <t>Industrial - Warehouse</t>
        </is>
      </c>
      <c r="M18" s="33" t="inlineStr">
        <is>
          <t>Multi-tenant (proforma)</t>
        </is>
      </c>
      <c r="N18" s="33" t="n"/>
      <c r="O18" s="33" t="n"/>
      <c r="P18" s="35" t="n">
        <v>201250</v>
      </c>
      <c r="Q18" s="35" t="n">
        <v>201250</v>
      </c>
      <c r="R18" s="33" t="n">
        <v>2024</v>
      </c>
      <c r="S18" s="33" t="inlineStr">
        <is>
          <t>—</t>
        </is>
      </c>
      <c r="T18" s="33" t="inlineStr">
        <is>
          <t>0% (100% vacant at DOV)</t>
        </is>
      </c>
      <c r="U18" s="36" t="n">
        <v>22610267</v>
      </c>
      <c r="V18" s="33" t="inlineStr">
        <is>
          <t>2025</t>
        </is>
      </c>
      <c r="W18" s="36" t="n">
        <v>9591982</v>
      </c>
      <c r="X18" s="33" t="inlineStr">
        <is>
          <t>—</t>
        </is>
      </c>
      <c r="Y18" s="33" t="inlineStr">
        <is>
          <t>R0218172.pdf</t>
        </is>
      </c>
      <c r="Z18" s="34" t="inlineStr">
        <is>
          <t>584</t>
        </is>
      </c>
    </row>
    <row r="19">
      <c r="A19" s="33" t="inlineStr">
        <is>
          <t>R0212546</t>
        </is>
      </c>
      <c r="B19" s="33" t="inlineStr">
        <is>
          <t>R0212546</t>
        </is>
      </c>
      <c r="C19" s="33" t="inlineStr">
        <is>
          <t>R0212546</t>
        </is>
      </c>
      <c r="D19" s="33" t="inlineStr">
        <is>
          <t>2780 N. Tower Road (parcel 1 of 2)</t>
        </is>
      </c>
      <c r="E19" s="33" t="inlineStr">
        <is>
          <t>2780 N. Tower Road</t>
        </is>
      </c>
      <c r="F19" s="33" t="inlineStr">
        <is>
          <t>Aurora</t>
        </is>
      </c>
      <c r="G19" s="33" t="inlineStr">
        <is>
          <t>CO</t>
        </is>
      </c>
      <c r="H19" s="33" t="inlineStr">
        <is>
          <t>80019 (est.)</t>
        </is>
      </c>
      <c r="I19" s="33" t="inlineStr">
        <is>
          <t>Adams</t>
        </is>
      </c>
      <c r="J19" s="33" t="inlineStr">
        <is>
          <t>2780 North Tower Road, LLC</t>
        </is>
      </c>
      <c r="K19" s="33" t="inlineStr">
        <is>
          <t>2780 North Tower Road, LLC</t>
        </is>
      </c>
      <c r="L19" s="33" t="inlineStr">
        <is>
          <t>Industrial - Distribution (single tenant)</t>
        </is>
      </c>
      <c r="M19" s="33" t="inlineStr">
        <is>
          <t>Single-tenant</t>
        </is>
      </c>
      <c r="N19" s="33" t="n"/>
      <c r="O19" s="33" t="n"/>
      <c r="P19" s="35" t="n">
        <v>386000</v>
      </c>
      <c r="Q19" s="35" t="n">
        <v>386000</v>
      </c>
      <c r="R19" s="33" t="n">
        <v>1983</v>
      </c>
      <c r="S19" s="33" t="inlineStr">
        <is>
          <t>—</t>
        </is>
      </c>
      <c r="T19" s="33" t="inlineStr">
        <is>
          <t>100%</t>
        </is>
      </c>
      <c r="U19" s="33" t="n"/>
      <c r="V19" s="33" t="inlineStr">
        <is>
          <t>2026</t>
        </is>
      </c>
      <c r="W19" s="36" t="n">
        <v>29030400</v>
      </c>
      <c r="X19" s="33" t="inlineStr">
        <is>
          <t>—</t>
        </is>
      </c>
      <c r="Y19" s="33" t="inlineStr">
        <is>
          <t>R0212546.pdf</t>
        </is>
      </c>
      <c r="Z19" s="34" t="inlineStr">
        <is>
          <t>584</t>
        </is>
      </c>
    </row>
    <row r="20">
      <c r="A20" s="33" t="inlineStr">
        <is>
          <t>R0212547</t>
        </is>
      </c>
      <c r="B20" s="33" t="inlineStr">
        <is>
          <t>R0212547</t>
        </is>
      </c>
      <c r="C20" s="33" t="inlineStr">
        <is>
          <t>R0212547</t>
        </is>
      </c>
      <c r="D20" s="33" t="inlineStr">
        <is>
          <t>2780 N. Tower Road (parcel 2 of 2)</t>
        </is>
      </c>
      <c r="E20" s="33" t="inlineStr">
        <is>
          <t>2780 N. Tower Road</t>
        </is>
      </c>
      <c r="F20" s="33" t="inlineStr">
        <is>
          <t>Aurora</t>
        </is>
      </c>
      <c r="G20" s="33" t="inlineStr">
        <is>
          <t>CO</t>
        </is>
      </c>
      <c r="H20" s="33" t="inlineStr">
        <is>
          <t>80019 (est.)</t>
        </is>
      </c>
      <c r="I20" s="33" t="inlineStr">
        <is>
          <t>Adams</t>
        </is>
      </c>
      <c r="J20" s="33" t="inlineStr">
        <is>
          <t>2780 North Tower Road, LLC</t>
        </is>
      </c>
      <c r="K20" s="33" t="inlineStr">
        <is>
          <t>2780 North Tower Road, LLC</t>
        </is>
      </c>
      <c r="L20" s="33" t="inlineStr">
        <is>
          <t>Industrial - Distribution (single tenant)</t>
        </is>
      </c>
      <c r="M20" s="33" t="inlineStr">
        <is>
          <t>Single-tenant</t>
        </is>
      </c>
      <c r="N20" s="33" t="n"/>
      <c r="O20" s="33" t="n"/>
      <c r="P20" s="33" t="n"/>
      <c r="Q20" s="33" t="n"/>
      <c r="R20" s="33" t="n">
        <v>1983</v>
      </c>
      <c r="S20" s="33" t="inlineStr">
        <is>
          <t>—</t>
        </is>
      </c>
      <c r="T20" s="33" t="inlineStr">
        <is>
          <t>100%</t>
        </is>
      </c>
      <c r="U20" s="33" t="n"/>
      <c r="V20" s="33" t="inlineStr">
        <is>
          <t>2026</t>
        </is>
      </c>
      <c r="W20" s="33" t="n"/>
      <c r="X20" s="33" t="inlineStr">
        <is>
          <t>—</t>
        </is>
      </c>
      <c r="Y20" s="33" t="inlineStr">
        <is>
          <t>R0212546.pdf</t>
        </is>
      </c>
      <c r="Z20" s="34" t="inlineStr">
        <is>
          <t>584</t>
        </is>
      </c>
    </row>
    <row r="21">
      <c r="A21" s="33" t="inlineStr">
        <is>
          <t>R0198564</t>
        </is>
      </c>
      <c r="B21" s="33" t="inlineStr">
        <is>
          <t>R0198564</t>
        </is>
      </c>
      <c r="C21" s="33" t="inlineStr">
        <is>
          <t>0182502202030</t>
        </is>
      </c>
      <c r="D21" s="33" t="inlineStr">
        <is>
          <t>TrusTile Doors</t>
        </is>
      </c>
      <c r="E21" s="33" t="inlineStr">
        <is>
          <t>1111 E 71st Ave</t>
        </is>
      </c>
      <c r="F21" s="33" t="inlineStr">
        <is>
          <t>Denver</t>
        </is>
      </c>
      <c r="G21" s="33" t="inlineStr">
        <is>
          <t>CO</t>
        </is>
      </c>
      <c r="H21" s="33" t="inlineStr">
        <is>
          <t>80229</t>
        </is>
      </c>
      <c r="I21" s="33" t="inlineStr">
        <is>
          <t>Adams</t>
        </is>
      </c>
      <c r="J21" s="33" t="inlineStr">
        <is>
          <t>TrusTile Doors LLC</t>
        </is>
      </c>
      <c r="K21" s="33" t="inlineStr">
        <is>
          <t>TrusTile Doors LLC</t>
        </is>
      </c>
      <c r="L21" s="33" t="inlineStr">
        <is>
          <t>Industrial - Manufacturing (doors)</t>
        </is>
      </c>
      <c r="M21" s="33" t="inlineStr">
        <is>
          <t>Owner-occupied</t>
        </is>
      </c>
      <c r="N21" s="33" t="n"/>
      <c r="O21" s="33" t="n"/>
      <c r="P21" s="33" t="n"/>
      <c r="Q21" s="33" t="n"/>
      <c r="R21" s="33" t="n"/>
      <c r="S21" s="33" t="inlineStr">
        <is>
          <t>—</t>
        </is>
      </c>
      <c r="T21" s="33" t="inlineStr">
        <is>
          <t>100% Owner-Occupied</t>
        </is>
      </c>
      <c r="U21" s="33" t="n"/>
      <c r="V21" s="33" t="inlineStr">
        <is>
          <t>2025</t>
        </is>
      </c>
      <c r="W21" s="33" t="inlineStr">
        <is>
          <t>—</t>
        </is>
      </c>
      <c r="X21" s="33" t="inlineStr">
        <is>
          <t>—</t>
        </is>
      </c>
      <c r="Y21" s="33" t="inlineStr">
        <is>
          <t>R0198564.pdf</t>
        </is>
      </c>
      <c r="Z21" s="34" t="inlineStr">
        <is>
          <t>584</t>
        </is>
      </c>
    </row>
    <row r="22">
      <c r="A22" s="33" t="inlineStr">
        <is>
          <t>R0217136</t>
        </is>
      </c>
      <c r="B22" s="33" t="inlineStr">
        <is>
          <t>R0217136</t>
        </is>
      </c>
      <c r="C22" s="33" t="inlineStr">
        <is>
          <t>R0217136</t>
        </is>
      </c>
      <c r="D22" s="33" t="inlineStr">
        <is>
          <t>Broadway Logistics Center</t>
        </is>
      </c>
      <c r="E22" s="33" t="inlineStr">
        <is>
          <t>6795 Broadway St</t>
        </is>
      </c>
      <c r="F22" s="33" t="inlineStr">
        <is>
          <t>Denver</t>
        </is>
      </c>
      <c r="G22" s="33" t="inlineStr">
        <is>
          <t>CO</t>
        </is>
      </c>
      <c r="H22" s="33" t="inlineStr">
        <is>
          <t>80221</t>
        </is>
      </c>
      <c r="I22" s="33" t="inlineStr">
        <is>
          <t>Adams</t>
        </is>
      </c>
      <c r="J22" s="33" t="inlineStr">
        <is>
          <t>Lovett Industrial, LLC</t>
        </is>
      </c>
      <c r="K22" s="33" t="inlineStr">
        <is>
          <t>Lovett Industrial, LLC</t>
        </is>
      </c>
      <c r="L22" s="33" t="inlineStr">
        <is>
          <t>Industrial - Warehouse</t>
        </is>
      </c>
      <c r="M22" s="33" t="inlineStr">
        <is>
          <t>Multi-tenant (proforma; actual 100% vacant)</t>
        </is>
      </c>
      <c r="N22" s="37" t="n">
        <v>12.184</v>
      </c>
      <c r="O22" s="35" t="n">
        <v>530735</v>
      </c>
      <c r="P22" s="35" t="n">
        <v>201025</v>
      </c>
      <c r="Q22" s="35" t="n">
        <v>201025</v>
      </c>
      <c r="R22" s="33" t="n">
        <v>2023</v>
      </c>
      <c r="S22" s="33" t="inlineStr">
        <is>
          <t>2.64:1</t>
        </is>
      </c>
      <c r="T22" s="33" t="inlineStr">
        <is>
          <t>0% (rent roll 100% vacant, 2 units)</t>
        </is>
      </c>
      <c r="U22" s="36" t="n">
        <v>25207046</v>
      </c>
      <c r="V22" s="33" t="inlineStr">
        <is>
          <t>2025</t>
        </is>
      </c>
      <c r="W22" s="36" t="n">
        <v>14866600</v>
      </c>
      <c r="X22" s="33" t="inlineStr">
        <is>
          <t>—</t>
        </is>
      </c>
      <c r="Y22" s="33" t="inlineStr">
        <is>
          <t>R0217136.pdf</t>
        </is>
      </c>
      <c r="Z22" s="34" t="inlineStr">
        <is>
          <t>584</t>
        </is>
      </c>
    </row>
    <row r="23">
      <c r="A23" s="33" t="inlineStr">
        <is>
          <t>R0198789</t>
        </is>
      </c>
      <c r="B23" s="33" t="inlineStr">
        <is>
          <t>R0198789-Lease</t>
        </is>
      </c>
      <c r="C23" s="33" t="inlineStr">
        <is>
          <t>R0198789</t>
        </is>
      </c>
      <c r="D23" s="33" t="inlineStr">
        <is>
          <t>DEN3 - Bull Crossing</t>
        </is>
      </c>
      <c r="E23" s="33" t="inlineStr">
        <is>
          <t>14601 Grant Street</t>
        </is>
      </c>
      <c r="F23" s="33" t="inlineStr">
        <is>
          <t>Thornton</t>
        </is>
      </c>
      <c r="G23" s="33" t="inlineStr">
        <is>
          <t>CO</t>
        </is>
      </c>
      <c r="H23" s="33" t="inlineStr">
        <is>
          <t>80023</t>
        </is>
      </c>
      <c r="I23" s="33" t="inlineStr">
        <is>
          <t>Adams</t>
        </is>
      </c>
      <c r="J23" s="33" t="inlineStr">
        <is>
          <t>144 Bull Crossing Associates LLC</t>
        </is>
      </c>
      <c r="K23" s="33" t="inlineStr">
        <is>
          <t>Amazon.com Services LLC (leasehold)</t>
        </is>
      </c>
      <c r="L23" s="33" t="inlineStr">
        <is>
          <t>Industrial - AR Sortable (Amazon fulfillment)</t>
        </is>
      </c>
      <c r="M23" s="33" t="inlineStr">
        <is>
          <t>Single-tenant (Amazon, NNN)</t>
        </is>
      </c>
      <c r="N23" s="37" t="n">
        <v>61.97</v>
      </c>
      <c r="O23" s="35" t="n">
        <v>2699403</v>
      </c>
      <c r="P23" s="35" t="n">
        <v>857400</v>
      </c>
      <c r="Q23" s="35" t="n">
        <v>857400</v>
      </c>
      <c r="R23" s="33" t="n">
        <v>2018</v>
      </c>
      <c r="S23" s="33" t="inlineStr">
        <is>
          <t>—</t>
        </is>
      </c>
      <c r="T23" s="33" t="inlineStr">
        <is>
          <t>100%</t>
        </is>
      </c>
      <c r="U23" s="36" t="n">
        <v>91498458</v>
      </c>
      <c r="V23" s="33" t="inlineStr">
        <is>
          <t>2025</t>
        </is>
      </c>
      <c r="W23" s="36" t="n">
        <v>73627000</v>
      </c>
      <c r="X23" s="33" t="inlineStr">
        <is>
          <t>—</t>
        </is>
      </c>
      <c r="Y23" s="33" t="inlineStr">
        <is>
          <t>R0198789.pdf</t>
        </is>
      </c>
      <c r="Z23" s="34" t="inlineStr">
        <is>
          <t>584</t>
        </is>
      </c>
    </row>
    <row r="24">
      <c r="A24" s="33" t="inlineStr">
        <is>
          <t>R0198530</t>
        </is>
      </c>
      <c r="B24" s="33" t="inlineStr">
        <is>
          <t>R0198530</t>
        </is>
      </c>
      <c r="C24" s="33" t="inlineStr">
        <is>
          <t>R0198530</t>
        </is>
      </c>
      <c r="D24" s="33" t="inlineStr">
        <is>
          <t>DEN7</t>
        </is>
      </c>
      <c r="E24" s="33" t="inlineStr">
        <is>
          <t>22300 E 26th Avenue</t>
        </is>
      </c>
      <c r="F24" s="33" t="inlineStr">
        <is>
          <t>Aurora</t>
        </is>
      </c>
      <c r="G24" s="33" t="inlineStr">
        <is>
          <t>CO</t>
        </is>
      </c>
      <c r="H24" s="33" t="inlineStr">
        <is>
          <t>80019</t>
        </is>
      </c>
      <c r="I24" s="33" t="inlineStr">
        <is>
          <t>Adams</t>
        </is>
      </c>
      <c r="J24" s="33" t="inlineStr">
        <is>
          <t>FR Aurora Commerce Center Phase I LLC (First Industrial Realty Trust)</t>
        </is>
      </c>
      <c r="K24" s="33" t="inlineStr">
        <is>
          <t>Amazon.com Services LLC (leasehold)</t>
        </is>
      </c>
      <c r="L24" s="33" t="inlineStr">
        <is>
          <t>Warehouse (Amazon fulfillment)</t>
        </is>
      </c>
      <c r="M24" s="33" t="inlineStr">
        <is>
          <t>Single-tenant (Amazon, NNN)</t>
        </is>
      </c>
      <c r="N24" s="37" t="n">
        <v>33.81</v>
      </c>
      <c r="O24" s="35" t="n">
        <v>1472955</v>
      </c>
      <c r="P24" s="35" t="n">
        <v>555840</v>
      </c>
      <c r="Q24" s="35" t="n">
        <v>555840</v>
      </c>
      <c r="R24" s="33" t="n">
        <v>2019</v>
      </c>
      <c r="S24" s="33" t="inlineStr">
        <is>
          <t>—</t>
        </is>
      </c>
      <c r="T24" s="33" t="inlineStr">
        <is>
          <t>100%</t>
        </is>
      </c>
      <c r="U24" s="36" t="n">
        <v>58528163</v>
      </c>
      <c r="V24" s="33" t="inlineStr">
        <is>
          <t>2025</t>
        </is>
      </c>
      <c r="W24" s="36" t="n">
        <v>41529000</v>
      </c>
      <c r="X24" s="33" t="inlineStr">
        <is>
          <t>—</t>
        </is>
      </c>
      <c r="Y24" s="33" t="inlineStr">
        <is>
          <t>R0198530.pdf</t>
        </is>
      </c>
      <c r="Z24" s="34" t="inlineStr">
        <is>
          <t>584</t>
        </is>
      </c>
    </row>
    <row r="25">
      <c r="A25" s="33" t="inlineStr">
        <is>
          <t>R0193588</t>
        </is>
      </c>
      <c r="B25" s="33" t="inlineStr">
        <is>
          <t>R0193588</t>
        </is>
      </c>
      <c r="C25" s="33" t="inlineStr">
        <is>
          <t>R0193588</t>
        </is>
      </c>
      <c r="D25" s="33" t="inlineStr">
        <is>
          <t>Majestic Commercenter Bldg 15</t>
        </is>
      </c>
      <c r="E25" s="33" t="inlineStr">
        <is>
          <t>2889 Himalaya Road</t>
        </is>
      </c>
      <c r="F25" s="33" t="inlineStr">
        <is>
          <t>Adams County</t>
        </is>
      </c>
      <c r="G25" s="33" t="inlineStr">
        <is>
          <t>CO</t>
        </is>
      </c>
      <c r="H25" s="33" t="inlineStr">
        <is>
          <t>—</t>
        </is>
      </c>
      <c r="I25" s="33" t="inlineStr">
        <is>
          <t>Adams</t>
        </is>
      </c>
      <c r="J25" s="33" t="inlineStr">
        <is>
          <t>Maj Commercenter Bldg 15, LLC</t>
        </is>
      </c>
      <c r="K25" s="33" t="inlineStr">
        <is>
          <t>Maj Commercenter Bldg 15, LLC</t>
        </is>
      </c>
      <c r="L25" s="33" t="inlineStr">
        <is>
          <t>Industrial - Warehouse</t>
        </is>
      </c>
      <c r="M25" s="33" t="inlineStr">
        <is>
          <t>Single-tenant</t>
        </is>
      </c>
      <c r="N25" s="33" t="n"/>
      <c r="O25" s="33" t="n"/>
      <c r="P25" s="35" t="n">
        <v>702491</v>
      </c>
      <c r="Q25" s="35" t="n">
        <v>702491</v>
      </c>
      <c r="R25" s="33" t="n">
        <v>2019</v>
      </c>
      <c r="S25" s="33" t="inlineStr">
        <is>
          <t>—</t>
        </is>
      </c>
      <c r="T25" s="33" t="inlineStr">
        <is>
          <t>100%</t>
        </is>
      </c>
      <c r="U25" s="33" t="n"/>
      <c r="V25" s="33" t="inlineStr">
        <is>
          <t>2026</t>
        </is>
      </c>
      <c r="W25" s="36" t="n">
        <v>49199700</v>
      </c>
      <c r="X25" s="33" t="inlineStr">
        <is>
          <t>—</t>
        </is>
      </c>
      <c r="Y25" s="33" t="inlineStr">
        <is>
          <t>R0193588.pdf</t>
        </is>
      </c>
      <c r="Z25" s="34" t="inlineStr">
        <is>
          <t>584</t>
        </is>
      </c>
    </row>
    <row r="26">
      <c r="A26" s="33" t="inlineStr">
        <is>
          <t>R0191292</t>
        </is>
      </c>
      <c r="B26" s="33" t="inlineStr">
        <is>
          <t>R0191292</t>
        </is>
      </c>
      <c r="C26" s="33" t="inlineStr">
        <is>
          <t>R0191292</t>
        </is>
      </c>
      <c r="D26" s="33" t="inlineStr">
        <is>
          <t>DEN2 - PR Park 70</t>
        </is>
      </c>
      <c r="E26" s="33" t="inlineStr">
        <is>
          <t>22205 E 19th Avenue</t>
        </is>
      </c>
      <c r="F26" s="33" t="inlineStr">
        <is>
          <t>Aurora</t>
        </is>
      </c>
      <c r="G26" s="33" t="inlineStr">
        <is>
          <t>CO</t>
        </is>
      </c>
      <c r="H26" s="33" t="inlineStr">
        <is>
          <t>80019</t>
        </is>
      </c>
      <c r="I26" s="33" t="inlineStr">
        <is>
          <t>Adams</t>
        </is>
      </c>
      <c r="J26" s="33" t="inlineStr">
        <is>
          <t>PRISA LHC LLC dba Park 70 Building Venture 11 LLC (PGIM)</t>
        </is>
      </c>
      <c r="K26" s="33" t="inlineStr">
        <is>
          <t>Amazon.com Services LLC (leasehold)</t>
        </is>
      </c>
      <c r="L26" s="33" t="inlineStr">
        <is>
          <t>Traditional Non-Sortable (Amazon fulfillment)</t>
        </is>
      </c>
      <c r="M26" s="33" t="inlineStr">
        <is>
          <t>Single-tenant (Amazon, NNN)</t>
        </is>
      </c>
      <c r="N26" s="37" t="n">
        <v>69.40000000000001</v>
      </c>
      <c r="O26" s="35" t="n">
        <v>3023064</v>
      </c>
      <c r="P26" s="35" t="n">
        <v>1016116</v>
      </c>
      <c r="Q26" s="35" t="n">
        <v>1016116</v>
      </c>
      <c r="R26" s="33" t="n">
        <v>2017</v>
      </c>
      <c r="S26" s="33" t="inlineStr">
        <is>
          <t>—</t>
        </is>
      </c>
      <c r="T26" s="33" t="inlineStr">
        <is>
          <t>100%</t>
        </is>
      </c>
      <c r="U26" s="36" t="n">
        <v>91704470</v>
      </c>
      <c r="V26" s="33" t="inlineStr">
        <is>
          <t>2025</t>
        </is>
      </c>
      <c r="W26" s="36" t="n">
        <v>76761000</v>
      </c>
      <c r="X26" s="33" t="inlineStr">
        <is>
          <t>—</t>
        </is>
      </c>
      <c r="Y26" s="33" t="inlineStr">
        <is>
          <t>R0191292.pdf</t>
        </is>
      </c>
      <c r="Z26" s="34" t="inlineStr">
        <is>
          <t>584</t>
        </is>
      </c>
    </row>
    <row r="27">
      <c r="A27" s="33" t="inlineStr">
        <is>
          <t>R0187866</t>
        </is>
      </c>
      <c r="B27" s="33" t="inlineStr">
        <is>
          <t>R0187866</t>
        </is>
      </c>
      <c r="C27" s="33" t="inlineStr">
        <is>
          <t>R0187866</t>
        </is>
      </c>
      <c r="D27" s="33" t="inlineStr">
        <is>
          <t>Majestic Commercenter Bldg 29</t>
        </is>
      </c>
      <c r="E27" s="33" t="inlineStr">
        <is>
          <t>19799 E. 36th Drive</t>
        </is>
      </c>
      <c r="F27" s="33" t="inlineStr">
        <is>
          <t>Adams County</t>
        </is>
      </c>
      <c r="G27" s="33" t="inlineStr">
        <is>
          <t>CO</t>
        </is>
      </c>
      <c r="H27" s="33" t="inlineStr">
        <is>
          <t>—</t>
        </is>
      </c>
      <c r="I27" s="33" t="inlineStr">
        <is>
          <t>Adams</t>
        </is>
      </c>
      <c r="J27" s="33" t="inlineStr">
        <is>
          <t>Maj Commercenter Bldg 29 LLC</t>
        </is>
      </c>
      <c r="K27" s="33" t="inlineStr">
        <is>
          <t>Maj Commercenter Bldg 29 LLC</t>
        </is>
      </c>
      <c r="L27" s="33" t="inlineStr">
        <is>
          <t>Industrial - Warehouse</t>
        </is>
      </c>
      <c r="M27" s="33" t="inlineStr">
        <is>
          <t>Multi-tenant</t>
        </is>
      </c>
      <c r="N27" s="33" t="n"/>
      <c r="O27" s="33" t="n"/>
      <c r="P27" s="35" t="n">
        <v>452400</v>
      </c>
      <c r="Q27" s="35" t="n">
        <v>452400</v>
      </c>
      <c r="R27" s="33" t="n">
        <v>2015</v>
      </c>
      <c r="S27" s="33" t="inlineStr">
        <is>
          <t>—</t>
        </is>
      </c>
      <c r="T27" s="33" t="inlineStr">
        <is>
          <t>100%</t>
        </is>
      </c>
      <c r="U27" s="33" t="n"/>
      <c r="V27" s="33" t="inlineStr">
        <is>
          <t>2026</t>
        </is>
      </c>
      <c r="W27" s="36" t="n">
        <v>31684300</v>
      </c>
      <c r="X27" s="33" t="inlineStr">
        <is>
          <t>—</t>
        </is>
      </c>
      <c r="Y27" s="33" t="inlineStr">
        <is>
          <t>R0187866.pdf</t>
        </is>
      </c>
      <c r="Z27" s="34" t="inlineStr">
        <is>
          <t>584</t>
        </is>
      </c>
    </row>
    <row r="28">
      <c r="A28" s="33" t="inlineStr">
        <is>
          <t>R0172868</t>
        </is>
      </c>
      <c r="B28" s="33" t="inlineStr">
        <is>
          <t>R0172868</t>
        </is>
      </c>
      <c r="C28" s="33" t="inlineStr">
        <is>
          <t>R0172868</t>
        </is>
      </c>
      <c r="D28" s="33" t="inlineStr">
        <is>
          <t>Majestic Commercenter Bldg 26</t>
        </is>
      </c>
      <c r="E28" s="33" t="inlineStr">
        <is>
          <t>19755 E. 35th Drive</t>
        </is>
      </c>
      <c r="F28" s="33" t="inlineStr">
        <is>
          <t>Adams County</t>
        </is>
      </c>
      <c r="G28" s="33" t="inlineStr">
        <is>
          <t>CO</t>
        </is>
      </c>
      <c r="H28" s="33" t="inlineStr">
        <is>
          <t>—</t>
        </is>
      </c>
      <c r="I28" s="33" t="inlineStr">
        <is>
          <t>Adams</t>
        </is>
      </c>
      <c r="J28" s="33" t="inlineStr">
        <is>
          <t>Commercenter #26 LLC</t>
        </is>
      </c>
      <c r="K28" s="33" t="inlineStr">
        <is>
          <t>Commercenter #26 LLC</t>
        </is>
      </c>
      <c r="L28" s="33" t="inlineStr">
        <is>
          <t>Industrial - Warehouse</t>
        </is>
      </c>
      <c r="M28" s="33" t="inlineStr">
        <is>
          <t>Single-tenant</t>
        </is>
      </c>
      <c r="N28" s="33" t="n"/>
      <c r="O28" s="33" t="n"/>
      <c r="P28" s="35" t="n">
        <v>200000</v>
      </c>
      <c r="Q28" s="35" t="n">
        <v>200000</v>
      </c>
      <c r="R28" s="33" t="n">
        <v>2007</v>
      </c>
      <c r="S28" s="33" t="inlineStr">
        <is>
          <t>—</t>
        </is>
      </c>
      <c r="T28" s="33" t="inlineStr">
        <is>
          <t>100%</t>
        </is>
      </c>
      <c r="U28" s="33" t="n"/>
      <c r="V28" s="33" t="inlineStr">
        <is>
          <t>2026</t>
        </is>
      </c>
      <c r="W28" s="36" t="n">
        <v>14007200</v>
      </c>
      <c r="X28" s="33" t="inlineStr">
        <is>
          <t>—</t>
        </is>
      </c>
      <c r="Y28" s="33" t="inlineStr">
        <is>
          <t>R0172868.pdf</t>
        </is>
      </c>
      <c r="Z28" s="34" t="inlineStr">
        <is>
          <t>584</t>
        </is>
      </c>
    </row>
    <row r="29">
      <c r="A29" s="33" t="inlineStr">
        <is>
          <t>R0180551</t>
        </is>
      </c>
      <c r="B29" s="33" t="inlineStr">
        <is>
          <t>R0180551</t>
        </is>
      </c>
      <c r="C29" s="33" t="inlineStr">
        <is>
          <t>R0180551</t>
        </is>
      </c>
      <c r="D29" s="33" t="inlineStr">
        <is>
          <t>Home Depot Denver</t>
        </is>
      </c>
      <c r="E29" s="33" t="inlineStr">
        <is>
          <t>1953 Gun Club Rd</t>
        </is>
      </c>
      <c r="F29" s="33" t="inlineStr">
        <is>
          <t>Aurora</t>
        </is>
      </c>
      <c r="G29" s="33" t="inlineStr">
        <is>
          <t>CO</t>
        </is>
      </c>
      <c r="H29" s="33" t="inlineStr">
        <is>
          <t>80019</t>
        </is>
      </c>
      <c r="I29" s="33" t="inlineStr">
        <is>
          <t>Adams</t>
        </is>
      </c>
      <c r="J29" s="33" t="inlineStr">
        <is>
          <t>Cherry Owner III LLC (Alpha Industrial Properties)</t>
        </is>
      </c>
      <c r="K29" s="33" t="inlineStr">
        <is>
          <t>Cherry Owner III LLC</t>
        </is>
      </c>
      <c r="L29" s="33" t="inlineStr">
        <is>
          <t>Industrial - Warehouse</t>
        </is>
      </c>
      <c r="M29" s="33" t="inlineStr">
        <is>
          <t>Single-tenant (Home Depot, NNN)</t>
        </is>
      </c>
      <c r="N29" s="37" t="n">
        <v>17.224</v>
      </c>
      <c r="O29" s="35" t="n">
        <v>750277</v>
      </c>
      <c r="P29" s="35" t="n">
        <v>220000</v>
      </c>
      <c r="Q29" s="35" t="n">
        <v>220000</v>
      </c>
      <c r="R29" s="33" t="n">
        <v>2012</v>
      </c>
      <c r="S29" s="33" t="inlineStr">
        <is>
          <t>3.41:1</t>
        </is>
      </c>
      <c r="T29" s="33" t="inlineStr">
        <is>
          <t>100%</t>
        </is>
      </c>
      <c r="U29" s="36" t="n">
        <v>36400834</v>
      </c>
      <c r="V29" s="33" t="inlineStr">
        <is>
          <t>2025</t>
        </is>
      </c>
      <c r="W29" s="36" t="n">
        <v>16062800</v>
      </c>
      <c r="X29" s="33" t="inlineStr">
        <is>
          <t>—</t>
        </is>
      </c>
      <c r="Y29" s="33" t="inlineStr">
        <is>
          <t>R0180551.pdf</t>
        </is>
      </c>
      <c r="Z29" s="34" t="inlineStr">
        <is>
          <t>584</t>
        </is>
      </c>
    </row>
    <row r="30">
      <c r="A30" s="33" t="inlineStr">
        <is>
          <t>R0172848</t>
        </is>
      </c>
      <c r="B30" s="33" t="inlineStr">
        <is>
          <t>R0172848</t>
        </is>
      </c>
      <c r="C30" s="33" t="inlineStr">
        <is>
          <t>R0172848</t>
        </is>
      </c>
      <c r="D30" s="33" t="inlineStr">
        <is>
          <t>22100 E 26th Ave (ASB)</t>
        </is>
      </c>
      <c r="E30" s="33" t="inlineStr">
        <is>
          <t>22100 E 26th Ave</t>
        </is>
      </c>
      <c r="F30" s="33" t="inlineStr">
        <is>
          <t>Aurora</t>
        </is>
      </c>
      <c r="G30" s="33" t="inlineStr">
        <is>
          <t>CO</t>
        </is>
      </c>
      <c r="H30" s="33" t="inlineStr">
        <is>
          <t>—</t>
        </is>
      </c>
      <c r="I30" s="33" t="inlineStr">
        <is>
          <t>Adams</t>
        </is>
      </c>
      <c r="J30" s="33" t="inlineStr">
        <is>
          <t>22100 E 26th Owner LLC (ASB Real Estate)</t>
        </is>
      </c>
      <c r="K30" s="33" t="inlineStr">
        <is>
          <t>22100 E 26th Owner LLC</t>
        </is>
      </c>
      <c r="L30" s="33" t="inlineStr">
        <is>
          <t>Industrial</t>
        </is>
      </c>
      <c r="M30" s="33" t="inlineStr">
        <is>
          <t>Multi-tenant (28% occupied at DOV)</t>
        </is>
      </c>
      <c r="N30" s="37" t="n">
        <v>22.18</v>
      </c>
      <c r="O30" s="33" t="n"/>
      <c r="P30" s="35" t="n">
        <v>406959</v>
      </c>
      <c r="Q30" s="35" t="n">
        <v>406959</v>
      </c>
      <c r="R30" s="33" t="n">
        <v>2007</v>
      </c>
      <c r="S30" s="33" t="inlineStr">
        <is>
          <t>—</t>
        </is>
      </c>
      <c r="T30" s="33" t="inlineStr">
        <is>
          <t>28% (6/30/2024)</t>
        </is>
      </c>
      <c r="U30" s="36" t="n">
        <v>43077347</v>
      </c>
      <c r="V30" s="33" t="inlineStr">
        <is>
          <t>2025</t>
        </is>
      </c>
      <c r="W30" s="36" t="n">
        <v>31001000</v>
      </c>
      <c r="X30" s="33" t="inlineStr">
        <is>
          <t>—</t>
        </is>
      </c>
      <c r="Y30" s="33" t="inlineStr">
        <is>
          <t>R0172848.pdf</t>
        </is>
      </c>
      <c r="Z30" s="34" t="inlineStr">
        <is>
          <t>584</t>
        </is>
      </c>
    </row>
    <row r="31">
      <c r="A31" s="33" t="inlineStr">
        <is>
          <t>R0172865</t>
        </is>
      </c>
      <c r="B31" s="33" t="inlineStr">
        <is>
          <t>R0172865</t>
        </is>
      </c>
      <c r="C31" s="33" t="inlineStr">
        <is>
          <t>R0172865</t>
        </is>
      </c>
      <c r="D31" s="33" t="inlineStr">
        <is>
          <t>Majestic Commercenter Bldg 24</t>
        </is>
      </c>
      <c r="E31" s="33" t="inlineStr">
        <is>
          <t>3500 N. Windsor Drive</t>
        </is>
      </c>
      <c r="F31" s="33" t="inlineStr">
        <is>
          <t>Adams County</t>
        </is>
      </c>
      <c r="G31" s="33" t="inlineStr">
        <is>
          <t>CO</t>
        </is>
      </c>
      <c r="H31" s="33" t="inlineStr">
        <is>
          <t>—</t>
        </is>
      </c>
      <c r="I31" s="33" t="inlineStr">
        <is>
          <t>Adams</t>
        </is>
      </c>
      <c r="J31" s="33" t="inlineStr">
        <is>
          <t>Commercenter #24 LLC</t>
        </is>
      </c>
      <c r="K31" s="33" t="inlineStr">
        <is>
          <t>Commercenter #24 LLC</t>
        </is>
      </c>
      <c r="L31" s="33" t="inlineStr">
        <is>
          <t>Industrial - Warehouse</t>
        </is>
      </c>
      <c r="M31" s="33" t="inlineStr">
        <is>
          <t>Multi-tenant</t>
        </is>
      </c>
      <c r="N31" s="33" t="n"/>
      <c r="O31" s="33" t="n"/>
      <c r="P31" s="35" t="n">
        <v>215030</v>
      </c>
      <c r="Q31" s="35" t="n">
        <v>215030</v>
      </c>
      <c r="R31" s="33" t="n">
        <v>2008</v>
      </c>
      <c r="S31" s="33" t="inlineStr">
        <is>
          <t>—</t>
        </is>
      </c>
      <c r="T31" s="33" t="inlineStr">
        <is>
          <t>100%</t>
        </is>
      </c>
      <c r="U31" s="33" t="n"/>
      <c r="V31" s="33" t="inlineStr">
        <is>
          <t>2026</t>
        </is>
      </c>
      <c r="W31" s="36" t="n">
        <v>15059900</v>
      </c>
      <c r="X31" s="33" t="inlineStr">
        <is>
          <t>—</t>
        </is>
      </c>
      <c r="Y31" s="33" t="inlineStr">
        <is>
          <t>R0172865.pdf</t>
        </is>
      </c>
      <c r="Z31" s="34" t="inlineStr">
        <is>
          <t>584</t>
        </is>
      </c>
    </row>
    <row r="32">
      <c r="A32" s="33" t="inlineStr">
        <is>
          <t>R0132030</t>
        </is>
      </c>
      <c r="B32" s="33" t="inlineStr">
        <is>
          <t>R0132030</t>
        </is>
      </c>
      <c r="C32" s="33" t="inlineStr">
        <is>
          <t>R0132030</t>
        </is>
      </c>
      <c r="D32" s="33" t="inlineStr">
        <is>
          <t>Majestic Commercenter Bldg 22</t>
        </is>
      </c>
      <c r="E32" s="33" t="inlineStr">
        <is>
          <t>3543 N. Windsor Drive</t>
        </is>
      </c>
      <c r="F32" s="33" t="inlineStr">
        <is>
          <t>Adams County</t>
        </is>
      </c>
      <c r="G32" s="33" t="inlineStr">
        <is>
          <t>CO</t>
        </is>
      </c>
      <c r="H32" s="33" t="inlineStr">
        <is>
          <t>—</t>
        </is>
      </c>
      <c r="I32" s="33" t="inlineStr">
        <is>
          <t>Adams</t>
        </is>
      </c>
      <c r="J32" s="33" t="inlineStr">
        <is>
          <t>Commercenter #22 LLC</t>
        </is>
      </c>
      <c r="K32" s="33" t="inlineStr">
        <is>
          <t>Commercenter #22 LLC</t>
        </is>
      </c>
      <c r="L32" s="33" t="inlineStr">
        <is>
          <t>Industrial - Warehouse</t>
        </is>
      </c>
      <c r="M32" s="33" t="inlineStr">
        <is>
          <t>Multi-tenant</t>
        </is>
      </c>
      <c r="N32" s="33" t="n"/>
      <c r="O32" s="33" t="n"/>
      <c r="P32" s="35" t="n">
        <v>200090</v>
      </c>
      <c r="Q32" s="35" t="n">
        <v>200090</v>
      </c>
      <c r="R32" s="33" t="n">
        <v>2001</v>
      </c>
      <c r="S32" s="33" t="inlineStr">
        <is>
          <t>—</t>
        </is>
      </c>
      <c r="T32" s="33" t="inlineStr">
        <is>
          <t>75%</t>
        </is>
      </c>
      <c r="U32" s="33" t="n"/>
      <c r="V32" s="33" t="inlineStr">
        <is>
          <t>2026</t>
        </is>
      </c>
      <c r="W32" s="36" t="n">
        <v>13402900</v>
      </c>
      <c r="X32" s="33" t="inlineStr">
        <is>
          <t>—</t>
        </is>
      </c>
      <c r="Y32" s="33" t="inlineStr">
        <is>
          <t>R0132030.pdf</t>
        </is>
      </c>
      <c r="Z32" s="34" t="inlineStr">
        <is>
          <t>584</t>
        </is>
      </c>
    </row>
    <row r="33">
      <c r="A33" s="33" t="inlineStr">
        <is>
          <t>R0092655</t>
        </is>
      </c>
      <c r="B33" s="33" t="inlineStr">
        <is>
          <t>R0092655</t>
        </is>
      </c>
      <c r="C33" s="33" t="inlineStr">
        <is>
          <t>0182317300025</t>
        </is>
      </c>
      <c r="D33" s="33" t="inlineStr">
        <is>
          <t>Shamrock Foods</t>
        </is>
      </c>
      <c r="E33" s="33" t="inlineStr">
        <is>
          <t>5199 Ivy St</t>
        </is>
      </c>
      <c r="F33" s="33" t="inlineStr">
        <is>
          <t>Commerce City</t>
        </is>
      </c>
      <c r="G33" s="33" t="inlineStr">
        <is>
          <t>CO</t>
        </is>
      </c>
      <c r="H33" s="33" t="inlineStr">
        <is>
          <t>—</t>
        </is>
      </c>
      <c r="I33" s="33" t="inlineStr">
        <is>
          <t>Adams</t>
        </is>
      </c>
      <c r="J33" s="33" t="inlineStr">
        <is>
          <t>Shamrock Foods Company</t>
        </is>
      </c>
      <c r="K33" s="33" t="inlineStr">
        <is>
          <t>Shamrock Foods Company</t>
        </is>
      </c>
      <c r="L33" s="33" t="inlineStr">
        <is>
          <t>Warehouse</t>
        </is>
      </c>
      <c r="M33" s="33" t="inlineStr">
        <is>
          <t>Owner-occupied</t>
        </is>
      </c>
      <c r="N33" s="37" t="n">
        <v>21.96</v>
      </c>
      <c r="O33" s="33" t="n"/>
      <c r="P33" s="35" t="n">
        <v>329903</v>
      </c>
      <c r="Q33" s="35" t="n">
        <v>329903</v>
      </c>
      <c r="R33" s="33" t="n">
        <v>1983</v>
      </c>
      <c r="S33" s="33" t="inlineStr">
        <is>
          <t>—</t>
        </is>
      </c>
      <c r="T33" s="33" t="inlineStr">
        <is>
          <t>100% Owner-Occupied</t>
        </is>
      </c>
      <c r="U33" s="36" t="n">
        <v>36703938</v>
      </c>
      <c r="V33" s="33" t="inlineStr">
        <is>
          <t>2025</t>
        </is>
      </c>
      <c r="W33" s="36" t="n">
        <v>24502171</v>
      </c>
      <c r="X33" s="33" t="inlineStr">
        <is>
          <t>—</t>
        </is>
      </c>
      <c r="Y33" s="33" t="inlineStr">
        <is>
          <t>R0092655.pdf</t>
        </is>
      </c>
      <c r="Z33" s="34" t="inlineStr">
        <is>
          <t>584</t>
        </is>
      </c>
    </row>
  </sheetData>
  <mergeCells count="2">
    <mergeCell ref="A1:Z1"/>
    <mergeCell ref="A2:Z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9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  <c r="N4" s="32" t="inlineStr">
        <is>
          <t>Batch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38" t="inlineStr">
        <is>
          <t>584 batch — actual tenant leases</t>
        </is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3" t="inlineStr">
        <is>
          <t>DEN3 - Bull Crossing</t>
        </is>
      </c>
      <c r="B28" s="33" t="inlineStr">
        <is>
          <t>Whole</t>
        </is>
      </c>
      <c r="C28" s="33" t="inlineStr">
        <is>
          <t>Amazon.com Services LLC</t>
        </is>
      </c>
      <c r="D28" s="33" t="inlineStr">
        <is>
          <t>Actual NNN</t>
        </is>
      </c>
      <c r="E28" s="40" t="n">
        <v>475890.21</v>
      </c>
      <c r="F28" s="40" t="n">
        <v>5710682.52</v>
      </c>
      <c r="G28" s="41" t="n">
        <v>6.66</v>
      </c>
      <c r="H28" s="33" t="inlineStr">
        <is>
          <t>7/23/2018</t>
        </is>
      </c>
      <c r="I28" s="33" t="inlineStr">
        <is>
          <t>7/31/2033</t>
        </is>
      </c>
      <c r="J28" s="33" t="inlineStr">
        <is>
          <t>4 x 5-yr renewal options @ market rate</t>
        </is>
      </c>
      <c r="K28" s="33" t="n"/>
      <c r="L28" s="33" t="n"/>
      <c r="M28" s="33" t="inlineStr">
        <is>
          <t>Landlord: 144 Bull Crossing Associates LLC. Rent escalates to $7.62/SF by 2032-33. Holdover option 8/1/2033-1/31/2034 at 100% rent.</t>
        </is>
      </c>
      <c r="N28" s="34" t="inlineStr">
        <is>
          <t>584</t>
        </is>
      </c>
    </row>
    <row r="29">
      <c r="A29" s="33" t="inlineStr">
        <is>
          <t>DEN7</t>
        </is>
      </c>
      <c r="B29" s="33" t="inlineStr">
        <is>
          <t>Whole</t>
        </is>
      </c>
      <c r="C29" s="33" t="inlineStr">
        <is>
          <t>Amazon.com Services LLC</t>
        </is>
      </c>
      <c r="D29" s="33" t="inlineStr">
        <is>
          <t>Actual NNN</t>
        </is>
      </c>
      <c r="E29" s="40" t="n">
        <v>268425.22</v>
      </c>
      <c r="F29" s="40" t="n">
        <v>3221102.64</v>
      </c>
      <c r="G29" s="41" t="n">
        <v>5.8</v>
      </c>
      <c r="H29" s="33" t="inlineStr">
        <is>
          <t>6/22/2020</t>
        </is>
      </c>
      <c r="I29" s="33" t="inlineStr">
        <is>
          <t>6/30/2027</t>
        </is>
      </c>
      <c r="J29" s="33" t="inlineStr">
        <is>
          <t>2 x 5-yr renewal options @ 100% market rate</t>
        </is>
      </c>
      <c r="K29" s="33" t="n"/>
      <c r="L29" s="33" t="n"/>
      <c r="M29" s="33" t="inlineStr">
        <is>
          <t>Landlord: FR Aurora Commerce Center Phase I LLC. Year-1 rent (3/22/2020-3/31/2021) fully abated. Escalates from $5.25/SF (2021) to $5.80/SF (2024-25).</t>
        </is>
      </c>
      <c r="N29" s="34" t="inlineStr">
        <is>
          <t>584</t>
        </is>
      </c>
    </row>
    <row r="30">
      <c r="A30" s="33" t="inlineStr">
        <is>
          <t>DEN2 - PR Park 70</t>
        </is>
      </c>
      <c r="B30" s="33" t="inlineStr">
        <is>
          <t>Whole</t>
        </is>
      </c>
      <c r="C30" s="33" t="inlineStr">
        <is>
          <t>Amazon.com Services LLC</t>
        </is>
      </c>
      <c r="D30" s="33" t="inlineStr">
        <is>
          <t>Actual NNN</t>
        </is>
      </c>
      <c r="E30" s="40" t="n">
        <v>496149.88</v>
      </c>
      <c r="F30" s="40" t="n">
        <v>5953798.55</v>
      </c>
      <c r="G30" s="41" t="n">
        <v>5.86</v>
      </c>
      <c r="H30" s="33" t="inlineStr">
        <is>
          <t>9/10/2017</t>
        </is>
      </c>
      <c r="I30" s="33" t="inlineStr">
        <is>
          <t>9/30/2032</t>
        </is>
      </c>
      <c r="J30" s="33" t="inlineStr">
        <is>
          <t>Up to 4 x 5-yr renewal options @ 100% market rate</t>
        </is>
      </c>
      <c r="K30" s="33" t="n"/>
      <c r="L30" s="33" t="n"/>
      <c r="M30" s="33" t="inlineStr">
        <is>
          <t>Landlord: PRISA LHC LLC dba Park 70 Building Venture 11 LLC (PGIM). Escalates from $5.77/SF (2022-23) to $6.41/SF by 2029-30.</t>
        </is>
      </c>
      <c r="N30" s="34" t="inlineStr">
        <is>
          <t>584</t>
        </is>
      </c>
    </row>
    <row r="31">
      <c r="A31" s="33" t="inlineStr">
        <is>
          <t>Home Depot Denver</t>
        </is>
      </c>
      <c r="B31" s="33" t="inlineStr">
        <is>
          <t>Whole</t>
        </is>
      </c>
      <c r="C31" s="33" t="inlineStr">
        <is>
          <t>Home Depot</t>
        </is>
      </c>
      <c r="D31" s="33" t="inlineStr">
        <is>
          <t>Actual NNN</t>
        </is>
      </c>
      <c r="E31" s="33" t="n"/>
      <c r="F31" s="40" t="n">
        <v>880000</v>
      </c>
      <c r="G31" s="41" t="n">
        <v>4</v>
      </c>
      <c r="H31" s="33" t="inlineStr">
        <is>
          <t>—</t>
        </is>
      </c>
      <c r="I31" s="33" t="inlineStr">
        <is>
          <t>—</t>
        </is>
      </c>
      <c r="J31" s="33" t="inlineStr">
        <is>
          <t>—</t>
        </is>
      </c>
      <c r="K31" s="33" t="n"/>
      <c r="L31" s="33" t="n"/>
      <c r="M31" s="33" t="inlineStr">
        <is>
          <t>Pro forma narrative states 'Current lease @ $4.00/NNN' ($880,000/yr on 220,000 SF); however the doc's own 3-yr Income &amp; Expense History shows YE2024 Base Rent of $1,088,974 ($4.95/SF) — both figures reproduced as documented; discrepancy not resolved in source.</t>
        </is>
      </c>
      <c r="N31" s="34" t="inlineStr">
        <is>
          <t>584</t>
        </is>
      </c>
    </row>
    <row r="32">
      <c r="A32" s="33" t="inlineStr">
        <is>
          <t>2780 N. Tower Road</t>
        </is>
      </c>
      <c r="B32" s="33" t="inlineStr">
        <is>
          <t>Whole</t>
        </is>
      </c>
      <c r="C32" s="33" t="inlineStr">
        <is>
          <t>Single tenant (GL ref. 'SRO Tower Road')</t>
        </is>
      </c>
      <c r="D32" s="33" t="inlineStr">
        <is>
          <t>Actual NNN</t>
        </is>
      </c>
      <c r="E32" s="33" t="n"/>
      <c r="F32" s="40" t="n">
        <v>3047376</v>
      </c>
      <c r="G32" s="41" t="n">
        <v>7.91</v>
      </c>
      <c r="H32" s="33" t="inlineStr">
        <is>
          <t>12/21/2021</t>
        </is>
      </c>
      <c r="I32" s="33" t="inlineStr">
        <is>
          <t>—</t>
        </is>
      </c>
      <c r="J32" s="33" t="inlineStr">
        <is>
          <t>—</t>
        </is>
      </c>
      <c r="K32" s="33" t="n"/>
      <c r="L32" s="33" t="n"/>
      <c r="M32" s="33" t="inlineStr">
        <is>
          <t>Lease originated 12/21/2021 @ $7.45/SF NNN; CPI escalations to $7.74/SF (2023 actual), $7.91/SF (2024 actual, per P&amp;L). Owner: 2780 North Tower Road, LLC.</t>
        </is>
      </c>
      <c r="N32" s="34" t="inlineStr">
        <is>
          <t>584</t>
        </is>
      </c>
    </row>
    <row r="33">
      <c r="A33" s="33" t="inlineStr">
        <is>
          <t>22100 E 26th Ave (ASB)</t>
        </is>
      </c>
      <c r="B33" s="33" t="inlineStr">
        <is>
          <t>Suite 0130, Bldg 01115C</t>
        </is>
      </c>
      <c r="C33" s="33" t="inlineStr">
        <is>
          <t>Pelsue Company</t>
        </is>
      </c>
      <c r="D33" s="33" t="inlineStr">
        <is>
          <t>Actual NNN</t>
        </is>
      </c>
      <c r="E33" s="40" t="n">
        <v>44672.23</v>
      </c>
      <c r="F33" s="40" t="n">
        <v>536066.76</v>
      </c>
      <c r="G33" s="41" t="n">
        <v>5.75</v>
      </c>
      <c r="H33" s="33" t="inlineStr">
        <is>
          <t>1/1/2024</t>
        </is>
      </c>
      <c r="I33" s="33" t="inlineStr">
        <is>
          <t>4/30/2034</t>
        </is>
      </c>
      <c r="J33" s="33" t="inlineStr">
        <is>
          <t>—</t>
        </is>
      </c>
      <c r="K33" s="40" t="n">
        <v>3751.64</v>
      </c>
      <c r="L33" s="33" t="n"/>
      <c r="M33" s="33" t="inlineStr">
        <is>
          <t>93,229 SF occupied of 406,959 SF total (22.91% occupied at DOV). Contractual increases to $60,035.74/mo ($7.73/SF) by 1/1/2034. Insurance recovery $3,547.71/mo; RE tax recovery $24,839.43/mo. Suite 0100 (313,730 SF) VACANT at DOV; new lease to Vederra signed for 5/1/2025-6/30/2033 (post-DOV).</t>
        </is>
      </c>
      <c r="N33" s="34" t="inlineStr">
        <is>
          <t>584</t>
        </is>
      </c>
    </row>
    <row r="34">
      <c r="A34" s="38" t="inlineStr">
        <is>
          <t>584 batch — tax-appeal / market proforma lease assumptions (not executed leases unless noted)</t>
        </is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33" t="inlineStr">
        <is>
          <t>20600 E. 35th Dr, Bldg 12</t>
        </is>
      </c>
      <c r="B35" s="33" t="inlineStr">
        <is>
          <t>Whole</t>
        </is>
      </c>
      <c r="C35" s="33" t="inlineStr">
        <is>
          <t>Proforma multi-tenant</t>
        </is>
      </c>
      <c r="D35" s="33" t="inlineStr">
        <is>
          <t>Proforma NNN</t>
        </is>
      </c>
      <c r="E35" s="33" t="n"/>
      <c r="F35" s="40" t="n">
        <v>2884875</v>
      </c>
      <c r="G35" s="41" t="n">
        <v>6.25</v>
      </c>
      <c r="H35" s="33" t="inlineStr">
        <is>
          <t>—</t>
        </is>
      </c>
      <c r="I35" s="33" t="inlineStr">
        <is>
          <t>—</t>
        </is>
      </c>
      <c r="J35" s="33" t="inlineStr">
        <is>
          <t>—</t>
        </is>
      </c>
      <c r="K35" s="33" t="n"/>
      <c r="L35" s="33" t="n"/>
      <c r="M35" s="33" t="inlineStr">
        <is>
          <t>100% vacant at DOV 6/30/2024; 10% vacancy, 5% expense allowance (Sterling)</t>
        </is>
      </c>
      <c r="N35" s="34" t="inlineStr">
        <is>
          <t>584</t>
        </is>
      </c>
    </row>
    <row r="36">
      <c r="A36" s="33" t="inlineStr">
        <is>
          <t>Lovett 76 Logistics Center</t>
        </is>
      </c>
      <c r="B36" s="33" t="inlineStr">
        <is>
          <t>Whole</t>
        </is>
      </c>
      <c r="C36" s="33" t="inlineStr">
        <is>
          <t>Proforma single-tenant</t>
        </is>
      </c>
      <c r="D36" s="33" t="inlineStr">
        <is>
          <t>Proforma NNN</t>
        </is>
      </c>
      <c r="E36" s="33" t="n"/>
      <c r="F36" s="40" t="n">
        <v>3377055</v>
      </c>
      <c r="G36" s="41" t="n">
        <v>5.5</v>
      </c>
      <c r="H36" s="33" t="inlineStr">
        <is>
          <t>—</t>
        </is>
      </c>
      <c r="I36" s="33" t="inlineStr">
        <is>
          <t>—</t>
        </is>
      </c>
      <c r="J36" s="33" t="inlineStr">
        <is>
          <t>—</t>
        </is>
      </c>
      <c r="K36" s="33" t="n"/>
      <c r="L36" s="33" t="n"/>
      <c r="M36" s="33" t="inlineStr">
        <is>
          <t>5% vacancy; 8% opex (Ryan)</t>
        </is>
      </c>
      <c r="N36" s="34" t="inlineStr">
        <is>
          <t>584</t>
        </is>
      </c>
    </row>
    <row r="37">
      <c r="A37" s="33" t="inlineStr">
        <is>
          <t>20310 E. 35th Dr, Bldg 11</t>
        </is>
      </c>
      <c r="B37" s="33" t="inlineStr">
        <is>
          <t>Whole</t>
        </is>
      </c>
      <c r="C37" s="33" t="inlineStr">
        <is>
          <t>Proforma multi-tenant</t>
        </is>
      </c>
      <c r="D37" s="33" t="inlineStr">
        <is>
          <t>Proforma NNN</t>
        </is>
      </c>
      <c r="E37" s="33" t="n"/>
      <c r="F37" s="40" t="n">
        <v>1530750</v>
      </c>
      <c r="G37" s="41" t="n">
        <v>6.25</v>
      </c>
      <c r="H37" s="33" t="inlineStr">
        <is>
          <t>—</t>
        </is>
      </c>
      <c r="I37" s="33" t="inlineStr">
        <is>
          <t>—</t>
        </is>
      </c>
      <c r="J37" s="33" t="inlineStr">
        <is>
          <t>—</t>
        </is>
      </c>
      <c r="K37" s="33" t="n"/>
      <c r="L37" s="33" t="n"/>
      <c r="M37" s="33" t="inlineStr">
        <is>
          <t>100% vacant at DOV 6/30/2024; 10% vacancy, 5% expense allowance (Sterling)</t>
        </is>
      </c>
      <c r="N37" s="34" t="inlineStr">
        <is>
          <t>584</t>
        </is>
      </c>
    </row>
    <row r="38">
      <c r="A38" s="33" t="inlineStr">
        <is>
          <t>Denali Buildings 1, 2 &amp; 3 (combined)</t>
        </is>
      </c>
      <c r="B38" s="33" t="inlineStr">
        <is>
          <t>Whole (3 bldgs)</t>
        </is>
      </c>
      <c r="C38" s="33" t="inlineStr">
        <is>
          <t>Proforma multi-tenant</t>
        </is>
      </c>
      <c r="D38" s="33" t="inlineStr">
        <is>
          <t>Proforma NNN</t>
        </is>
      </c>
      <c r="E38" s="33" t="n"/>
      <c r="F38" s="40" t="n">
        <v>4752500</v>
      </c>
      <c r="G38" s="41" t="n">
        <v>6.25</v>
      </c>
      <c r="H38" s="33" t="inlineStr">
        <is>
          <t>—</t>
        </is>
      </c>
      <c r="I38" s="33" t="inlineStr">
        <is>
          <t>—</t>
        </is>
      </c>
      <c r="J38" s="33" t="inlineStr">
        <is>
          <t>—</t>
        </is>
      </c>
      <c r="K38" s="33" t="n"/>
      <c r="L38" s="33" t="n"/>
      <c r="M38" s="33" t="inlineStr">
        <is>
          <t>Combined 760,400 SF; 100% vacant at DOV; 10% vacancy, 5% expense allowance (Sterling). Applies pro-rata to R0218172/73/74.</t>
        </is>
      </c>
      <c r="N38" s="34" t="inlineStr">
        <is>
          <t>584</t>
        </is>
      </c>
    </row>
    <row r="39">
      <c r="A39" s="33" t="inlineStr">
        <is>
          <t>Broadway Logistics Center</t>
        </is>
      </c>
      <c r="B39" s="33" t="inlineStr">
        <is>
          <t>Whole</t>
        </is>
      </c>
      <c r="C39" s="33" t="inlineStr">
        <is>
          <t>Proforma single-tenant (actual: 100% vacant)</t>
        </is>
      </c>
      <c r="D39" s="33" t="inlineStr">
        <is>
          <t>Proforma NNN</t>
        </is>
      </c>
      <c r="E39" s="33" t="n"/>
      <c r="F39" s="40" t="n">
        <v>1105638</v>
      </c>
      <c r="G39" s="41" t="n">
        <v>5.5</v>
      </c>
      <c r="H39" s="33" t="inlineStr">
        <is>
          <t>—</t>
        </is>
      </c>
      <c r="I39" s="33" t="inlineStr">
        <is>
          <t>—</t>
        </is>
      </c>
      <c r="J39" s="33" t="inlineStr">
        <is>
          <t>—</t>
        </is>
      </c>
      <c r="K39" s="33" t="n"/>
      <c r="L39" s="33" t="n"/>
      <c r="M39" s="33" t="inlineStr">
        <is>
          <t>5% vacancy; 8% opex (Ryan). Actual rent roll (1/1/2025): both units VACANT, 201,329 SF.</t>
        </is>
      </c>
      <c r="N39" s="34" t="inlineStr">
        <is>
          <t>584</t>
        </is>
      </c>
    </row>
    <row r="40">
      <c r="A40" s="33" t="inlineStr">
        <is>
          <t>Majestic Commercenter Bldg 15</t>
        </is>
      </c>
      <c r="B40" s="33" t="inlineStr">
        <is>
          <t>Whole</t>
        </is>
      </c>
      <c r="C40" s="33" t="inlineStr">
        <is>
          <t>Single tenant (name not disclosed in document)</t>
        </is>
      </c>
      <c r="D40" s="33" t="inlineStr">
        <is>
          <t>Actual NNN</t>
        </is>
      </c>
      <c r="E40" s="33" t="n"/>
      <c r="F40" s="40" t="n">
        <v>4123728.27</v>
      </c>
      <c r="G40" s="41" t="n">
        <v>5.87</v>
      </c>
      <c r="H40" s="33" t="inlineStr">
        <is>
          <t>—</t>
        </is>
      </c>
      <c r="I40" s="33" t="inlineStr">
        <is>
          <t>—</t>
        </is>
      </c>
      <c r="J40" s="33" t="inlineStr">
        <is>
          <t>—</t>
        </is>
      </c>
      <c r="K40" s="33" t="n"/>
      <c r="L40" s="33" t="n"/>
      <c r="M40" s="33" t="inlineStr">
        <is>
          <t>Actual FY2024 GL 'Industrial Rental Income'; property 100% occupied at DOV</t>
        </is>
      </c>
      <c r="N40" s="34" t="inlineStr">
        <is>
          <t>584</t>
        </is>
      </c>
    </row>
    <row r="41">
      <c r="A41" s="33" t="inlineStr">
        <is>
          <t>Majestic Commercenter Bldg 29</t>
        </is>
      </c>
      <c r="B41" s="33" t="inlineStr">
        <is>
          <t>Whole (aggregate)</t>
        </is>
      </c>
      <c r="C41" s="33" t="inlineStr">
        <is>
          <t>Multi-tenant (names not itemized)</t>
        </is>
      </c>
      <c r="D41" s="33" t="inlineStr">
        <is>
          <t>Actual NNN (aggregate)</t>
        </is>
      </c>
      <c r="E41" s="33" t="n"/>
      <c r="F41" s="40" t="n">
        <v>2361897.18</v>
      </c>
      <c r="G41" s="41" t="n">
        <v>5.22</v>
      </c>
      <c r="H41" s="33" t="inlineStr">
        <is>
          <t>—</t>
        </is>
      </c>
      <c r="I41" s="33" t="inlineStr">
        <is>
          <t>—</t>
        </is>
      </c>
      <c r="J41" s="33" t="inlineStr">
        <is>
          <t>—</t>
        </is>
      </c>
      <c r="K41" s="33" t="n"/>
      <c r="L41" s="33" t="n"/>
      <c r="M41" s="33" t="inlineStr">
        <is>
          <t>Actual FY2024 GL 'Industrial Rental Income'; property 100% occupied. Large 'Tenant TI Reimb Income' ($1.1M) suggests recent turnover/lease-up.</t>
        </is>
      </c>
      <c r="N41" s="34" t="inlineStr">
        <is>
          <t>584</t>
        </is>
      </c>
    </row>
    <row r="42">
      <c r="A42" s="33" t="inlineStr">
        <is>
          <t>Majestic Commercenter Bldg 26</t>
        </is>
      </c>
      <c r="B42" s="33" t="inlineStr">
        <is>
          <t>Whole</t>
        </is>
      </c>
      <c r="C42" s="33" t="inlineStr">
        <is>
          <t>Proforma single-tenant (property actually 100% occupied)</t>
        </is>
      </c>
      <c r="D42" s="33" t="inlineStr">
        <is>
          <t>Proforma NNN</t>
        </is>
      </c>
      <c r="E42" s="33" t="n"/>
      <c r="F42" s="40" t="n">
        <v>1250000</v>
      </c>
      <c r="G42" s="41" t="n">
        <v>6.25</v>
      </c>
      <c r="H42" s="33" t="inlineStr">
        <is>
          <t>—</t>
        </is>
      </c>
      <c r="I42" s="33" t="inlineStr">
        <is>
          <t>—</t>
        </is>
      </c>
      <c r="J42" s="33" t="inlineStr">
        <is>
          <t>—</t>
        </is>
      </c>
      <c r="K42" s="33" t="n"/>
      <c r="L42" s="33" t="n"/>
      <c r="M42" s="33" t="inlineStr">
        <is>
          <t>10% vacancy, 5% expense allowance (Sterling). Actual FY2024 total revenue (incl. reimbursements) $1,780,473.56.</t>
        </is>
      </c>
      <c r="N42" s="34" t="inlineStr">
        <is>
          <t>584</t>
        </is>
      </c>
    </row>
    <row r="43">
      <c r="A43" s="33" t="inlineStr">
        <is>
          <t>Majestic Commercenter Bldg 24</t>
        </is>
      </c>
      <c r="B43" s="33" t="inlineStr">
        <is>
          <t>Whole</t>
        </is>
      </c>
      <c r="C43" s="33" t="inlineStr">
        <is>
          <t>Multi-tenant (names not itemized)</t>
        </is>
      </c>
      <c r="D43" s="33" t="inlineStr">
        <is>
          <t>Proforma NNN</t>
        </is>
      </c>
      <c r="E43" s="33" t="n"/>
      <c r="F43" s="40" t="n">
        <v>1343938</v>
      </c>
      <c r="G43" s="41" t="n">
        <v>6.25</v>
      </c>
      <c r="H43" s="33" t="inlineStr">
        <is>
          <t>—</t>
        </is>
      </c>
      <c r="I43" s="33" t="inlineStr">
        <is>
          <t>—</t>
        </is>
      </c>
      <c r="J43" s="33" t="inlineStr">
        <is>
          <t>—</t>
        </is>
      </c>
      <c r="K43" s="33" t="n"/>
      <c r="L43" s="33" t="n"/>
      <c r="M43" s="33" t="inlineStr">
        <is>
          <t>10% vacancy, 5% expense allowance (Sterling). Actual FY2024 total revenue $2,567,319.80.</t>
        </is>
      </c>
      <c r="N43" s="34" t="inlineStr">
        <is>
          <t>584</t>
        </is>
      </c>
    </row>
    <row r="44">
      <c r="A44" s="33" t="inlineStr">
        <is>
          <t>Majestic Commercenter Bldg 22</t>
        </is>
      </c>
      <c r="B44" s="33" t="inlineStr">
        <is>
          <t>Whole</t>
        </is>
      </c>
      <c r="C44" s="33" t="inlineStr">
        <is>
          <t>Multi-tenant (75% occupied at DOV)</t>
        </is>
      </c>
      <c r="D44" s="33" t="inlineStr">
        <is>
          <t>Proforma NNN</t>
        </is>
      </c>
      <c r="E44" s="33" t="n"/>
      <c r="F44" s="40" t="n">
        <v>1250563</v>
      </c>
      <c r="G44" s="41" t="n">
        <v>6.25</v>
      </c>
      <c r="H44" s="33" t="inlineStr">
        <is>
          <t>—</t>
        </is>
      </c>
      <c r="I44" s="33" t="inlineStr">
        <is>
          <t>—</t>
        </is>
      </c>
      <c r="J44" s="33" t="inlineStr">
        <is>
          <t>—</t>
        </is>
      </c>
      <c r="K44" s="33" t="n"/>
      <c r="L44" s="33" t="n"/>
      <c r="M44" s="33" t="inlineStr">
        <is>
          <t>10% vacancy, 5% expense allowance (Sterling); 15% excess vacancy discount applied (25% actual vs 10% normal). Actual FY2024 total revenue $1,648,443.25.</t>
        </is>
      </c>
      <c r="N44" s="34" t="inlineStr">
        <is>
          <t>584</t>
        </is>
      </c>
    </row>
    <row r="45">
      <c r="A45" s="33" t="inlineStr">
        <is>
          <t>Shamrock Foods</t>
        </is>
      </c>
      <c r="B45" s="33" t="inlineStr">
        <is>
          <t>Whole</t>
        </is>
      </c>
      <c r="C45" s="33" t="inlineStr">
        <is>
          <t>Proforma (hypothetical — owner-occupied, no actual tenant)</t>
        </is>
      </c>
      <c r="D45" s="33" t="inlineStr">
        <is>
          <t>Proforma NNN</t>
        </is>
      </c>
      <c r="E45" s="33" t="n"/>
      <c r="F45" s="40" t="n">
        <v>2061894</v>
      </c>
      <c r="G45" s="41" t="n">
        <v>6.25</v>
      </c>
      <c r="H45" s="33" t="inlineStr">
        <is>
          <t>—</t>
        </is>
      </c>
      <c r="I45" s="33" t="inlineStr">
        <is>
          <t>—</t>
        </is>
      </c>
      <c r="J45" s="33" t="inlineStr">
        <is>
          <t>—</t>
        </is>
      </c>
      <c r="K45" s="33" t="n"/>
      <c r="L45" s="33" t="n"/>
      <c r="M45" s="33" t="inlineStr">
        <is>
          <t>Appeal uses hypothetical fee-simple market lease; 8% vacancy, 3%+3%+1% opex (DMA)</t>
        </is>
      </c>
      <c r="N45" s="34" t="inlineStr">
        <is>
          <t>584</t>
        </is>
      </c>
    </row>
  </sheetData>
  <mergeCells count="5">
    <mergeCell ref="A5:M5"/>
    <mergeCell ref="A2:N2"/>
    <mergeCell ref="A18:M18"/>
    <mergeCell ref="A21:M21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  <col width="9" customWidth="1" min="9" max="9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  <c r="I5" s="32" t="inlineStr">
        <is>
          <t>Batch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>
      <c r="A11" s="33" t="inlineStr">
        <is>
          <t>Lovett 76 Logistics Center (R0213058)</t>
        </is>
      </c>
      <c r="B11" s="33" t="inlineStr">
        <is>
          <t>2025</t>
        </is>
      </c>
      <c r="C11" s="36" t="n">
        <v>70695025</v>
      </c>
      <c r="D11" s="41" t="n">
        <v>115.14</v>
      </c>
      <c r="E11" s="36" t="n">
        <v>45408400</v>
      </c>
      <c r="F11" s="41" t="n">
        <v>73.95</v>
      </c>
      <c r="G11" s="36" t="n">
        <v>60663799</v>
      </c>
      <c r="H11" s="33" t="inlineStr">
        <is>
          <t>R0213058</t>
        </is>
      </c>
      <c r="I11" s="34" t="inlineStr">
        <is>
          <t>584</t>
        </is>
      </c>
    </row>
    <row r="12" ht="28" customHeight="1">
      <c r="A12" s="33" t="inlineStr">
        <is>
          <t>Denali Bldg 1 (R0218172)</t>
        </is>
      </c>
      <c r="B12" s="33" t="inlineStr">
        <is>
          <t>2025</t>
        </is>
      </c>
      <c r="C12" s="36" t="n">
        <v>40319703</v>
      </c>
      <c r="D12" s="41" t="n">
        <v>114.11</v>
      </c>
      <c r="E12" s="36" t="n">
        <v>16841375</v>
      </c>
      <c r="F12" s="33" t="n"/>
      <c r="G12" s="33" t="n"/>
      <c r="H12" s="33" t="inlineStr">
        <is>
          <t>R0218172</t>
        </is>
      </c>
      <c r="I12" s="34" t="inlineStr">
        <is>
          <t>584</t>
        </is>
      </c>
    </row>
    <row r="13">
      <c r="A13" s="33" t="inlineStr">
        <is>
          <t>Denali Bldg 2 (R0218173)</t>
        </is>
      </c>
      <c r="B13" s="33" t="inlineStr">
        <is>
          <t>2025</t>
        </is>
      </c>
      <c r="C13" s="36" t="n">
        <v>22901099</v>
      </c>
      <c r="D13" s="41" t="n">
        <v>111.28</v>
      </c>
      <c r="E13" s="36" t="n">
        <v>9808844</v>
      </c>
      <c r="F13" s="33" t="n"/>
      <c r="G13" s="33" t="n"/>
      <c r="H13" s="33" t="inlineStr">
        <is>
          <t>R0218172</t>
        </is>
      </c>
      <c r="I13" s="34" t="inlineStr">
        <is>
          <t>584</t>
        </is>
      </c>
    </row>
    <row r="14">
      <c r="A14" s="33" t="inlineStr">
        <is>
          <t>Denali Bldg 3 (R0218174)</t>
        </is>
      </c>
      <c r="B14" s="33" t="inlineStr">
        <is>
          <t>2025</t>
        </is>
      </c>
      <c r="C14" s="36" t="n">
        <v>22610267</v>
      </c>
      <c r="D14" s="41" t="n">
        <v>112.35</v>
      </c>
      <c r="E14" s="36" t="n">
        <v>9591982</v>
      </c>
      <c r="F14" s="33" t="n"/>
      <c r="G14" s="33" t="n"/>
      <c r="H14" s="33" t="inlineStr">
        <is>
          <t>R0218172</t>
        </is>
      </c>
      <c r="I14" s="34" t="inlineStr">
        <is>
          <t>584</t>
        </is>
      </c>
    </row>
    <row r="15" ht="30" customHeight="1">
      <c r="A15" s="33" t="inlineStr">
        <is>
          <t>Broadway Logistics Center (R0217136)</t>
        </is>
      </c>
      <c r="B15" s="33" t="inlineStr">
        <is>
          <t>2025</t>
        </is>
      </c>
      <c r="C15" s="36" t="n">
        <v>25207046</v>
      </c>
      <c r="D15" s="41" t="n">
        <v>125.39</v>
      </c>
      <c r="E15" s="36" t="n">
        <v>14866600</v>
      </c>
      <c r="F15" s="41" t="n">
        <v>73.95</v>
      </c>
      <c r="G15" s="36" t="n">
        <v>22843356</v>
      </c>
      <c r="H15" s="33" t="inlineStr">
        <is>
          <t>R0217136</t>
        </is>
      </c>
      <c r="I15" s="34" t="inlineStr">
        <is>
          <t>584</t>
        </is>
      </c>
    </row>
    <row r="16">
      <c r="A16" s="33" t="inlineStr">
        <is>
          <t>DEN3 - Bull Crossing (R0198789, leasehold)</t>
        </is>
      </c>
      <c r="B16" s="33" t="inlineStr">
        <is>
          <t>2025</t>
        </is>
      </c>
      <c r="C16" s="36" t="n">
        <v>91498458</v>
      </c>
      <c r="D16" s="41" t="n">
        <v>106.72</v>
      </c>
      <c r="E16" s="36" t="n">
        <v>73627000</v>
      </c>
      <c r="F16" s="41" t="n">
        <v>85.87</v>
      </c>
      <c r="G16" s="33" t="n"/>
      <c r="H16" s="33" t="inlineStr">
        <is>
          <t>R0198789</t>
        </is>
      </c>
      <c r="I16" s="34" t="inlineStr">
        <is>
          <t>584</t>
        </is>
      </c>
    </row>
    <row r="17">
      <c r="A17" s="33" t="inlineStr">
        <is>
          <t>DEN7 (R0198530, leasehold)</t>
        </is>
      </c>
      <c r="B17" s="33" t="inlineStr">
        <is>
          <t>2025</t>
        </is>
      </c>
      <c r="C17" s="36" t="n">
        <v>58528163</v>
      </c>
      <c r="D17" s="41" t="n">
        <v>105.3</v>
      </c>
      <c r="E17" s="36" t="n">
        <v>41529000</v>
      </c>
      <c r="F17" s="41" t="n">
        <v>74.70999999999999</v>
      </c>
      <c r="G17" s="33" t="n"/>
      <c r="H17" s="33" t="inlineStr">
        <is>
          <t>R0198530</t>
        </is>
      </c>
      <c r="I17" s="34" t="inlineStr">
        <is>
          <t>584</t>
        </is>
      </c>
    </row>
    <row r="18">
      <c r="A18" s="33" t="inlineStr">
        <is>
          <t>DEN2 - PR Park 70 (R0191292, leasehold)</t>
        </is>
      </c>
      <c r="B18" s="33" t="inlineStr">
        <is>
          <t>2025</t>
        </is>
      </c>
      <c r="C18" s="36" t="n">
        <v>91704470</v>
      </c>
      <c r="D18" s="41" t="n">
        <v>90.25</v>
      </c>
      <c r="E18" s="36" t="n">
        <v>76761000</v>
      </c>
      <c r="F18" s="41" t="n">
        <v>75.54000000000001</v>
      </c>
      <c r="G18" s="33" t="n"/>
      <c r="H18" s="33" t="inlineStr">
        <is>
          <t>R0191292</t>
        </is>
      </c>
      <c r="I18" s="34" t="inlineStr">
        <is>
          <t>584</t>
        </is>
      </c>
    </row>
    <row r="19">
      <c r="A19" s="33" t="inlineStr">
        <is>
          <t>Home Depot Denver (R0180551)</t>
        </is>
      </c>
      <c r="B19" s="33" t="inlineStr">
        <is>
          <t>2025</t>
        </is>
      </c>
      <c r="C19" s="36" t="n">
        <v>36400834</v>
      </c>
      <c r="D19" s="41" t="n">
        <v>165.46</v>
      </c>
      <c r="E19" s="36" t="n">
        <v>16062800</v>
      </c>
      <c r="F19" s="41" t="n">
        <v>73.01000000000001</v>
      </c>
      <c r="G19" s="36" t="n">
        <v>18700000</v>
      </c>
      <c r="H19" s="33" t="inlineStr">
        <is>
          <t>R0180551</t>
        </is>
      </c>
      <c r="I19" s="34" t="inlineStr">
        <is>
          <t>584</t>
        </is>
      </c>
    </row>
    <row r="20">
      <c r="A20" s="33" t="inlineStr">
        <is>
          <t>22100 E 26th Ave (R0172848)</t>
        </is>
      </c>
      <c r="B20" s="33" t="inlineStr">
        <is>
          <t>2025</t>
        </is>
      </c>
      <c r="C20" s="36" t="n">
        <v>43077347</v>
      </c>
      <c r="D20" s="41" t="n">
        <v>105.85</v>
      </c>
      <c r="E20" s="36" t="n">
        <v>31001000</v>
      </c>
      <c r="F20" s="41" t="n">
        <v>76.18000000000001</v>
      </c>
      <c r="G20" s="36" t="n">
        <v>32680000</v>
      </c>
      <c r="H20" s="33" t="inlineStr">
        <is>
          <t>R0172848</t>
        </is>
      </c>
      <c r="I20" s="34" t="inlineStr">
        <is>
          <t>584</t>
        </is>
      </c>
    </row>
    <row r="21">
      <c r="A21" s="33" t="inlineStr">
        <is>
          <t>Shamrock Foods (R0092655)</t>
        </is>
      </c>
      <c r="B21" s="33" t="inlineStr">
        <is>
          <t>2025</t>
        </is>
      </c>
      <c r="C21" s="36" t="n">
        <v>36703938</v>
      </c>
      <c r="D21" s="33" t="n"/>
      <c r="E21" s="36" t="n">
        <v>24502171</v>
      </c>
      <c r="F21" s="41" t="n">
        <v>74.27</v>
      </c>
      <c r="G21" s="36" t="n">
        <v>26392240</v>
      </c>
      <c r="H21" s="33" t="inlineStr">
        <is>
          <t>R0092655</t>
        </is>
      </c>
      <c r="I21" s="34" t="inlineStr">
        <is>
          <t>584</t>
        </is>
      </c>
    </row>
    <row r="22" ht="28" customHeight="1">
      <c r="A22" t="inlineStr">
        <is>
          <t xml:space="preserve">  [584 BATCH] Historical detail — R0180551 (Home Depot): 2025 Land $4,876,931 ($6.50/SF) + Improvement $31,523,903 = Total $36,400,834; 2024 prior-year value $18,700,000 (+94.66% YoY, reappraisal-cycle jump). R0172848 (22100 E 26th): building was only 28% occupied at 6/30/2024 DOV (multi-tenant lease-up in progress). R0092655 (Shamrock Foods): 2024 value $26,392,240 (Land $4,783,965 + Bldg $21,608,275); 2025 value +39.07% YoY; owner-occupied, appeal uses hypothetical market-lease income approach. R0198530/R0198789/R0191292 are Amazon leasehold/possessory-interest appeals filed on the tenant's behalf against Assessor's value for the fee-simple parcel; R0198530's Notice of Determination (8/14/2025) affirmed the Assessor's value unchanged, taxpayer proceeding to County Board of Equalization.</t>
        </is>
      </c>
    </row>
    <row r="23">
      <c r="A23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23" s="20" t="n"/>
      <c r="C23" s="20" t="n"/>
      <c r="D23" s="20" t="n"/>
      <c r="E23" s="20" t="n"/>
      <c r="F23" s="20" t="n"/>
      <c r="G23" s="20" t="n"/>
      <c r="H23" s="21" t="n"/>
    </row>
    <row r="25">
      <c r="A25" s="17" t="inlineStr">
        <is>
          <t>B. Income-Approach Proformas</t>
        </is>
      </c>
      <c r="B25" s="20" t="n"/>
      <c r="C25" s="20" t="n"/>
      <c r="D25" s="20" t="n"/>
      <c r="E25" s="20" t="n"/>
      <c r="F25" s="20" t="n"/>
      <c r="G25" s="20" t="n"/>
      <c r="H25" s="21" t="n"/>
    </row>
    <row r="26">
      <c r="A26" s="4" t="inlineStr">
        <is>
          <t>Property</t>
        </is>
      </c>
      <c r="B26" s="4" t="inlineStr">
        <is>
          <t>PGI</t>
        </is>
      </c>
      <c r="C26" s="4" t="inlineStr">
        <is>
          <t>Vacancy</t>
        </is>
      </c>
      <c r="D26" s="4" t="inlineStr">
        <is>
          <t>EGI</t>
        </is>
      </c>
      <c r="E26" s="4" t="inlineStr">
        <is>
          <t>Operating Exp</t>
        </is>
      </c>
      <c r="F26" s="4" t="inlineStr">
        <is>
          <t>NOI</t>
        </is>
      </c>
      <c r="G26" s="4" t="inlineStr">
        <is>
          <t>Cap Rate</t>
        </is>
      </c>
      <c r="H26" s="4" t="inlineStr">
        <is>
          <t>Indicated Value</t>
        </is>
      </c>
      <c r="I26" s="32" t="inlineStr">
        <is>
          <t>Batch</t>
        </is>
      </c>
    </row>
    <row r="27">
      <c r="A27" s="6" t="inlineStr">
        <is>
          <t>7205 Gilpin Way</t>
        </is>
      </c>
      <c r="B27" s="9" t="n">
        <v>359394</v>
      </c>
      <c r="C27" s="9" t="n">
        <v>-17970</v>
      </c>
      <c r="D27" s="9" t="n">
        <v>341424</v>
      </c>
      <c r="E27" s="9" t="n">
        <v>-27314</v>
      </c>
      <c r="F27" s="14" t="n">
        <v>314110</v>
      </c>
      <c r="G27" s="19" t="n">
        <v>0.065</v>
      </c>
      <c r="H27" s="14" t="n">
        <v>4832500</v>
      </c>
    </row>
    <row r="28">
      <c r="A28" s="6" t="inlineStr">
        <is>
          <t>17608 E. 24th Dr</t>
        </is>
      </c>
      <c r="B28" s="9" t="n">
        <v>209100</v>
      </c>
      <c r="C28" s="9" t="n">
        <v>-10455</v>
      </c>
      <c r="D28" s="9" t="n">
        <v>198645</v>
      </c>
      <c r="E28" s="9" t="n">
        <v>-15892</v>
      </c>
      <c r="F28" s="14" t="n">
        <v>182753</v>
      </c>
      <c r="G28" s="19" t="n">
        <v>0.06</v>
      </c>
      <c r="H28" s="14" t="n">
        <v>3050000</v>
      </c>
    </row>
    <row r="29">
      <c r="A29" s="6" t="inlineStr">
        <is>
          <t>12260 Pennsylvania St</t>
        </is>
      </c>
      <c r="B29" s="9" t="n">
        <v>237290</v>
      </c>
      <c r="C29" s="9" t="n">
        <v>-16610</v>
      </c>
      <c r="D29" s="9" t="n">
        <v>220680</v>
      </c>
      <c r="E29" s="9" t="n">
        <v>-22068</v>
      </c>
      <c r="F29" s="14" t="n">
        <v>198612</v>
      </c>
      <c r="G29" s="19" t="n">
        <v>0.07000000000000001</v>
      </c>
      <c r="H29" s="14" t="n">
        <v>2837000</v>
      </c>
    </row>
    <row r="30">
      <c r="A30" s="6" t="inlineStr">
        <is>
          <t>6770 E. 56th Ave</t>
        </is>
      </c>
      <c r="B30" s="9" t="n">
        <v>115824</v>
      </c>
      <c r="C30" s="9" t="n">
        <v>-5791</v>
      </c>
      <c r="D30" s="9" t="n">
        <v>110033</v>
      </c>
      <c r="E30" s="9" t="n">
        <v>-5502</v>
      </c>
      <c r="F30" s="14" t="n">
        <v>104531</v>
      </c>
      <c r="G30" s="19" t="n">
        <v>0.07000000000000001</v>
      </c>
      <c r="H30" s="14" t="n">
        <v>1493302</v>
      </c>
    </row>
    <row r="31">
      <c r="A31" s="6" t="inlineStr">
        <is>
          <t>5970 Marion Drive (mkt)</t>
        </is>
      </c>
      <c r="B31" s="9" t="n">
        <v>172800</v>
      </c>
      <c r="C31" s="9" t="n">
        <v>-8640</v>
      </c>
      <c r="D31" s="9" t="n">
        <v>164160</v>
      </c>
      <c r="E31" s="9" t="n">
        <v>-4223</v>
      </c>
      <c r="F31" s="14" t="n">
        <v>159937</v>
      </c>
      <c r="G31" s="19" t="n">
        <v>0.065</v>
      </c>
      <c r="H31" s="14" t="n">
        <v>2460577</v>
      </c>
    </row>
    <row r="32">
      <c r="A32" s="33" t="inlineStr">
        <is>
          <t>20600 E. 35th Dr, Bldg 12</t>
        </is>
      </c>
      <c r="B32" s="36" t="n">
        <v>2884875</v>
      </c>
      <c r="C32" s="36" t="n">
        <v>-288488</v>
      </c>
      <c r="D32" s="36" t="n">
        <v>2596388</v>
      </c>
      <c r="E32" s="36" t="n">
        <v>-129819</v>
      </c>
      <c r="F32" s="36" t="n">
        <v>2466568</v>
      </c>
      <c r="G32" s="42" t="n">
        <v>0.07630000000000001</v>
      </c>
      <c r="H32" s="36" t="n">
        <v>23875600</v>
      </c>
      <c r="I32" s="34" t="inlineStr">
        <is>
          <t>584</t>
        </is>
      </c>
    </row>
    <row r="33">
      <c r="A33" s="33" t="inlineStr">
        <is>
          <t>Lovett 76 Logistics Center</t>
        </is>
      </c>
      <c r="B33" s="36" t="n">
        <v>3377055</v>
      </c>
      <c r="C33" s="36" t="n">
        <v>-168853</v>
      </c>
      <c r="D33" s="36" t="n">
        <v>3208202</v>
      </c>
      <c r="E33" s="36" t="n">
        <v>-256656</v>
      </c>
      <c r="F33" s="36" t="n">
        <v>2951546</v>
      </c>
      <c r="G33" s="42" t="n">
        <v>0.065</v>
      </c>
      <c r="H33" s="36" t="n">
        <v>45408400</v>
      </c>
      <c r="I33" s="34" t="inlineStr">
        <is>
          <t>584</t>
        </is>
      </c>
    </row>
    <row r="34">
      <c r="A34" s="33" t="inlineStr">
        <is>
          <t>20310 E. 35th Dr, Bldg 11</t>
        </is>
      </c>
      <c r="B34" s="36" t="n">
        <v>1530750</v>
      </c>
      <c r="C34" s="36" t="n">
        <v>-153075</v>
      </c>
      <c r="D34" s="36" t="n">
        <v>1377675</v>
      </c>
      <c r="E34" s="36" t="n">
        <v>-68884</v>
      </c>
      <c r="F34" s="36" t="n">
        <v>1308791</v>
      </c>
      <c r="G34" s="42" t="n">
        <v>0.07630000000000001</v>
      </c>
      <c r="H34" s="36" t="n">
        <v>12668600</v>
      </c>
      <c r="I34" s="34" t="inlineStr">
        <is>
          <t>584</t>
        </is>
      </c>
    </row>
    <row r="35">
      <c r="A35" s="33" t="inlineStr">
        <is>
          <t>Denali Buildings 1,2,3 (combined)</t>
        </is>
      </c>
      <c r="B35" s="36" t="n">
        <v>4752500</v>
      </c>
      <c r="C35" s="36" t="n">
        <v>-475250</v>
      </c>
      <c r="D35" s="36" t="n">
        <v>4277250</v>
      </c>
      <c r="E35" s="36" t="n">
        <v>-213863</v>
      </c>
      <c r="F35" s="36" t="n">
        <v>4063388</v>
      </c>
      <c r="G35" s="42" t="n">
        <v>0.081</v>
      </c>
      <c r="H35" s="36" t="n">
        <v>36242200</v>
      </c>
      <c r="I35" s="34" t="inlineStr">
        <is>
          <t>584</t>
        </is>
      </c>
    </row>
    <row r="36">
      <c r="A36" s="33" t="inlineStr">
        <is>
          <t>2780 N. Tower Road</t>
        </is>
      </c>
      <c r="B36" s="36" t="n">
        <v>2412500</v>
      </c>
      <c r="C36" s="36" t="n">
        <v>-120625</v>
      </c>
      <c r="D36" s="36" t="n">
        <v>2291875</v>
      </c>
      <c r="E36" s="36" t="n">
        <v>-114594</v>
      </c>
      <c r="F36" s="36" t="n">
        <v>2177281</v>
      </c>
      <c r="G36" s="42" t="n">
        <v>0.075</v>
      </c>
      <c r="H36" s="36" t="n">
        <v>29030400</v>
      </c>
      <c r="I36" s="34" t="inlineStr">
        <is>
          <t>584</t>
        </is>
      </c>
    </row>
    <row r="37">
      <c r="A37" s="33" t="inlineStr">
        <is>
          <t>Broadway Logistics Center</t>
        </is>
      </c>
      <c r="B37" s="36" t="n">
        <v>1105638</v>
      </c>
      <c r="C37" s="36" t="n">
        <v>-55282</v>
      </c>
      <c r="D37" s="36" t="n">
        <v>1050356</v>
      </c>
      <c r="E37" s="36" t="n">
        <v>-84028</v>
      </c>
      <c r="F37" s="36" t="n">
        <v>966327</v>
      </c>
      <c r="G37" s="42" t="n">
        <v>0.065</v>
      </c>
      <c r="H37" s="36" t="n">
        <v>14866600</v>
      </c>
      <c r="I37" s="34" t="inlineStr">
        <is>
          <t>584</t>
        </is>
      </c>
    </row>
    <row r="38">
      <c r="A38" s="33" t="inlineStr">
        <is>
          <t>DEN3 - Bull Crossing (Amazon, actual rent)</t>
        </is>
      </c>
      <c r="B38" s="36" t="n">
        <v>5710683</v>
      </c>
      <c r="C38" s="36" t="n">
        <v>-285534</v>
      </c>
      <c r="D38" s="36" t="n">
        <v>5425148</v>
      </c>
      <c r="E38" s="36" t="n">
        <v>-271257</v>
      </c>
      <c r="F38" s="36" t="n">
        <v>5153891</v>
      </c>
      <c r="G38" s="42" t="n">
        <v>0.07000000000000001</v>
      </c>
      <c r="H38" s="36" t="n">
        <v>73627000</v>
      </c>
      <c r="I38" s="34" t="inlineStr">
        <is>
          <t>584</t>
        </is>
      </c>
    </row>
    <row r="39">
      <c r="A39" s="33" t="inlineStr">
        <is>
          <t>DEN7 (Amazon, actual rent)</t>
        </is>
      </c>
      <c r="B39" s="36" t="n">
        <v>3221103</v>
      </c>
      <c r="C39" s="36" t="n">
        <v>-161055</v>
      </c>
      <c r="D39" s="36" t="n">
        <v>3060048</v>
      </c>
      <c r="E39" s="36" t="n">
        <v>-153002</v>
      </c>
      <c r="F39" s="36" t="n">
        <v>2907045</v>
      </c>
      <c r="G39" s="42" t="n">
        <v>0.07000000000000001</v>
      </c>
      <c r="H39" s="36" t="n">
        <v>41529000</v>
      </c>
      <c r="I39" s="34" t="inlineStr">
        <is>
          <t>584</t>
        </is>
      </c>
    </row>
    <row r="40">
      <c r="A40" s="33" t="inlineStr">
        <is>
          <t>Majestic Commercenter Bldg 15</t>
        </is>
      </c>
      <c r="B40" s="36" t="n">
        <v>4390569</v>
      </c>
      <c r="C40" s="36" t="n">
        <v>-439057</v>
      </c>
      <c r="D40" s="36" t="n">
        <v>3951512</v>
      </c>
      <c r="E40" s="36" t="n">
        <v>-197576</v>
      </c>
      <c r="F40" s="36" t="n">
        <v>3753936</v>
      </c>
      <c r="G40" s="42" t="n">
        <v>0.07630000000000001</v>
      </c>
      <c r="H40" s="36" t="n">
        <v>49199700</v>
      </c>
      <c r="I40" s="34" t="inlineStr">
        <is>
          <t>584</t>
        </is>
      </c>
    </row>
    <row r="41">
      <c r="A41" s="33" t="inlineStr">
        <is>
          <t>DEN2 - PR Park 70 (Amazon, actual rent)</t>
        </is>
      </c>
      <c r="B41" s="36" t="n">
        <v>5953799</v>
      </c>
      <c r="C41" s="36" t="n">
        <v>-297690</v>
      </c>
      <c r="D41" s="36" t="n">
        <v>5656109</v>
      </c>
      <c r="E41" s="36" t="n">
        <v>-282805</v>
      </c>
      <c r="F41" s="36" t="n">
        <v>5373303</v>
      </c>
      <c r="G41" s="42" t="n">
        <v>0.07000000000000001</v>
      </c>
      <c r="H41" s="36" t="n">
        <v>76761000</v>
      </c>
      <c r="I41" s="34" t="inlineStr">
        <is>
          <t>584</t>
        </is>
      </c>
    </row>
    <row r="42">
      <c r="A42" s="33" t="inlineStr">
        <is>
          <t>Majestic Commercenter Bldg 29</t>
        </is>
      </c>
      <c r="B42" s="36" t="n">
        <v>2827500</v>
      </c>
      <c r="C42" s="36" t="n">
        <v>-282750</v>
      </c>
      <c r="D42" s="36" t="n">
        <v>2544750</v>
      </c>
      <c r="E42" s="36" t="n">
        <v>-127238</v>
      </c>
      <c r="F42" s="36" t="n">
        <v>2417513</v>
      </c>
      <c r="G42" s="42" t="n">
        <v>0.07630000000000001</v>
      </c>
      <c r="H42" s="36" t="n">
        <v>31684300</v>
      </c>
      <c r="I42" s="34" t="inlineStr">
        <is>
          <t>584</t>
        </is>
      </c>
    </row>
    <row r="43">
      <c r="A43" s="33" t="inlineStr">
        <is>
          <t>Majestic Commercenter Bldg 26</t>
        </is>
      </c>
      <c r="B43" s="36" t="n">
        <v>1250000</v>
      </c>
      <c r="C43" s="36" t="n">
        <v>-125000</v>
      </c>
      <c r="D43" s="36" t="n">
        <v>1125000</v>
      </c>
      <c r="E43" s="36" t="n">
        <v>-56250</v>
      </c>
      <c r="F43" s="36" t="n">
        <v>1068750</v>
      </c>
      <c r="G43" s="42" t="n">
        <v>0.07630000000000001</v>
      </c>
      <c r="H43" s="36" t="n">
        <v>14007200</v>
      </c>
      <c r="I43" s="34" t="inlineStr">
        <is>
          <t>584</t>
        </is>
      </c>
    </row>
    <row r="44">
      <c r="A44" s="33" t="inlineStr">
        <is>
          <t>Home Depot Denver</t>
        </is>
      </c>
      <c r="B44" s="36" t="n">
        <v>1194600</v>
      </c>
      <c r="C44" s="36" t="n">
        <v>-59730</v>
      </c>
      <c r="D44" s="36" t="n">
        <v>1134870</v>
      </c>
      <c r="E44" s="36" t="n">
        <v>-90790</v>
      </c>
      <c r="F44" s="36" t="n">
        <v>1044080</v>
      </c>
      <c r="G44" s="42" t="n">
        <v>0.065</v>
      </c>
      <c r="H44" s="36" t="n">
        <v>16062800</v>
      </c>
      <c r="I44" s="34" t="inlineStr">
        <is>
          <t>584</t>
        </is>
      </c>
    </row>
    <row r="45">
      <c r="A45" s="33" t="inlineStr">
        <is>
          <t>22100 E 26th Ave (ASB)</t>
        </is>
      </c>
      <c r="B45" s="36" t="n">
        <v>2340014</v>
      </c>
      <c r="C45" s="36" t="n">
        <v>-234001</v>
      </c>
      <c r="D45" s="36" t="n">
        <v>2106013</v>
      </c>
      <c r="E45" s="36" t="n">
        <v>-168481</v>
      </c>
      <c r="F45" s="36" t="n">
        <v>1937532</v>
      </c>
      <c r="G45" s="42" t="n">
        <v>0.0625</v>
      </c>
      <c r="H45" s="36" t="n">
        <v>31001000</v>
      </c>
      <c r="I45" s="34" t="inlineStr">
        <is>
          <t>584</t>
        </is>
      </c>
    </row>
    <row r="46">
      <c r="A46" s="33" t="inlineStr">
        <is>
          <t>Majestic Commercenter Bldg 24</t>
        </is>
      </c>
      <c r="B46" s="36" t="n">
        <v>1343938</v>
      </c>
      <c r="C46" s="36" t="n">
        <v>-134394</v>
      </c>
      <c r="D46" s="36" t="n">
        <v>1209544</v>
      </c>
      <c r="E46" s="36" t="n">
        <v>-60477</v>
      </c>
      <c r="F46" s="36" t="n">
        <v>1149067</v>
      </c>
      <c r="G46" s="42" t="n">
        <v>0.07630000000000001</v>
      </c>
      <c r="H46" s="36" t="n">
        <v>15059900</v>
      </c>
      <c r="I46" s="34" t="inlineStr">
        <is>
          <t>584</t>
        </is>
      </c>
    </row>
    <row r="47">
      <c r="A47" s="33" t="inlineStr">
        <is>
          <t>Majestic Commercenter Bldg 22</t>
        </is>
      </c>
      <c r="B47" s="36" t="n">
        <v>1250563</v>
      </c>
      <c r="C47" s="36" t="n">
        <v>-125056</v>
      </c>
      <c r="D47" s="36" t="n">
        <v>1125506</v>
      </c>
      <c r="E47" s="36" t="n">
        <v>-56275</v>
      </c>
      <c r="F47" s="36" t="n">
        <v>1069231</v>
      </c>
      <c r="G47" s="42" t="n">
        <v>0.07630000000000001</v>
      </c>
      <c r="H47" s="36" t="n">
        <v>13402900</v>
      </c>
      <c r="I47" s="34" t="inlineStr">
        <is>
          <t>584</t>
        </is>
      </c>
    </row>
    <row r="48">
      <c r="A48" s="33" t="inlineStr">
        <is>
          <t>Shamrock Foods (hypothetical mkt lease)</t>
        </is>
      </c>
      <c r="B48" s="36" t="n">
        <v>2061894</v>
      </c>
      <c r="C48" s="36" t="n">
        <v>-164952</v>
      </c>
      <c r="D48" s="36" t="n">
        <v>1896942</v>
      </c>
      <c r="E48" s="36" t="n">
        <v>-132786</v>
      </c>
      <c r="F48" s="36" t="n">
        <v>1764156</v>
      </c>
      <c r="G48" s="42" t="n">
        <v>0.07199999999999999</v>
      </c>
      <c r="H48" s="36" t="n">
        <v>24502171</v>
      </c>
      <c r="I48" s="34" t="inlineStr">
        <is>
          <t>584</t>
        </is>
      </c>
    </row>
    <row r="49">
      <c r="A49" t="inlineStr">
        <is>
          <t xml:space="preserve">  [584 BATCH] Proforma figures as reported by each preparer (Sterling Property Tax Specialists, Ryan LLC, Amazon corporate, or DMA). Several proformas (Bldg 12, Bldg 11, Denali, 2780 N Tower, Bldg 15, Bldg 29, Bldg 26, Bldg 24, Bldg 22) include a county Metro-District mill-levy ETR load on top of the market cap rate (7.63% or 8.10% loaded vs 7.00% unloaded). Bldg 12, Bldg 11, Denali, and Bldg 22 indicated values include a further excess-vacancy/lease-up discount beyond this NOI/cap-rate line (see notes on each source document) — the 'Indicated Value' column already reflects that final discount.</t>
        </is>
      </c>
    </row>
    <row r="50">
      <c r="A50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50" s="20" t="n"/>
      <c r="C50" s="20" t="n"/>
      <c r="D50" s="20" t="n"/>
      <c r="E50" s="20" t="n"/>
      <c r="F50" s="20" t="n"/>
      <c r="G50" s="20" t="n"/>
      <c r="H50" s="21" t="n"/>
    </row>
  </sheetData>
  <mergeCells count="6">
    <mergeCell ref="A50:H50"/>
    <mergeCell ref="A4:H4"/>
    <mergeCell ref="A2:I2"/>
    <mergeCell ref="A25:H25"/>
    <mergeCell ref="A1:I1"/>
    <mergeCell ref="A23:H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  <col width="9" customWidth="1" min="6" max="6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  <c r="F4" s="32" t="inlineStr">
        <is>
          <t>Batch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33" t="inlineStr">
        <is>
          <t>Majestic Commercenter Bldg 12 — FY2024 (actual, 100% vacant)</t>
        </is>
      </c>
      <c r="B9" s="40" t="n">
        <v>0</v>
      </c>
      <c r="C9" s="40" t="n">
        <v>469407.03</v>
      </c>
      <c r="D9" s="40">
        <f>B9-C9</f>
        <v/>
      </c>
      <c r="E9" s="33" t="inlineStr">
        <is>
          <t>12-mo detail income statement (accrual; incl. RE taxes, depr/amort); property 100% vacant all year</t>
        </is>
      </c>
      <c r="F9" s="34" t="inlineStr">
        <is>
          <t>584</t>
        </is>
      </c>
    </row>
    <row r="10" ht="28" customHeight="1">
      <c r="A10" s="33" t="inlineStr">
        <is>
          <t>Majestic Commercenter Bldg 11 — FY2024 (actual)</t>
        </is>
      </c>
      <c r="B10" s="40" t="n">
        <v>53330.06</v>
      </c>
      <c r="C10" s="40" t="n">
        <v>349663.61</v>
      </c>
      <c r="D10" s="40">
        <f>B10-C10</f>
        <v/>
      </c>
      <c r="E10" s="33" t="inlineStr">
        <is>
          <t>12-mo detail income statement (accrual; incl. depr/amort); building 100% vacant, minor concession/reimb income only</t>
        </is>
      </c>
      <c r="F10" s="34" t="inlineStr">
        <is>
          <t>584</t>
        </is>
      </c>
    </row>
    <row r="11">
      <c r="A11" s="33" t="inlineStr">
        <is>
          <t>2780 North Tower Road, LLC — FY2024</t>
        </is>
      </c>
      <c r="B11" s="40" t="n">
        <v>3047376</v>
      </c>
      <c r="C11" s="40" t="n">
        <v>515200</v>
      </c>
      <c r="D11" s="40">
        <f>B11-C11</f>
        <v/>
      </c>
      <c r="E11" s="33" t="inlineStr">
        <is>
          <t>Accrual P&amp;L (excl. interest/other, see detail); includes depreciation &amp; amortization</t>
        </is>
      </c>
      <c r="F11" s="34" t="inlineStr">
        <is>
          <t>584</t>
        </is>
      </c>
    </row>
    <row r="12">
      <c r="A12" s="33" t="inlineStr">
        <is>
          <t>2780 North Tower Road, LLC — FY2023</t>
        </is>
      </c>
      <c r="B12" s="40" t="n">
        <v>2979661</v>
      </c>
      <c r="C12" s="40" t="n">
        <v>497459</v>
      </c>
      <c r="D12" s="40">
        <f>B12-C12</f>
        <v/>
      </c>
      <c r="E12" s="33" t="inlineStr">
        <is>
          <t>Accrual P&amp;L (excl. interest/other, see detail); includes depreciation &amp; amortization</t>
        </is>
      </c>
      <c r="F12" s="34" t="inlineStr">
        <is>
          <t>584</t>
        </is>
      </c>
    </row>
    <row r="13">
      <c r="A13" s="33" t="inlineStr">
        <is>
          <t>TrusTile Doors (R0198564) — Oct'23-Sep'24 survey</t>
        </is>
      </c>
      <c r="B13" s="33" t="n"/>
      <c r="C13" s="40" t="n">
        <v>3087997</v>
      </c>
      <c r="D13" s="33" t="inlineStr">
        <is>
          <t>—</t>
        </is>
      </c>
      <c r="E13" s="33" t="inlineStr">
        <is>
          <t>Adams County survey; 100% owner-occupied, expenses only</t>
        </is>
      </c>
      <c r="F13" s="34" t="inlineStr">
        <is>
          <t>584</t>
        </is>
      </c>
    </row>
    <row r="14">
      <c r="A14" s="33" t="inlineStr">
        <is>
          <t>Broadway Logistics Center — FY2024 (actual, 100% vacant)</t>
        </is>
      </c>
      <c r="B14" s="40" t="n">
        <v>0</v>
      </c>
      <c r="C14" s="40" t="n">
        <v>411259.09</v>
      </c>
      <c r="D14" s="40">
        <f>B14-C14</f>
        <v/>
      </c>
      <c r="E14" s="33" t="inlineStr">
        <is>
          <t>12-mo detail income statement (accrual; incl. depr/amort); property 100% vacant all year</t>
        </is>
      </c>
      <c r="F14" s="34" t="inlineStr">
        <is>
          <t>584</t>
        </is>
      </c>
    </row>
    <row r="15">
      <c r="A15" s="33" t="inlineStr">
        <is>
          <t>Majestic Commercenter Bldg 15 — FY2024</t>
        </is>
      </c>
      <c r="B15" s="40" t="n">
        <v>6394065.27</v>
      </c>
      <c r="C15" s="40" t="n">
        <v>2252980.35</v>
      </c>
      <c r="D15" s="40">
        <f>B15-C15</f>
        <v/>
      </c>
      <c r="E15" s="33" t="inlineStr">
        <is>
          <t>12-mo detail income statement (accrual operating rev/opex only; excl. interest &amp; other, see detail)</t>
        </is>
      </c>
      <c r="F15" s="34" t="inlineStr">
        <is>
          <t>584</t>
        </is>
      </c>
    </row>
    <row r="16">
      <c r="A16" s="33" t="inlineStr">
        <is>
          <t>Majestic Commercenter Bldg 15 — FY2023</t>
        </is>
      </c>
      <c r="B16" s="40" t="n">
        <v>6886428.4</v>
      </c>
      <c r="C16" s="40" t="n">
        <v>2770056.15</v>
      </c>
      <c r="D16" s="40">
        <f>B16-C16</f>
        <v/>
      </c>
      <c r="E16" s="33" t="inlineStr">
        <is>
          <t>12-mo detail income statement (accrual operating rev/opex only; excl. interest &amp; other, see detail)</t>
        </is>
      </c>
      <c r="F16" s="34" t="inlineStr">
        <is>
          <t>584</t>
        </is>
      </c>
    </row>
    <row r="17">
      <c r="A17" s="33" t="inlineStr">
        <is>
          <t>Majestic Commercenter Bldg 29 — FY2024</t>
        </is>
      </c>
      <c r="B17" s="40" t="n">
        <v>5057545.44</v>
      </c>
      <c r="C17" s="40" t="n">
        <v>1735622.01</v>
      </c>
      <c r="D17" s="40">
        <f>B17-C17</f>
        <v/>
      </c>
      <c r="E17" s="33" t="inlineStr">
        <is>
          <t>12-mo detail income statement (accrual operating rev/opex only; excl. interest &amp; other, see detail)</t>
        </is>
      </c>
      <c r="F17" s="34" t="inlineStr">
        <is>
          <t>584</t>
        </is>
      </c>
    </row>
    <row r="18">
      <c r="A18" s="33" t="inlineStr">
        <is>
          <t>Majestic Commercenter Bldg 29 — FY2023</t>
        </is>
      </c>
      <c r="B18" s="40" t="n">
        <v>5318565.93</v>
      </c>
      <c r="C18" s="40" t="n">
        <v>2007665.41</v>
      </c>
      <c r="D18" s="40">
        <f>B18-C18</f>
        <v/>
      </c>
      <c r="E18" s="33" t="inlineStr">
        <is>
          <t>12-mo detail income statement (accrual operating rev/opex only; excl. interest &amp; other, see detail)</t>
        </is>
      </c>
      <c r="F18" s="34" t="inlineStr">
        <is>
          <t>584</t>
        </is>
      </c>
    </row>
    <row r="19">
      <c r="A19" s="33" t="inlineStr">
        <is>
          <t>Majestic Commercenter Bldg 26 — FY2024</t>
        </is>
      </c>
      <c r="B19" s="40" t="n">
        <v>1780473.56</v>
      </c>
      <c r="C19" s="40" t="n">
        <v>722934.98</v>
      </c>
      <c r="D19" s="40">
        <f>B19-C19</f>
        <v/>
      </c>
      <c r="E19" s="33" t="inlineStr">
        <is>
          <t>12-mo detail income statement (accrual operating rev/opex only; excl. interest &amp; other, see detail)</t>
        </is>
      </c>
      <c r="F19" s="34" t="inlineStr">
        <is>
          <t>584</t>
        </is>
      </c>
    </row>
    <row r="20">
      <c r="A20" s="33" t="inlineStr">
        <is>
          <t>Majestic Commercenter Bldg 26 — FY2023</t>
        </is>
      </c>
      <c r="B20" s="40" t="n">
        <v>1868293.25</v>
      </c>
      <c r="C20" s="40" t="n">
        <v>874497.0600000001</v>
      </c>
      <c r="D20" s="40">
        <f>B20-C20</f>
        <v/>
      </c>
      <c r="E20" s="33" t="inlineStr">
        <is>
          <t>12-mo detail income statement (accrual operating rev/opex only; excl. interest &amp; other, see detail)</t>
        </is>
      </c>
      <c r="F20" s="34" t="inlineStr">
        <is>
          <t>584</t>
        </is>
      </c>
    </row>
    <row r="21">
      <c r="A21" s="33" t="inlineStr">
        <is>
          <t>22100 E 26th Ave (ASB) — FY2024 (actual, 28% occupied)</t>
        </is>
      </c>
      <c r="B21" s="40" t="n">
        <v>761790.88</v>
      </c>
      <c r="C21" s="40" t="n">
        <v>1725293.03</v>
      </c>
      <c r="D21" s="40">
        <f>B21-C21</f>
        <v/>
      </c>
      <c r="E21" s="33" t="inlineStr">
        <is>
          <t>Accrual w/CapEx income statement; heavy leasing capex/RE tax carry on mostly-vacant building</t>
        </is>
      </c>
      <c r="F21" s="34" t="inlineStr">
        <is>
          <t>584</t>
        </is>
      </c>
    </row>
    <row r="22">
      <c r="A22" s="33" t="inlineStr">
        <is>
          <t>22100 E 26th Ave (ASB) — FY2023 (actual)</t>
        </is>
      </c>
      <c r="B22" s="40" t="n">
        <v>62585.76</v>
      </c>
      <c r="C22" s="40" t="n">
        <v>2131090.35</v>
      </c>
      <c r="D22" s="40">
        <f>B22-C22</f>
        <v/>
      </c>
      <c r="E22" s="33" t="inlineStr">
        <is>
          <t>Accrual w/CapEx income statement; building largely vacant</t>
        </is>
      </c>
      <c r="F22" s="34" t="inlineStr">
        <is>
          <t>584</t>
        </is>
      </c>
    </row>
    <row r="23">
      <c r="A23" s="33" t="inlineStr">
        <is>
          <t>Majestic Commercenter Bldg 24 — FY2024</t>
        </is>
      </c>
      <c r="B23" s="40" t="n">
        <v>2567319.8</v>
      </c>
      <c r="C23" s="40" t="n">
        <v>908870.85</v>
      </c>
      <c r="D23" s="40">
        <f>B23-C23</f>
        <v/>
      </c>
      <c r="E23" s="33" t="inlineStr">
        <is>
          <t>12-mo detail income statement (accrual operating rev/opex only; excl. interest &amp; other, see detail)</t>
        </is>
      </c>
      <c r="F23" s="34" t="inlineStr">
        <is>
          <t>584</t>
        </is>
      </c>
    </row>
    <row r="24">
      <c r="A24" s="33" t="inlineStr">
        <is>
          <t>Majestic Commercenter Bldg 24 — FY2023</t>
        </is>
      </c>
      <c r="B24" s="40" t="n">
        <v>2728325.62</v>
      </c>
      <c r="C24" s="40" t="n">
        <v>1165864.56</v>
      </c>
      <c r="D24" s="40">
        <f>B24-C24</f>
        <v/>
      </c>
      <c r="E24" s="33" t="inlineStr">
        <is>
          <t>12-mo detail income statement (accrual operating rev/opex only; excl. interest &amp; other, see detail)</t>
        </is>
      </c>
      <c r="F24" s="34" t="inlineStr">
        <is>
          <t>584</t>
        </is>
      </c>
    </row>
    <row r="25">
      <c r="A25" s="33" t="inlineStr">
        <is>
          <t>Majestic Commercenter Bldg 22 — FY2024</t>
        </is>
      </c>
      <c r="B25" s="40" t="n">
        <v>1648443.25</v>
      </c>
      <c r="C25" s="40" t="n">
        <v>872475.4300000001</v>
      </c>
      <c r="D25" s="40">
        <f>B25-C25</f>
        <v/>
      </c>
      <c r="E25" s="33" t="inlineStr">
        <is>
          <t>12-mo detail income statement (accrual operating rev/opex only; excl. interest &amp; other, see detail)</t>
        </is>
      </c>
      <c r="F25" s="34" t="inlineStr">
        <is>
          <t>584</t>
        </is>
      </c>
    </row>
    <row r="26">
      <c r="A26" s="33" t="inlineStr">
        <is>
          <t>Majestic Commercenter Bldg 22 — FY2023</t>
        </is>
      </c>
      <c r="B26" s="40" t="n">
        <v>1898261.15</v>
      </c>
      <c r="C26" s="40" t="n">
        <v>982119.23</v>
      </c>
      <c r="D26" s="40">
        <f>B26-C26</f>
        <v/>
      </c>
      <c r="E26" s="33" t="inlineStr">
        <is>
          <t>12-mo detail income statement (accrual operating rev/opex only; excl. interest &amp; other, see detail)</t>
        </is>
      </c>
      <c r="F26" s="34" t="inlineStr">
        <is>
          <t>584</t>
        </is>
      </c>
    </row>
    <row r="27">
      <c r="A27" t="inlineStr">
        <is>
          <t xml:space="preserve">  [584 BATCH] 584-batch figures: 'Expense' above is operating expense only (excludes mortgage interest and depreciation/amortization, which are broken out separately in Income-Expense Detail where captured) except where noted otherwise (2780 N Tower Road, Bldg 12/11/Broadway, and ASB 22100 E 26th, whose printed totals do include interest/depreciation — see each Income-Expense Detail block for the full breakdown). Net = Total Income − Total Expense as printed in each source statement; see the Income-Expense Detail tab for full line items and each property's true bottom-line Net Income (which nets interest and depreciation/amortization on top of the operating figures above).</t>
        </is>
      </c>
    </row>
    <row r="28">
      <c r="A28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28" s="20" t="n"/>
      <c r="C28" s="20" t="n"/>
      <c r="D28" s="20" t="n"/>
      <c r="E28" s="21" t="n"/>
    </row>
  </sheetData>
  <mergeCells count="3">
    <mergeCell ref="A28:E28"/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  <col width="9" customWidth="1" min="6" max="6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  <c r="F4" s="32" t="inlineStr">
        <is>
          <t>Batch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33" t="inlineStr">
        <is>
          <t>Majestic Commercenter Bldg 12 — FY2024</t>
        </is>
      </c>
      <c r="B66" s="43" t="inlineStr">
        <is>
          <t>Income</t>
        </is>
      </c>
      <c r="C66" s="43" t="inlineStr">
        <is>
          <t>TOTAL INCOME</t>
        </is>
      </c>
      <c r="D66" s="44" t="n">
        <v>0</v>
      </c>
      <c r="E66" s="45" t="inlineStr">
        <is>
          <t>Printed total: $0.00 (100% vacant all year, no revenue).</t>
        </is>
      </c>
      <c r="F66" s="34" t="inlineStr">
        <is>
          <t>584</t>
        </is>
      </c>
    </row>
    <row r="67">
      <c r="A67" s="33" t="inlineStr">
        <is>
          <t>Majestic Commercenter Bldg 12 — FY2024</t>
        </is>
      </c>
      <c r="B67" s="33" t="inlineStr">
        <is>
          <t>Expense</t>
        </is>
      </c>
      <c r="C67" s="33" t="inlineStr">
        <is>
          <t>5250 - Fire Life Safety</t>
        </is>
      </c>
      <c r="D67" s="40" t="n">
        <v>167.39</v>
      </c>
      <c r="E67" s="33" t="n"/>
      <c r="F67" s="34" t="inlineStr">
        <is>
          <t>584</t>
        </is>
      </c>
    </row>
    <row r="68">
      <c r="A68" s="33" t="inlineStr">
        <is>
          <t>Majestic Commercenter Bldg 12 — FY2024</t>
        </is>
      </c>
      <c r="B68" s="33" t="inlineStr">
        <is>
          <t>Expense</t>
        </is>
      </c>
      <c r="C68" s="33" t="inlineStr">
        <is>
          <t>5350 - Roof</t>
        </is>
      </c>
      <c r="D68" s="40" t="n">
        <v>1089.79</v>
      </c>
      <c r="E68" s="33" t="n"/>
      <c r="F68" s="34" t="inlineStr">
        <is>
          <t>584</t>
        </is>
      </c>
    </row>
    <row r="69">
      <c r="A69" s="33" t="inlineStr">
        <is>
          <t>Majestic Commercenter Bldg 12 — FY2024</t>
        </is>
      </c>
      <c r="B69" s="33" t="inlineStr">
        <is>
          <t>Expense</t>
        </is>
      </c>
      <c r="C69" s="33" t="inlineStr">
        <is>
          <t>5500 - Real Estate Taxes</t>
        </is>
      </c>
      <c r="D69" s="40" t="n">
        <v>388880.98</v>
      </c>
      <c r="E69" s="33" t="n"/>
      <c r="F69" s="34" t="inlineStr">
        <is>
          <t>584</t>
        </is>
      </c>
    </row>
    <row r="70">
      <c r="A70" s="33" t="inlineStr">
        <is>
          <t>Majestic Commercenter Bldg 12 — FY2024</t>
        </is>
      </c>
      <c r="B70" s="33" t="inlineStr">
        <is>
          <t>Expense</t>
        </is>
      </c>
      <c r="C70" s="33" t="inlineStr">
        <is>
          <t>6115 - Insurance-Fire &amp; Extended</t>
        </is>
      </c>
      <c r="D70" s="40" t="n">
        <v>9244.92</v>
      </c>
      <c r="E70" s="33" t="n"/>
      <c r="F70" s="34" t="inlineStr">
        <is>
          <t>584</t>
        </is>
      </c>
    </row>
    <row r="71">
      <c r="A71" s="33" t="inlineStr">
        <is>
          <t>Majestic Commercenter Bldg 12 — FY2024</t>
        </is>
      </c>
      <c r="B71" s="33" t="inlineStr">
        <is>
          <t>Expense</t>
        </is>
      </c>
      <c r="C71" s="33" t="inlineStr">
        <is>
          <t>6120 - Insurance-Liability</t>
        </is>
      </c>
      <c r="D71" s="40" t="n">
        <v>7283.01</v>
      </c>
      <c r="E71" s="33" t="n"/>
      <c r="F71" s="34" t="inlineStr">
        <is>
          <t>584</t>
        </is>
      </c>
    </row>
    <row r="72">
      <c r="A72" s="33" t="inlineStr">
        <is>
          <t>Majestic Commercenter Bldg 12 — FY2024</t>
        </is>
      </c>
      <c r="B72" s="33" t="inlineStr">
        <is>
          <t>Expense</t>
        </is>
      </c>
      <c r="C72" s="33" t="inlineStr">
        <is>
          <t>6250 - Fire Life Safety</t>
        </is>
      </c>
      <c r="D72" s="40" t="n">
        <v>3964.55</v>
      </c>
      <c r="E72" s="33" t="n"/>
      <c r="F72" s="34" t="inlineStr">
        <is>
          <t>584</t>
        </is>
      </c>
    </row>
    <row r="73">
      <c r="A73" s="33" t="inlineStr">
        <is>
          <t>Majestic Commercenter Bldg 12 — FY2024</t>
        </is>
      </c>
      <c r="B73" s="33" t="inlineStr">
        <is>
          <t>Expense</t>
        </is>
      </c>
      <c r="C73" s="33" t="inlineStr">
        <is>
          <t>6275 - HVAC</t>
        </is>
      </c>
      <c r="D73" s="40" t="n">
        <v>3343.67</v>
      </c>
      <c r="E73" s="33" t="n"/>
      <c r="F73" s="34" t="inlineStr">
        <is>
          <t>584</t>
        </is>
      </c>
    </row>
    <row r="74">
      <c r="A74" s="33" t="inlineStr">
        <is>
          <t>Majestic Commercenter Bldg 12 — FY2024</t>
        </is>
      </c>
      <c r="B74" s="33" t="inlineStr">
        <is>
          <t>Expense</t>
        </is>
      </c>
      <c r="C74" s="33" t="inlineStr">
        <is>
          <t>6280 - Janitorial Services</t>
        </is>
      </c>
      <c r="D74" s="40" t="n">
        <v>1359.52</v>
      </c>
      <c r="E74" s="33" t="n"/>
      <c r="F74" s="34" t="inlineStr">
        <is>
          <t>584</t>
        </is>
      </c>
    </row>
    <row r="75">
      <c r="A75" s="33" t="inlineStr">
        <is>
          <t>Majestic Commercenter Bldg 12 — FY2024</t>
        </is>
      </c>
      <c r="B75" s="33" t="inlineStr">
        <is>
          <t>Expense</t>
        </is>
      </c>
      <c r="C75" s="33" t="inlineStr">
        <is>
          <t>6285 - Keys/Card Access</t>
        </is>
      </c>
      <c r="D75" s="40" t="n">
        <v>306.33</v>
      </c>
      <c r="E75" s="33" t="n"/>
      <c r="F75" s="34" t="inlineStr">
        <is>
          <t>584</t>
        </is>
      </c>
    </row>
    <row r="76">
      <c r="A76" s="33" t="inlineStr">
        <is>
          <t>Majestic Commercenter Bldg 12 — FY2024</t>
        </is>
      </c>
      <c r="B76" s="33" t="inlineStr">
        <is>
          <t>Expense</t>
        </is>
      </c>
      <c r="C76" s="33" t="inlineStr">
        <is>
          <t>6290 - Landscaping</t>
        </is>
      </c>
      <c r="D76" s="40" t="n">
        <v>12928.82</v>
      </c>
      <c r="E76" s="33" t="n"/>
      <c r="F76" s="34" t="inlineStr">
        <is>
          <t>584</t>
        </is>
      </c>
    </row>
    <row r="77">
      <c r="A77" s="33" t="inlineStr">
        <is>
          <t>Majestic Commercenter Bldg 12 — FY2024</t>
        </is>
      </c>
      <c r="B77" s="33" t="inlineStr">
        <is>
          <t>Expense</t>
        </is>
      </c>
      <c r="C77" s="33" t="inlineStr">
        <is>
          <t>6305 - Lighting</t>
        </is>
      </c>
      <c r="D77" s="40" t="n">
        <v>46.11</v>
      </c>
      <c r="E77" s="33" t="n"/>
      <c r="F77" s="34" t="inlineStr">
        <is>
          <t>584</t>
        </is>
      </c>
    </row>
    <row r="78">
      <c r="A78" s="33" t="inlineStr">
        <is>
          <t>Majestic Commercenter Bldg 12 — FY2024</t>
        </is>
      </c>
      <c r="B78" s="33" t="inlineStr">
        <is>
          <t>Expense</t>
        </is>
      </c>
      <c r="C78" s="33" t="inlineStr">
        <is>
          <t>6320 - Parking Lot</t>
        </is>
      </c>
      <c r="D78" s="40" t="n">
        <v>1188.05</v>
      </c>
      <c r="E78" s="33" t="n"/>
      <c r="F78" s="34" t="inlineStr">
        <is>
          <t>584</t>
        </is>
      </c>
    </row>
    <row r="79">
      <c r="A79" s="33" t="inlineStr">
        <is>
          <t>Majestic Commercenter Bldg 12 — FY2024</t>
        </is>
      </c>
      <c r="B79" s="33" t="inlineStr">
        <is>
          <t>Expense</t>
        </is>
      </c>
      <c r="C79" s="33" t="inlineStr">
        <is>
          <t>6345 - Repairs</t>
        </is>
      </c>
      <c r="D79" s="40" t="n">
        <v>1314.13</v>
      </c>
      <c r="E79" s="33" t="n"/>
      <c r="F79" s="34" t="inlineStr">
        <is>
          <t>584</t>
        </is>
      </c>
    </row>
    <row r="80">
      <c r="A80" s="33" t="inlineStr">
        <is>
          <t>Majestic Commercenter Bldg 12 — FY2024</t>
        </is>
      </c>
      <c r="B80" s="33" t="inlineStr">
        <is>
          <t>Expense</t>
        </is>
      </c>
      <c r="C80" s="33" t="inlineStr">
        <is>
          <t>6365 - Signs</t>
        </is>
      </c>
      <c r="D80" s="40" t="n">
        <v>391.09</v>
      </c>
      <c r="E80" s="33" t="n"/>
      <c r="F80" s="34" t="inlineStr">
        <is>
          <t>584</t>
        </is>
      </c>
    </row>
    <row r="81">
      <c r="A81" s="33" t="inlineStr">
        <is>
          <t>Majestic Commercenter Bldg 12 — FY2024</t>
        </is>
      </c>
      <c r="B81" s="33" t="inlineStr">
        <is>
          <t>Expense</t>
        </is>
      </c>
      <c r="C81" s="33" t="inlineStr">
        <is>
          <t>6370 - Snow Removal</t>
        </is>
      </c>
      <c r="D81" s="40" t="n">
        <v>14585.62</v>
      </c>
      <c r="E81" s="33" t="n"/>
      <c r="F81" s="34" t="inlineStr">
        <is>
          <t>584</t>
        </is>
      </c>
    </row>
    <row r="82">
      <c r="A82" s="33" t="inlineStr">
        <is>
          <t>Majestic Commercenter Bldg 12 — FY2024</t>
        </is>
      </c>
      <c r="B82" s="33" t="inlineStr">
        <is>
          <t>Expense</t>
        </is>
      </c>
      <c r="C82" s="33" t="inlineStr">
        <is>
          <t>6380 - Sweeping</t>
        </is>
      </c>
      <c r="D82" s="40" t="n">
        <v>1287.64</v>
      </c>
      <c r="E82" s="33" t="n"/>
      <c r="F82" s="34" t="inlineStr">
        <is>
          <t>584</t>
        </is>
      </c>
    </row>
    <row r="83">
      <c r="A83" s="33" t="inlineStr">
        <is>
          <t>Majestic Commercenter Bldg 12 — FY2024</t>
        </is>
      </c>
      <c r="B83" s="33" t="inlineStr">
        <is>
          <t>Expense</t>
        </is>
      </c>
      <c r="C83" s="33" t="inlineStr">
        <is>
          <t>6385 - Window Washing</t>
        </is>
      </c>
      <c r="D83" s="40" t="n">
        <v>780</v>
      </c>
      <c r="E83" s="33" t="n"/>
      <c r="F83" s="34" t="inlineStr">
        <is>
          <t>584</t>
        </is>
      </c>
    </row>
    <row r="84">
      <c r="A84" s="33" t="inlineStr">
        <is>
          <t>Majestic Commercenter Bldg 12 — FY2024</t>
        </is>
      </c>
      <c r="B84" s="33" t="inlineStr">
        <is>
          <t>Expense</t>
        </is>
      </c>
      <c r="C84" s="33" t="inlineStr">
        <is>
          <t>6500 - Property Taxes (other)</t>
        </is>
      </c>
      <c r="D84" s="40" t="n">
        <v>200.01</v>
      </c>
      <c r="E84" s="33" t="n"/>
      <c r="F84" s="34" t="inlineStr">
        <is>
          <t>584</t>
        </is>
      </c>
    </row>
    <row r="85">
      <c r="A85" s="33" t="inlineStr">
        <is>
          <t>Majestic Commercenter Bldg 12 — FY2024</t>
        </is>
      </c>
      <c r="B85" s="33" t="inlineStr">
        <is>
          <t>Expense</t>
        </is>
      </c>
      <c r="C85" s="33" t="inlineStr">
        <is>
          <t>6610 - Utilities-Electricity</t>
        </is>
      </c>
      <c r="D85" s="40" t="n">
        <v>2960.51</v>
      </c>
      <c r="E85" s="33" t="n"/>
      <c r="F85" s="34" t="inlineStr">
        <is>
          <t>584</t>
        </is>
      </c>
    </row>
    <row r="86">
      <c r="A86" s="33" t="inlineStr">
        <is>
          <t>Majestic Commercenter Bldg 12 — FY2024</t>
        </is>
      </c>
      <c r="B86" s="33" t="inlineStr">
        <is>
          <t>Expense</t>
        </is>
      </c>
      <c r="C86" s="33" t="inlineStr">
        <is>
          <t>6615 - Utilities-Fire Service</t>
        </is>
      </c>
      <c r="D86" s="40" t="n">
        <v>362.39</v>
      </c>
      <c r="E86" s="33" t="n"/>
      <c r="F86" s="34" t="inlineStr">
        <is>
          <t>584</t>
        </is>
      </c>
    </row>
    <row r="87">
      <c r="A87" s="33" t="inlineStr">
        <is>
          <t>Majestic Commercenter Bldg 12 — FY2024</t>
        </is>
      </c>
      <c r="B87" s="33" t="inlineStr">
        <is>
          <t>Expense</t>
        </is>
      </c>
      <c r="C87" s="33" t="inlineStr">
        <is>
          <t>6620 - Utilities-Gas/Heating</t>
        </is>
      </c>
      <c r="D87" s="40" t="n">
        <v>7874.4</v>
      </c>
      <c r="E87" s="33" t="n"/>
      <c r="F87" s="34" t="inlineStr">
        <is>
          <t>584</t>
        </is>
      </c>
    </row>
    <row r="88">
      <c r="A88" s="33" t="inlineStr">
        <is>
          <t>Majestic Commercenter Bldg 12 — FY2024</t>
        </is>
      </c>
      <c r="B88" s="33" t="inlineStr">
        <is>
          <t>Expense</t>
        </is>
      </c>
      <c r="C88" s="33" t="inlineStr">
        <is>
          <t>6630 - Utilities-Telephone</t>
        </is>
      </c>
      <c r="D88" s="40" t="n">
        <v>248.14</v>
      </c>
      <c r="E88" s="33" t="n"/>
      <c r="F88" s="34" t="inlineStr">
        <is>
          <t>584</t>
        </is>
      </c>
    </row>
    <row r="89">
      <c r="A89" s="33" t="inlineStr">
        <is>
          <t>Majestic Commercenter Bldg 12 — FY2024</t>
        </is>
      </c>
      <c r="B89" s="33" t="inlineStr">
        <is>
          <t>Expense</t>
        </is>
      </c>
      <c r="C89" s="33" t="inlineStr">
        <is>
          <t>6635 - Utilities-Water</t>
        </is>
      </c>
      <c r="D89" s="40" t="n">
        <v>9246.27</v>
      </c>
      <c r="E89" s="33" t="n"/>
      <c r="F89" s="34" t="inlineStr">
        <is>
          <t>584</t>
        </is>
      </c>
    </row>
    <row r="90">
      <c r="A90" s="33" t="inlineStr">
        <is>
          <t>Majestic Commercenter Bldg 12 — FY2024</t>
        </is>
      </c>
      <c r="B90" s="33" t="inlineStr">
        <is>
          <t>Expense</t>
        </is>
      </c>
      <c r="C90" s="33" t="inlineStr">
        <is>
          <t>6640 - Utilities-Other</t>
        </is>
      </c>
      <c r="D90" s="40" t="n">
        <v>128.69</v>
      </c>
      <c r="E90" s="33" t="n"/>
      <c r="F90" s="34" t="inlineStr">
        <is>
          <t>584</t>
        </is>
      </c>
    </row>
    <row r="91">
      <c r="A91" s="33" t="inlineStr">
        <is>
          <t>Majestic Commercenter Bldg 12 — FY2024</t>
        </is>
      </c>
      <c r="B91" s="33" t="inlineStr">
        <is>
          <t>Expense</t>
        </is>
      </c>
      <c r="C91" s="33" t="inlineStr">
        <is>
          <t>8435 - Prof Service-Other</t>
        </is>
      </c>
      <c r="D91" s="40" t="n">
        <v>225</v>
      </c>
      <c r="E91" s="33" t="n"/>
      <c r="F91" s="34" t="inlineStr">
        <is>
          <t>584</t>
        </is>
      </c>
    </row>
    <row r="92">
      <c r="A92" s="33" t="inlineStr">
        <is>
          <t>Majestic Commercenter Bldg 12 — FY2024</t>
        </is>
      </c>
      <c r="B92" s="43" t="inlineStr">
        <is>
          <t>Expense</t>
        </is>
      </c>
      <c r="C92" s="43" t="inlineStr">
        <is>
          <t>TOTAL EXPENSE</t>
        </is>
      </c>
      <c r="D92" s="44">
        <f>SUM(D67:D91)</f>
        <v/>
      </c>
      <c r="E92" s="45" t="inlineStr">
        <is>
          <t>Printed total: $469,407.03.</t>
        </is>
      </c>
      <c r="F92" s="34" t="inlineStr">
        <is>
          <t>584</t>
        </is>
      </c>
    </row>
    <row r="93">
      <c r="A93" s="33" t="inlineStr">
        <is>
          <t>Majestic Commercenter Bldg 12 — FY2024</t>
        </is>
      </c>
      <c r="B93" s="43" t="inlineStr">
        <is>
          <t>Other Income/Expense</t>
        </is>
      </c>
      <c r="C93" s="43" t="inlineStr">
        <is>
          <t>TOTAL Other (Income)/Expense</t>
        </is>
      </c>
      <c r="D93" s="44" t="n">
        <v>281155.63</v>
      </c>
      <c r="E93" s="45" t="n"/>
      <c r="F93" s="34" t="inlineStr">
        <is>
          <t>584</t>
        </is>
      </c>
    </row>
    <row r="94">
      <c r="A94" s="33" t="inlineStr">
        <is>
          <t>Majestic Commercenter Bldg 12 — FY2024</t>
        </is>
      </c>
      <c r="B94" s="43" t="inlineStr">
        <is>
          <t>Net</t>
        </is>
      </c>
      <c r="C94" s="43" t="inlineStr">
        <is>
          <t>NET INCOME / (LOSS)</t>
        </is>
      </c>
      <c r="D94" s="44" t="n">
        <v>-750562.66</v>
      </c>
      <c r="E94" s="45" t="inlineStr">
        <is>
          <t>Net Loss (printed): $(750,562.66). Includes RE taxes, depreciation, and one-time insurance proceeds; property 100% vacant all year.</t>
        </is>
      </c>
      <c r="F94" s="34" t="inlineStr">
        <is>
          <t>584</t>
        </is>
      </c>
    </row>
    <row r="95">
      <c r="A95" s="33" t="inlineStr">
        <is>
          <t>Majestic Commercenter Bldg 11 — FY2024</t>
        </is>
      </c>
      <c r="B95" s="33" t="inlineStr">
        <is>
          <t>Income</t>
        </is>
      </c>
      <c r="C95" s="33" t="inlineStr">
        <is>
          <t>4015 - Industrial Rental Income</t>
        </is>
      </c>
      <c r="D95" s="40" t="n">
        <v>0</v>
      </c>
      <c r="E95" s="33" t="inlineStr">
        <is>
          <t>Monthly entries net to $0.00 for the year (93.55 + 100.00 - 193.55)</t>
        </is>
      </c>
      <c r="F95" s="34" t="inlineStr">
        <is>
          <t>584</t>
        </is>
      </c>
    </row>
    <row r="96">
      <c r="A96" s="33" t="inlineStr">
        <is>
          <t>Majestic Commercenter Bldg 11 — FY2024</t>
        </is>
      </c>
      <c r="B96" s="33" t="inlineStr">
        <is>
          <t>Income</t>
        </is>
      </c>
      <c r="C96" s="33" t="inlineStr">
        <is>
          <t>4035 - Rent Concessions</t>
        </is>
      </c>
      <c r="D96" s="40" t="n">
        <v>25811.09</v>
      </c>
      <c r="E96" s="33" t="n"/>
      <c r="F96" s="34" t="inlineStr">
        <is>
          <t>584</t>
        </is>
      </c>
    </row>
    <row r="97">
      <c r="A97" s="33" t="inlineStr">
        <is>
          <t>Majestic Commercenter Bldg 11 — FY2024</t>
        </is>
      </c>
      <c r="B97" s="33" t="inlineStr">
        <is>
          <t>Income</t>
        </is>
      </c>
      <c r="C97" s="33" t="inlineStr">
        <is>
          <t>4135 - Common Area Reimbursement</t>
        </is>
      </c>
      <c r="D97" s="40" t="n">
        <v>851.23</v>
      </c>
      <c r="E97" s="33" t="n"/>
      <c r="F97" s="34" t="inlineStr">
        <is>
          <t>584</t>
        </is>
      </c>
    </row>
    <row r="98">
      <c r="A98" s="33" t="inlineStr">
        <is>
          <t>Majestic Commercenter Bldg 11 — FY2024</t>
        </is>
      </c>
      <c r="B98" s="33" t="inlineStr">
        <is>
          <t>Income</t>
        </is>
      </c>
      <c r="C98" s="33" t="inlineStr">
        <is>
          <t>4140 - Insurance Reimbursement</t>
        </is>
      </c>
      <c r="D98" s="40" t="n">
        <v>504.77</v>
      </c>
      <c r="E98" s="33" t="n"/>
      <c r="F98" s="34" t="inlineStr">
        <is>
          <t>584</t>
        </is>
      </c>
    </row>
    <row r="99">
      <c r="A99" s="33" t="inlineStr">
        <is>
          <t>Majestic Commercenter Bldg 11 — FY2024</t>
        </is>
      </c>
      <c r="B99" s="33" t="inlineStr">
        <is>
          <t>Income</t>
        </is>
      </c>
      <c r="C99" s="33" t="inlineStr">
        <is>
          <t>4145 - Real Estate Tax Reimbursement</t>
        </is>
      </c>
      <c r="D99" s="40" t="n">
        <v>21708.39</v>
      </c>
      <c r="E99" s="33" t="n"/>
      <c r="F99" s="34" t="inlineStr">
        <is>
          <t>584</t>
        </is>
      </c>
    </row>
    <row r="100">
      <c r="A100" s="33" t="inlineStr">
        <is>
          <t>Majestic Commercenter Bldg 11 — FY2024</t>
        </is>
      </c>
      <c r="B100" s="33" t="inlineStr">
        <is>
          <t>Income</t>
        </is>
      </c>
      <c r="C100" s="33" t="inlineStr">
        <is>
          <t>4150 - Utilities Reimbursement</t>
        </is>
      </c>
      <c r="D100" s="40" t="n">
        <v>1228.65</v>
      </c>
      <c r="E100" s="33" t="n"/>
      <c r="F100" s="34" t="inlineStr">
        <is>
          <t>584</t>
        </is>
      </c>
    </row>
    <row r="101">
      <c r="A101" s="33" t="inlineStr">
        <is>
          <t>Majestic Commercenter Bldg 11 — FY2024</t>
        </is>
      </c>
      <c r="B101" s="33" t="inlineStr">
        <is>
          <t>Income</t>
        </is>
      </c>
      <c r="C101" s="33" t="inlineStr">
        <is>
          <t>4156 - Tenant TI Reimb Income</t>
        </is>
      </c>
      <c r="D101" s="40" t="n">
        <v>1024.87</v>
      </c>
      <c r="E101" s="33" t="n"/>
      <c r="F101" s="34" t="inlineStr">
        <is>
          <t>584</t>
        </is>
      </c>
    </row>
    <row r="102">
      <c r="A102" s="33" t="inlineStr">
        <is>
          <t>Majestic Commercenter Bldg 11 — FY2024</t>
        </is>
      </c>
      <c r="B102" s="33" t="inlineStr">
        <is>
          <t>Income</t>
        </is>
      </c>
      <c r="C102" s="33" t="inlineStr">
        <is>
          <t>4160 - Management Fee Reimbursement</t>
        </is>
      </c>
      <c r="D102" s="40" t="n">
        <v>768.39</v>
      </c>
      <c r="E102" s="33" t="n"/>
      <c r="F102" s="34" t="inlineStr">
        <is>
          <t>584</t>
        </is>
      </c>
    </row>
    <row r="103">
      <c r="A103" s="33" t="inlineStr">
        <is>
          <t>Majestic Commercenter Bldg 11 — FY2024</t>
        </is>
      </c>
      <c r="B103" s="33" t="inlineStr">
        <is>
          <t>Income</t>
        </is>
      </c>
      <c r="C103" s="33" t="inlineStr">
        <is>
          <t>4175 - Reserve Income</t>
        </is>
      </c>
      <c r="D103" s="40" t="n">
        <v>1432.67</v>
      </c>
      <c r="E103" s="33" t="n"/>
      <c r="F103" s="34" t="inlineStr">
        <is>
          <t>584</t>
        </is>
      </c>
    </row>
    <row r="104">
      <c r="A104" s="33" t="inlineStr">
        <is>
          <t>Majestic Commercenter Bldg 11 — FY2024</t>
        </is>
      </c>
      <c r="B104" s="43" t="inlineStr">
        <is>
          <t>Income</t>
        </is>
      </c>
      <c r="C104" s="43" t="inlineStr">
        <is>
          <t>TOTAL INCOME</t>
        </is>
      </c>
      <c r="D104" s="44">
        <f>SUM(D95:D103)</f>
        <v/>
      </c>
      <c r="E104" s="45" t="inlineStr">
        <is>
          <t>Printed total: $53,330.06.</t>
        </is>
      </c>
      <c r="F104" s="34" t="inlineStr">
        <is>
          <t>584</t>
        </is>
      </c>
    </row>
    <row r="105">
      <c r="A105" s="33" t="inlineStr">
        <is>
          <t>Majestic Commercenter Bldg 11 — FY2024</t>
        </is>
      </c>
      <c r="B105" s="43" t="inlineStr">
        <is>
          <t>Expense</t>
        </is>
      </c>
      <c r="C105" s="43" t="inlineStr">
        <is>
          <t>TOTAL EXPENSE</t>
        </is>
      </c>
      <c r="D105" s="44" t="n">
        <v>349663.61</v>
      </c>
      <c r="E105" s="45" t="inlineStr">
        <is>
          <t>Printed total: $349,663.61 (full per-account detail not captured; many small monthly line items).</t>
        </is>
      </c>
      <c r="F105" s="34" t="inlineStr">
        <is>
          <t>584</t>
        </is>
      </c>
    </row>
    <row r="106">
      <c r="A106" s="33" t="inlineStr">
        <is>
          <t>Majestic Commercenter Bldg 11 — FY2024</t>
        </is>
      </c>
      <c r="B106" s="43" t="inlineStr">
        <is>
          <t>Other Income/Expense</t>
        </is>
      </c>
      <c r="C106" s="43" t="inlineStr">
        <is>
          <t>TOTAL Other (Income)/Expense</t>
        </is>
      </c>
      <c r="D106" s="44" t="n">
        <v>162250.28</v>
      </c>
      <c r="E106" s="45" t="n"/>
      <c r="F106" s="34" t="inlineStr">
        <is>
          <t>584</t>
        </is>
      </c>
    </row>
    <row r="107">
      <c r="A107" s="33" t="inlineStr">
        <is>
          <t>Majestic Commercenter Bldg 11 — FY2024</t>
        </is>
      </c>
      <c r="B107" s="43" t="inlineStr">
        <is>
          <t>Net</t>
        </is>
      </c>
      <c r="C107" s="43" t="inlineStr">
        <is>
          <t>NET INCOME / (LOSS)</t>
        </is>
      </c>
      <c r="D107" s="44" t="n">
        <v>-458583.83</v>
      </c>
      <c r="E107" s="45" t="inlineStr">
        <is>
          <t>Net Loss (printed): $(458,583.83). Building 100% vacant all year (rent line is a small negative true-up); revenue is almost entirely rent concessions/reimbursements.</t>
        </is>
      </c>
      <c r="F107" s="34" t="inlineStr">
        <is>
          <t>584</t>
        </is>
      </c>
    </row>
    <row r="108">
      <c r="A108" s="33" t="inlineStr">
        <is>
          <t>2780 North Tower Road, LLC — FY2024</t>
        </is>
      </c>
      <c r="B108" s="33" t="inlineStr">
        <is>
          <t>Income</t>
        </is>
      </c>
      <c r="C108" s="33" t="inlineStr">
        <is>
          <t>42327 - Rent Income SRO Tower Road</t>
        </is>
      </c>
      <c r="D108" s="40" t="n">
        <v>3047376</v>
      </c>
      <c r="E108" s="33" t="inlineStr">
        <is>
          <t>Single tenant, actual $7.91/SF NNN</t>
        </is>
      </c>
      <c r="F108" s="34" t="inlineStr">
        <is>
          <t>584</t>
        </is>
      </c>
    </row>
    <row r="109">
      <c r="A109" s="33" t="inlineStr">
        <is>
          <t>2780 North Tower Road, LLC — FY2024</t>
        </is>
      </c>
      <c r="B109" s="43" t="inlineStr">
        <is>
          <t>Income</t>
        </is>
      </c>
      <c r="C109" s="43" t="inlineStr">
        <is>
          <t>TOTAL INCOME</t>
        </is>
      </c>
      <c r="D109" s="44">
        <f>SUM(D108:D108)</f>
        <v/>
      </c>
      <c r="E109" s="45" t="inlineStr">
        <is>
          <t>Printed total: $3,047,376.</t>
        </is>
      </c>
      <c r="F109" s="34" t="inlineStr">
        <is>
          <t>584</t>
        </is>
      </c>
    </row>
    <row r="110">
      <c r="A110" s="33" t="inlineStr">
        <is>
          <t>2780 North Tower Road, LLC — FY2024</t>
        </is>
      </c>
      <c r="B110" s="33" t="inlineStr">
        <is>
          <t>Expense</t>
        </is>
      </c>
      <c r="C110" s="33" t="inlineStr">
        <is>
          <t>60400 - Bank Service Charges</t>
        </is>
      </c>
      <c r="D110" s="40" t="n">
        <v>207</v>
      </c>
      <c r="E110" s="33" t="n"/>
      <c r="F110" s="34" t="inlineStr">
        <is>
          <t>584</t>
        </is>
      </c>
    </row>
    <row r="111">
      <c r="A111" s="33" t="inlineStr">
        <is>
          <t>2780 North Tower Road, LLC — FY2024</t>
        </is>
      </c>
      <c r="B111" s="33" t="inlineStr">
        <is>
          <t>Expense</t>
        </is>
      </c>
      <c r="C111" s="33" t="inlineStr">
        <is>
          <t>62500 - Dues and Subscriptions</t>
        </is>
      </c>
      <c r="D111" s="40" t="n">
        <v>839</v>
      </c>
      <c r="E111" s="33" t="n"/>
      <c r="F111" s="34" t="inlineStr">
        <is>
          <t>584</t>
        </is>
      </c>
    </row>
    <row r="112">
      <c r="A112" s="33" t="inlineStr">
        <is>
          <t>2780 North Tower Road, LLC — FY2024</t>
        </is>
      </c>
      <c r="B112" s="33" t="inlineStr">
        <is>
          <t>Expense</t>
        </is>
      </c>
      <c r="C112" s="33" t="inlineStr">
        <is>
          <t>64900 - Office Supplies</t>
        </is>
      </c>
      <c r="D112" s="40" t="n">
        <v>0</v>
      </c>
      <c r="E112" s="33" t="n"/>
      <c r="F112" s="34" t="inlineStr">
        <is>
          <t>584</t>
        </is>
      </c>
    </row>
    <row r="113">
      <c r="A113" s="33" t="inlineStr">
        <is>
          <t>2780 North Tower Road, LLC — FY2024</t>
        </is>
      </c>
      <c r="B113" s="33" t="inlineStr">
        <is>
          <t>Expense</t>
        </is>
      </c>
      <c r="C113" s="33" t="inlineStr">
        <is>
          <t>66700 - Professional Fees (Accounting+Svc Agmt+Other)</t>
        </is>
      </c>
      <c r="D113" s="40" t="n">
        <v>20011</v>
      </c>
      <c r="E113" s="33" t="n"/>
      <c r="F113" s="34" t="inlineStr">
        <is>
          <t>584</t>
        </is>
      </c>
    </row>
    <row r="114">
      <c r="A114" s="33" t="inlineStr">
        <is>
          <t>2780 North Tower Road, LLC — FY2024</t>
        </is>
      </c>
      <c r="B114" s="33" t="inlineStr">
        <is>
          <t>Expense</t>
        </is>
      </c>
      <c r="C114" s="33" t="inlineStr">
        <is>
          <t>67200 - Repairs and Maintenance</t>
        </is>
      </c>
      <c r="D114" s="40" t="n">
        <v>0</v>
      </c>
      <c r="E114" s="33" t="n"/>
      <c r="F114" s="34" t="inlineStr">
        <is>
          <t>584</t>
        </is>
      </c>
    </row>
    <row r="115">
      <c r="A115" s="33" t="inlineStr">
        <is>
          <t>2780 North Tower Road, LLC — FY2024</t>
        </is>
      </c>
      <c r="B115" s="33" t="inlineStr">
        <is>
          <t>Expense</t>
        </is>
      </c>
      <c r="C115" s="33" t="inlineStr">
        <is>
          <t>68000 - Taxes - Property</t>
        </is>
      </c>
      <c r="D115" s="40" t="n">
        <v>0</v>
      </c>
      <c r="E115" s="33" t="n"/>
      <c r="F115" s="34" t="inlineStr">
        <is>
          <t>584</t>
        </is>
      </c>
    </row>
    <row r="116">
      <c r="A116" s="33" t="inlineStr">
        <is>
          <t>2780 North Tower Road, LLC — FY2024</t>
        </is>
      </c>
      <c r="B116" s="33" t="inlineStr">
        <is>
          <t>Expense</t>
        </is>
      </c>
      <c r="C116" s="33" t="inlineStr">
        <is>
          <t>68600 - Utilities</t>
        </is>
      </c>
      <c r="D116" s="40" t="n">
        <v>0</v>
      </c>
      <c r="E116" s="33" t="n"/>
      <c r="F116" s="34" t="inlineStr">
        <is>
          <t>584</t>
        </is>
      </c>
    </row>
    <row r="117">
      <c r="A117" s="33" t="inlineStr">
        <is>
          <t>2780 North Tower Road, LLC — FY2024</t>
        </is>
      </c>
      <c r="B117" s="33" t="inlineStr">
        <is>
          <t>Expense</t>
        </is>
      </c>
      <c r="C117" s="33" t="inlineStr">
        <is>
          <t>74410 - Outside Services</t>
        </is>
      </c>
      <c r="D117" s="40" t="n">
        <v>14830</v>
      </c>
      <c r="E117" s="33" t="n"/>
      <c r="F117" s="34" t="inlineStr">
        <is>
          <t>584</t>
        </is>
      </c>
    </row>
    <row r="118">
      <c r="A118" s="33" t="inlineStr">
        <is>
          <t>2780 North Tower Road, LLC — FY2024</t>
        </is>
      </c>
      <c r="B118" s="33" t="inlineStr">
        <is>
          <t>Expense</t>
        </is>
      </c>
      <c r="C118" s="33" t="inlineStr">
        <is>
          <t>75015 - Legal</t>
        </is>
      </c>
      <c r="D118" s="40" t="n">
        <v>11093</v>
      </c>
      <c r="E118" s="33" t="n"/>
      <c r="F118" s="34" t="inlineStr">
        <is>
          <t>584</t>
        </is>
      </c>
    </row>
    <row r="119">
      <c r="A119" s="33" t="inlineStr">
        <is>
          <t>2780 North Tower Road, LLC — FY2024</t>
        </is>
      </c>
      <c r="B119" s="33" t="inlineStr">
        <is>
          <t>Expense</t>
        </is>
      </c>
      <c r="C119" s="33" t="inlineStr">
        <is>
          <t>75020 - Consulting fees</t>
        </is>
      </c>
      <c r="D119" s="40" t="n">
        <v>0</v>
      </c>
      <c r="E119" s="33" t="n"/>
      <c r="F119" s="34" t="inlineStr">
        <is>
          <t>584</t>
        </is>
      </c>
    </row>
    <row r="120">
      <c r="A120" s="33" t="inlineStr">
        <is>
          <t>2780 North Tower Road, LLC — FY2024</t>
        </is>
      </c>
      <c r="B120" s="33" t="inlineStr">
        <is>
          <t>Expense</t>
        </is>
      </c>
      <c r="C120" s="33" t="inlineStr">
        <is>
          <t>77025 - Depreciation-Bldgs &amp; Improvement</t>
        </is>
      </c>
      <c r="D120" s="40" t="n">
        <v>456096</v>
      </c>
      <c r="E120" s="33" t="n"/>
      <c r="F120" s="34" t="inlineStr">
        <is>
          <t>584</t>
        </is>
      </c>
    </row>
    <row r="121">
      <c r="A121" s="33" t="inlineStr">
        <is>
          <t>2780 North Tower Road, LLC — FY2024</t>
        </is>
      </c>
      <c r="B121" s="33" t="inlineStr">
        <is>
          <t>Expense</t>
        </is>
      </c>
      <c r="C121" s="33" t="inlineStr">
        <is>
          <t>77026 - Amortization</t>
        </is>
      </c>
      <c r="D121" s="40" t="n">
        <v>12124</v>
      </c>
      <c r="E121" s="33" t="n"/>
      <c r="F121" s="34" t="inlineStr">
        <is>
          <t>584</t>
        </is>
      </c>
    </row>
    <row r="122">
      <c r="A122" s="33" t="inlineStr">
        <is>
          <t>2780 North Tower Road, LLC — FY2024</t>
        </is>
      </c>
      <c r="B122" s="43" t="inlineStr">
        <is>
          <t>Expense</t>
        </is>
      </c>
      <c r="C122" s="43" t="inlineStr">
        <is>
          <t>TOTAL EXPENSE</t>
        </is>
      </c>
      <c r="D122" s="44">
        <f>SUM(D110:D121)</f>
        <v/>
      </c>
      <c r="E122" s="45" t="inlineStr">
        <is>
          <t>Printed total: $515,200.</t>
        </is>
      </c>
      <c r="F122" s="34" t="inlineStr">
        <is>
          <t>584</t>
        </is>
      </c>
    </row>
    <row r="123">
      <c r="A123" s="33" t="inlineStr">
        <is>
          <t>2780 North Tower Road, LLC — FY2024</t>
        </is>
      </c>
      <c r="B123" s="33" t="inlineStr">
        <is>
          <t>Interest</t>
        </is>
      </c>
      <c r="C123" s="33" t="inlineStr">
        <is>
          <t>92000 Interest Expense - Notes</t>
        </is>
      </c>
      <c r="D123" s="40" t="n">
        <v>613282</v>
      </c>
      <c r="E123" s="33" t="n"/>
      <c r="F123" s="34" t="inlineStr">
        <is>
          <t>584</t>
        </is>
      </c>
    </row>
    <row r="124">
      <c r="A124" s="33" t="inlineStr">
        <is>
          <t>2780 North Tower Road, LLC — FY2024</t>
        </is>
      </c>
      <c r="B124" s="43" t="inlineStr">
        <is>
          <t>Other Income/Expense</t>
        </is>
      </c>
      <c r="C124" s="43" t="inlineStr">
        <is>
          <t>TOTAL Interest &amp; Other Expense (net)</t>
        </is>
      </c>
      <c r="D124" s="44" t="n">
        <v>613282</v>
      </c>
      <c r="E124" s="45" t="n"/>
      <c r="F124" s="34" t="inlineStr">
        <is>
          <t>584</t>
        </is>
      </c>
    </row>
    <row r="125">
      <c r="A125" s="33" t="inlineStr">
        <is>
          <t>2780 North Tower Road, LLC — FY2024</t>
        </is>
      </c>
      <c r="B125" s="43" t="inlineStr">
        <is>
          <t>Net</t>
        </is>
      </c>
      <c r="C125" s="43" t="inlineStr">
        <is>
          <t>NET INCOME / (LOSS)</t>
        </is>
      </c>
      <c r="D125" s="44" t="n">
        <v>1918894</v>
      </c>
      <c r="E125" s="45" t="inlineStr">
        <is>
          <t>Net Income (printed): $1,918,894. Accrual basis P&amp;L; includes depreciation, amortization &amp; mortgage interest.</t>
        </is>
      </c>
      <c r="F125" s="34" t="inlineStr">
        <is>
          <t>584</t>
        </is>
      </c>
    </row>
    <row r="126">
      <c r="A126" s="33" t="inlineStr">
        <is>
          <t>2780 North Tower Road, LLC — FY2023</t>
        </is>
      </c>
      <c r="B126" s="33" t="inlineStr">
        <is>
          <t>Income</t>
        </is>
      </c>
      <c r="C126" s="33" t="inlineStr">
        <is>
          <t>42327 - Rent Income SRO Tower Road</t>
        </is>
      </c>
      <c r="D126" s="40" t="n">
        <v>2979661</v>
      </c>
      <c r="E126" s="33" t="inlineStr">
        <is>
          <t>Single tenant, actual $7.74/SF NNN</t>
        </is>
      </c>
      <c r="F126" s="34" t="inlineStr">
        <is>
          <t>584</t>
        </is>
      </c>
    </row>
    <row r="127">
      <c r="A127" s="33" t="inlineStr">
        <is>
          <t>2780 North Tower Road, LLC — FY2023</t>
        </is>
      </c>
      <c r="B127" s="43" t="inlineStr">
        <is>
          <t>Income</t>
        </is>
      </c>
      <c r="C127" s="43" t="inlineStr">
        <is>
          <t>TOTAL INCOME</t>
        </is>
      </c>
      <c r="D127" s="44">
        <f>SUM(D126:D126)</f>
        <v/>
      </c>
      <c r="E127" s="45" t="inlineStr">
        <is>
          <t>Printed total: $2,979,661.</t>
        </is>
      </c>
      <c r="F127" s="34" t="inlineStr">
        <is>
          <t>584</t>
        </is>
      </c>
    </row>
    <row r="128">
      <c r="A128" s="33" t="inlineStr">
        <is>
          <t>2780 North Tower Road, LLC — FY2023</t>
        </is>
      </c>
      <c r="B128" s="33" t="inlineStr">
        <is>
          <t>Expense</t>
        </is>
      </c>
      <c r="C128" s="33" t="inlineStr">
        <is>
          <t>60400 - Bank Service Charges</t>
        </is>
      </c>
      <c r="D128" s="40" t="n">
        <v>355</v>
      </c>
      <c r="E128" s="33" t="n"/>
      <c r="F128" s="34" t="inlineStr">
        <is>
          <t>584</t>
        </is>
      </c>
    </row>
    <row r="129">
      <c r="A129" s="33" t="inlineStr">
        <is>
          <t>2780 North Tower Road, LLC — FY2023</t>
        </is>
      </c>
      <c r="B129" s="33" t="inlineStr">
        <is>
          <t>Expense</t>
        </is>
      </c>
      <c r="C129" s="33" t="inlineStr">
        <is>
          <t>62500 - Dues and Subscriptions</t>
        </is>
      </c>
      <c r="D129" s="40" t="n">
        <v>800</v>
      </c>
      <c r="E129" s="33" t="n"/>
      <c r="F129" s="34" t="inlineStr">
        <is>
          <t>584</t>
        </is>
      </c>
    </row>
    <row r="130">
      <c r="A130" s="33" t="inlineStr">
        <is>
          <t>2780 North Tower Road, LLC — FY2023</t>
        </is>
      </c>
      <c r="B130" s="33" t="inlineStr">
        <is>
          <t>Expense</t>
        </is>
      </c>
      <c r="C130" s="33" t="inlineStr">
        <is>
          <t>64900 - Office Supplies</t>
        </is>
      </c>
      <c r="D130" s="40" t="n">
        <v>10</v>
      </c>
      <c r="E130" s="33" t="n"/>
      <c r="F130" s="34" t="inlineStr">
        <is>
          <t>584</t>
        </is>
      </c>
    </row>
    <row r="131">
      <c r="A131" s="33" t="inlineStr">
        <is>
          <t>2780 North Tower Road, LLC — FY2023</t>
        </is>
      </c>
      <c r="B131" s="33" t="inlineStr">
        <is>
          <t>Expense</t>
        </is>
      </c>
      <c r="C131" s="33" t="inlineStr">
        <is>
          <t>66700 - Professional Fees (Accounting+Svc Agmt)</t>
        </is>
      </c>
      <c r="D131" s="40" t="n">
        <v>20451</v>
      </c>
      <c r="E131" s="33" t="n"/>
      <c r="F131" s="34" t="inlineStr">
        <is>
          <t>584</t>
        </is>
      </c>
    </row>
    <row r="132">
      <c r="A132" s="33" t="inlineStr">
        <is>
          <t>2780 North Tower Road, LLC — FY2023</t>
        </is>
      </c>
      <c r="B132" s="33" t="inlineStr">
        <is>
          <t>Expense</t>
        </is>
      </c>
      <c r="C132" s="33" t="inlineStr">
        <is>
          <t>67200 - Repairs and Maintenance</t>
        </is>
      </c>
      <c r="D132" s="40" t="n">
        <v>0</v>
      </c>
      <c r="E132" s="33" t="n"/>
      <c r="F132" s="34" t="inlineStr">
        <is>
          <t>584</t>
        </is>
      </c>
    </row>
    <row r="133">
      <c r="A133" s="33" t="inlineStr">
        <is>
          <t>2780 North Tower Road, LLC — FY2023</t>
        </is>
      </c>
      <c r="B133" s="33" t="inlineStr">
        <is>
          <t>Expense</t>
        </is>
      </c>
      <c r="C133" s="33" t="inlineStr">
        <is>
          <t>68000 - Taxes - Property</t>
        </is>
      </c>
      <c r="D133" s="40" t="n">
        <v>0</v>
      </c>
      <c r="E133" s="33" t="n"/>
      <c r="F133" s="34" t="inlineStr">
        <is>
          <t>584</t>
        </is>
      </c>
    </row>
    <row r="134">
      <c r="A134" s="33" t="inlineStr">
        <is>
          <t>2780 North Tower Road, LLC — FY2023</t>
        </is>
      </c>
      <c r="B134" s="33" t="inlineStr">
        <is>
          <t>Expense</t>
        </is>
      </c>
      <c r="C134" s="33" t="inlineStr">
        <is>
          <t>68600 - Utilities</t>
        </is>
      </c>
      <c r="D134" s="40" t="n">
        <v>687</v>
      </c>
      <c r="E134" s="33" t="n"/>
      <c r="F134" s="34" t="inlineStr">
        <is>
          <t>584</t>
        </is>
      </c>
    </row>
    <row r="135">
      <c r="A135" s="33" t="inlineStr">
        <is>
          <t>2780 North Tower Road, LLC — FY2023</t>
        </is>
      </c>
      <c r="B135" s="33" t="inlineStr">
        <is>
          <t>Expense</t>
        </is>
      </c>
      <c r="C135" s="33" t="inlineStr">
        <is>
          <t>74410 - Outside Services</t>
        </is>
      </c>
      <c r="D135" s="40" t="n">
        <v>2206</v>
      </c>
      <c r="E135" s="33" t="n"/>
      <c r="F135" s="34" t="inlineStr">
        <is>
          <t>584</t>
        </is>
      </c>
    </row>
    <row r="136">
      <c r="A136" s="33" t="inlineStr">
        <is>
          <t>2780 North Tower Road, LLC — FY2023</t>
        </is>
      </c>
      <c r="B136" s="33" t="inlineStr">
        <is>
          <t>Expense</t>
        </is>
      </c>
      <c r="C136" s="33" t="inlineStr">
        <is>
          <t>75015 - Legal</t>
        </is>
      </c>
      <c r="D136" s="40" t="n">
        <v>4730</v>
      </c>
      <c r="E136" s="33" t="n"/>
      <c r="F136" s="34" t="inlineStr">
        <is>
          <t>584</t>
        </is>
      </c>
    </row>
    <row r="137">
      <c r="A137" s="33" t="inlineStr">
        <is>
          <t>2780 North Tower Road, LLC — FY2023</t>
        </is>
      </c>
      <c r="B137" s="33" t="inlineStr">
        <is>
          <t>Expense</t>
        </is>
      </c>
      <c r="C137" s="33" t="inlineStr">
        <is>
          <t>75020 - Consulting fees</t>
        </is>
      </c>
      <c r="D137" s="40" t="n">
        <v>0</v>
      </c>
      <c r="E137" s="33" t="n"/>
      <c r="F137" s="34" t="inlineStr">
        <is>
          <t>584</t>
        </is>
      </c>
    </row>
    <row r="138">
      <c r="A138" s="33" t="inlineStr">
        <is>
          <t>2780 North Tower Road, LLC — FY2023</t>
        </is>
      </c>
      <c r="B138" s="33" t="inlineStr">
        <is>
          <t>Expense</t>
        </is>
      </c>
      <c r="C138" s="33" t="inlineStr">
        <is>
          <t>77025 - Depreciation-Bldgs &amp; Improvement</t>
        </is>
      </c>
      <c r="D138" s="40" t="n">
        <v>456096</v>
      </c>
      <c r="E138" s="33" t="n"/>
      <c r="F138" s="34" t="inlineStr">
        <is>
          <t>584</t>
        </is>
      </c>
    </row>
    <row r="139">
      <c r="A139" s="33" t="inlineStr">
        <is>
          <t>2780 North Tower Road, LLC — FY2023</t>
        </is>
      </c>
      <c r="B139" s="33" t="inlineStr">
        <is>
          <t>Expense</t>
        </is>
      </c>
      <c r="C139" s="33" t="inlineStr">
        <is>
          <t>77026 - Amortization</t>
        </is>
      </c>
      <c r="D139" s="40" t="n">
        <v>12124</v>
      </c>
      <c r="E139" s="33" t="n"/>
      <c r="F139" s="34" t="inlineStr">
        <is>
          <t>584</t>
        </is>
      </c>
    </row>
    <row r="140">
      <c r="A140" s="33" t="inlineStr">
        <is>
          <t>2780 North Tower Road, LLC — FY2023</t>
        </is>
      </c>
      <c r="B140" s="43" t="inlineStr">
        <is>
          <t>Expense</t>
        </is>
      </c>
      <c r="C140" s="43" t="inlineStr">
        <is>
          <t>TOTAL EXPENSE</t>
        </is>
      </c>
      <c r="D140" s="44">
        <f>SUM(D128:D139)</f>
        <v/>
      </c>
      <c r="E140" s="45" t="inlineStr">
        <is>
          <t>Printed total: $497,459.</t>
        </is>
      </c>
      <c r="F140" s="34" t="inlineStr">
        <is>
          <t>584</t>
        </is>
      </c>
    </row>
    <row r="141">
      <c r="A141" s="33" t="inlineStr">
        <is>
          <t>2780 North Tower Road, LLC — FY2023</t>
        </is>
      </c>
      <c r="B141" s="33" t="inlineStr">
        <is>
          <t>Interest</t>
        </is>
      </c>
      <c r="C141" s="33" t="inlineStr">
        <is>
          <t>92000 Interest Expense - Notes (net of $18 other income)</t>
        </is>
      </c>
      <c r="D141" s="40" t="n">
        <v>641014</v>
      </c>
      <c r="E141" s="33" t="n"/>
      <c r="F141" s="34" t="inlineStr">
        <is>
          <t>584</t>
        </is>
      </c>
    </row>
    <row r="142">
      <c r="A142" s="33" t="inlineStr">
        <is>
          <t>2780 North Tower Road, LLC — FY2023</t>
        </is>
      </c>
      <c r="B142" s="43" t="inlineStr">
        <is>
          <t>Other Income/Expense</t>
        </is>
      </c>
      <c r="C142" s="43" t="inlineStr">
        <is>
          <t>TOTAL Interest &amp; Other Expense (net)</t>
        </is>
      </c>
      <c r="D142" s="44" t="n">
        <v>640996</v>
      </c>
      <c r="E142" s="45" t="n"/>
      <c r="F142" s="34" t="inlineStr">
        <is>
          <t>584</t>
        </is>
      </c>
    </row>
    <row r="143">
      <c r="A143" s="33" t="inlineStr">
        <is>
          <t>2780 North Tower Road, LLC — FY2023</t>
        </is>
      </c>
      <c r="B143" s="43" t="inlineStr">
        <is>
          <t>Net</t>
        </is>
      </c>
      <c r="C143" s="43" t="inlineStr">
        <is>
          <t>NET INCOME / (LOSS)</t>
        </is>
      </c>
      <c r="D143" s="44" t="n">
        <v>1841206</v>
      </c>
      <c r="E143" s="45" t="inlineStr">
        <is>
          <t>Net Income (printed): $1,841,206. Accrual basis P&amp;L; includes depreciation, amortization &amp; mortgage interest.</t>
        </is>
      </c>
      <c r="F143" s="34" t="inlineStr">
        <is>
          <t>584</t>
        </is>
      </c>
    </row>
    <row r="144">
      <c r="A144" s="33" t="inlineStr">
        <is>
          <t>TrusTile Doors (R0198564) — Oct'23-Sep'24 survey</t>
        </is>
      </c>
      <c r="B144" s="43" t="inlineStr">
        <is>
          <t>Income</t>
        </is>
      </c>
      <c r="C144" s="43" t="inlineStr">
        <is>
          <t>TOTAL INCOME</t>
        </is>
      </c>
      <c r="D144" s="44" t="n"/>
      <c r="E144" s="45" t="inlineStr">
        <is>
          <t>Owner-occupied; no income reported (form requires expenses only).</t>
        </is>
      </c>
      <c r="F144" s="34" t="inlineStr">
        <is>
          <t>584</t>
        </is>
      </c>
    </row>
    <row r="145">
      <c r="A145" s="33" t="inlineStr">
        <is>
          <t>TrusTile Doors (R0198564) — Oct'23-Sep'24 survey</t>
        </is>
      </c>
      <c r="B145" s="33" t="inlineStr">
        <is>
          <t>Expense</t>
        </is>
      </c>
      <c r="C145" s="33" t="inlineStr">
        <is>
          <t>Building Insurance</t>
        </is>
      </c>
      <c r="D145" s="40" t="n">
        <v>361160</v>
      </c>
      <c r="E145" s="33" t="n"/>
      <c r="F145" s="34" t="inlineStr">
        <is>
          <t>584</t>
        </is>
      </c>
    </row>
    <row r="146">
      <c r="A146" s="33" t="inlineStr">
        <is>
          <t>TrusTile Doors (R0198564) — Oct'23-Sep'24 survey</t>
        </is>
      </c>
      <c r="B146" s="33" t="inlineStr">
        <is>
          <t>Expense</t>
        </is>
      </c>
      <c r="C146" s="33" t="inlineStr">
        <is>
          <t>Building Repair &amp; Maintenance (incl. Ground Maint.)</t>
        </is>
      </c>
      <c r="D146" s="40" t="n">
        <v>796122</v>
      </c>
      <c r="E146" s="33" t="n"/>
      <c r="F146" s="34" t="inlineStr">
        <is>
          <t>584</t>
        </is>
      </c>
    </row>
    <row r="147">
      <c r="A147" s="33" t="inlineStr">
        <is>
          <t>TrusTile Doors (R0198564) — Oct'23-Sep'24 survey</t>
        </is>
      </c>
      <c r="B147" s="33" t="inlineStr">
        <is>
          <t>Expense</t>
        </is>
      </c>
      <c r="C147" s="33" t="inlineStr">
        <is>
          <t>Janitorial Services</t>
        </is>
      </c>
      <c r="D147" s="40" t="n">
        <v>150032</v>
      </c>
      <c r="E147" s="33" t="n"/>
      <c r="F147" s="34" t="inlineStr">
        <is>
          <t>584</t>
        </is>
      </c>
    </row>
    <row r="148">
      <c r="A148" s="33" t="inlineStr">
        <is>
          <t>TrusTile Doors (R0198564) — Oct'23-Sep'24 survey</t>
        </is>
      </c>
      <c r="B148" s="33" t="inlineStr">
        <is>
          <t>Expense</t>
        </is>
      </c>
      <c r="C148" s="33" t="inlineStr">
        <is>
          <t>Snow/Trash Removal</t>
        </is>
      </c>
      <c r="D148" s="40" t="n">
        <v>749196</v>
      </c>
      <c r="E148" s="33" t="n"/>
      <c r="F148" s="34" t="inlineStr">
        <is>
          <t>584</t>
        </is>
      </c>
    </row>
    <row r="149">
      <c r="A149" s="33" t="inlineStr">
        <is>
          <t>TrusTile Doors (R0198564) — Oct'23-Sep'24 survey</t>
        </is>
      </c>
      <c r="B149" s="33" t="inlineStr">
        <is>
          <t>Expense</t>
        </is>
      </c>
      <c r="C149" s="33" t="inlineStr">
        <is>
          <t>Utilities</t>
        </is>
      </c>
      <c r="D149" s="40" t="n">
        <v>1031487</v>
      </c>
      <c r="E149" s="33" t="n"/>
      <c r="F149" s="34" t="inlineStr">
        <is>
          <t>584</t>
        </is>
      </c>
    </row>
    <row r="150">
      <c r="A150" s="33" t="inlineStr">
        <is>
          <t>TrusTile Doors (R0198564) — Oct'23-Sep'24 survey</t>
        </is>
      </c>
      <c r="B150" s="43" t="inlineStr">
        <is>
          <t>Expense</t>
        </is>
      </c>
      <c r="C150" s="43" t="inlineStr">
        <is>
          <t>TOTAL EXPENSE</t>
        </is>
      </c>
      <c r="D150" s="44">
        <f>SUM(D145:D149)</f>
        <v/>
      </c>
      <c r="E150" s="45" t="inlineStr">
        <is>
          <t>Sum of reported items (owner did not report Advertising, Leasing Commissions, or Management fees — NA, no leasing).</t>
        </is>
      </c>
      <c r="F150" s="34" t="inlineStr">
        <is>
          <t>584</t>
        </is>
      </c>
    </row>
    <row r="151">
      <c r="A151" s="33" t="inlineStr">
        <is>
          <t>Broadway Logistics Center — FY2024</t>
        </is>
      </c>
      <c r="B151" s="43" t="inlineStr">
        <is>
          <t>Income</t>
        </is>
      </c>
      <c r="C151" s="43" t="inlineStr">
        <is>
          <t>TOTAL INCOME</t>
        </is>
      </c>
      <c r="D151" s="44" t="n">
        <v>0</v>
      </c>
      <c r="E151" s="45" t="inlineStr">
        <is>
          <t>Printed total: $0.00 (100% vacant all year, no revenue).</t>
        </is>
      </c>
      <c r="F151" s="34" t="inlineStr">
        <is>
          <t>584</t>
        </is>
      </c>
    </row>
    <row r="152">
      <c r="A152" s="33" t="inlineStr">
        <is>
          <t>Broadway Logistics Center — FY2024</t>
        </is>
      </c>
      <c r="B152" s="33" t="inlineStr">
        <is>
          <t>Expense</t>
        </is>
      </c>
      <c r="C152" s="33" t="inlineStr">
        <is>
          <t>Repair &amp; Maint: General Bldg/Weather Prep/Ext Window Clean</t>
        </is>
      </c>
      <c r="D152" s="40" t="n">
        <v>3639.29</v>
      </c>
      <c r="E152" s="33" t="n"/>
      <c r="F152" s="34" t="inlineStr">
        <is>
          <t>584</t>
        </is>
      </c>
    </row>
    <row r="153">
      <c r="A153" s="33" t="inlineStr">
        <is>
          <t>Broadway Logistics Center — FY2024</t>
        </is>
      </c>
      <c r="B153" s="33" t="inlineStr">
        <is>
          <t>Expense</t>
        </is>
      </c>
      <c r="C153" s="33" t="inlineStr">
        <is>
          <t>Contract Svcs: Fire Alarm/Sweeping/Janitorial</t>
        </is>
      </c>
      <c r="D153" s="40" t="n">
        <v>5744.23</v>
      </c>
      <c r="E153" s="33" t="n"/>
      <c r="F153" s="34" t="inlineStr">
        <is>
          <t>584</t>
        </is>
      </c>
    </row>
    <row r="154">
      <c r="A154" s="33" t="inlineStr">
        <is>
          <t>Broadway Logistics Center — FY2024</t>
        </is>
      </c>
      <c r="B154" s="33" t="inlineStr">
        <is>
          <t>Expense</t>
        </is>
      </c>
      <c r="C154" s="33" t="inlineStr">
        <is>
          <t>Utilities: Electricity/Gas/Water-Sewer</t>
        </is>
      </c>
      <c r="D154" s="40" t="n">
        <v>11084.46</v>
      </c>
      <c r="E154" s="33" t="n"/>
      <c r="F154" s="34" t="inlineStr">
        <is>
          <t>584</t>
        </is>
      </c>
    </row>
    <row r="155">
      <c r="A155" s="33" t="inlineStr">
        <is>
          <t>Broadway Logistics Center — FY2024</t>
        </is>
      </c>
      <c r="B155" s="33" t="inlineStr">
        <is>
          <t>Expense</t>
        </is>
      </c>
      <c r="C155" s="33" t="inlineStr">
        <is>
          <t>Management Fee - 3rd Party</t>
        </is>
      </c>
      <c r="D155" s="40" t="n">
        <v>12500</v>
      </c>
      <c r="E155" s="33" t="n"/>
      <c r="F155" s="34" t="inlineStr">
        <is>
          <t>584</t>
        </is>
      </c>
    </row>
    <row r="156">
      <c r="A156" s="33" t="inlineStr">
        <is>
          <t>Broadway Logistics Center — FY2024</t>
        </is>
      </c>
      <c r="B156" s="33" t="inlineStr">
        <is>
          <t>Expense</t>
        </is>
      </c>
      <c r="C156" s="33" t="inlineStr">
        <is>
          <t>General &amp; Admin: Payroll/Travel/Bank/Software</t>
        </is>
      </c>
      <c r="D156" s="40" t="n">
        <v>13013.26</v>
      </c>
      <c r="E156" s="33" t="n"/>
      <c r="F156" s="34" t="inlineStr">
        <is>
          <t>584</t>
        </is>
      </c>
    </row>
    <row r="157">
      <c r="A157" s="33" t="inlineStr">
        <is>
          <t>Broadway Logistics Center — FY2024</t>
        </is>
      </c>
      <c r="B157" s="33" t="inlineStr">
        <is>
          <t>Expense</t>
        </is>
      </c>
      <c r="C157" s="33" t="inlineStr">
        <is>
          <t>Taxes: Real Estate + Consulting</t>
        </is>
      </c>
      <c r="D157" s="40" t="n">
        <v>318641.99</v>
      </c>
      <c r="E157" s="33" t="n"/>
      <c r="F157" s="34" t="inlineStr">
        <is>
          <t>584</t>
        </is>
      </c>
    </row>
    <row r="158">
      <c r="A158" s="33" t="inlineStr">
        <is>
          <t>Broadway Logistics Center — FY2024</t>
        </is>
      </c>
      <c r="B158" s="33" t="inlineStr">
        <is>
          <t>Expense</t>
        </is>
      </c>
      <c r="C158" s="33" t="inlineStr">
        <is>
          <t>Insurance - Property</t>
        </is>
      </c>
      <c r="D158" s="40" t="n">
        <v>32411.18</v>
      </c>
      <c r="E158" s="33" t="n"/>
      <c r="F158" s="34" t="inlineStr">
        <is>
          <t>584</t>
        </is>
      </c>
    </row>
    <row r="159">
      <c r="A159" s="33" t="inlineStr">
        <is>
          <t>Broadway Logistics Center — FY2024</t>
        </is>
      </c>
      <c r="B159" s="33" t="inlineStr">
        <is>
          <t>Expense</t>
        </is>
      </c>
      <c r="C159" s="33" t="inlineStr">
        <is>
          <t>Non-Recoverable: Electricity Vacant</t>
        </is>
      </c>
      <c r="D159" s="40" t="n">
        <v>424.02</v>
      </c>
      <c r="E159" s="33" t="n"/>
      <c r="F159" s="34" t="inlineStr">
        <is>
          <t>584</t>
        </is>
      </c>
    </row>
    <row r="160">
      <c r="A160" s="33" t="inlineStr">
        <is>
          <t>Broadway Logistics Center — FY2024</t>
        </is>
      </c>
      <c r="B160" s="33" t="inlineStr">
        <is>
          <t>Expense</t>
        </is>
      </c>
      <c r="C160" s="33" t="inlineStr">
        <is>
          <t>Non-Recoverable: Advertising/Marketing</t>
        </is>
      </c>
      <c r="D160" s="40" t="n">
        <v>11278.58</v>
      </c>
      <c r="E160" s="33" t="n"/>
      <c r="F160" s="34" t="inlineStr">
        <is>
          <t>584</t>
        </is>
      </c>
    </row>
    <row r="161">
      <c r="A161" s="33" t="inlineStr">
        <is>
          <t>Broadway Logistics Center — FY2024</t>
        </is>
      </c>
      <c r="B161" s="33" t="inlineStr">
        <is>
          <t>Expense</t>
        </is>
      </c>
      <c r="C161" s="33" t="inlineStr">
        <is>
          <t>Non-Recoverable: Office/Admin (Bank Fees+Travel)</t>
        </is>
      </c>
      <c r="D161" s="40" t="n">
        <v>2522.08</v>
      </c>
      <c r="E161" s="33" t="n"/>
      <c r="F161" s="34" t="inlineStr">
        <is>
          <t>584</t>
        </is>
      </c>
    </row>
    <row r="162">
      <c r="A162" s="33" t="inlineStr">
        <is>
          <t>Broadway Logistics Center — FY2024</t>
        </is>
      </c>
      <c r="B162" s="43" t="inlineStr">
        <is>
          <t>Expense</t>
        </is>
      </c>
      <c r="C162" s="43" t="inlineStr">
        <is>
          <t>TOTAL EXPENSE</t>
        </is>
      </c>
      <c r="D162" s="44">
        <f>SUM(D152:D161)</f>
        <v/>
      </c>
      <c r="E162" s="45" t="inlineStr">
        <is>
          <t>Printed total: $411,259.09 (Recoverable $397,034.41 + Non-Recoverable $14,224.68).</t>
        </is>
      </c>
      <c r="F162" s="34" t="inlineStr">
        <is>
          <t>584</t>
        </is>
      </c>
    </row>
    <row r="163">
      <c r="A163" s="33" t="inlineStr">
        <is>
          <t>Broadway Logistics Center — FY2024</t>
        </is>
      </c>
      <c r="B163" s="43" t="inlineStr">
        <is>
          <t>Net</t>
        </is>
      </c>
      <c r="C163" s="43" t="inlineStr">
        <is>
          <t>NET INCOME / (LOSS)</t>
        </is>
      </c>
      <c r="D163" s="44" t="n">
        <v>-411259.09</v>
      </c>
      <c r="E163" s="45" t="inlineStr">
        <is>
          <t>Net Operating Income (printed): $(411,259.09). Property 100% vacant all year (2 units, 201,329 SF).</t>
        </is>
      </c>
      <c r="F163" s="34" t="inlineStr">
        <is>
          <t>584</t>
        </is>
      </c>
    </row>
    <row r="164">
      <c r="A164" s="33" t="inlineStr">
        <is>
          <t>Majestic Commercenter Bldg 15 — FY2024</t>
        </is>
      </c>
      <c r="B164" s="43" t="inlineStr">
        <is>
          <t>Income</t>
        </is>
      </c>
      <c r="C164" s="43" t="inlineStr">
        <is>
          <t>TOTAL INCOME</t>
        </is>
      </c>
      <c r="D164" s="44" t="n">
        <v>6394065.27</v>
      </c>
      <c r="E164" s="45" t="inlineStr">
        <is>
          <t>Printed total (see source; per-account detail not transcribed).</t>
        </is>
      </c>
      <c r="F164" s="34" t="inlineStr">
        <is>
          <t>584</t>
        </is>
      </c>
    </row>
    <row r="165">
      <c r="A165" s="33" t="inlineStr">
        <is>
          <t>Majestic Commercenter Bldg 15 — FY2024</t>
        </is>
      </c>
      <c r="B165" s="43" t="inlineStr">
        <is>
          <t>Expense</t>
        </is>
      </c>
      <c r="C165" s="43" t="inlineStr">
        <is>
          <t>TOTAL OPERATING EXPENSE</t>
        </is>
      </c>
      <c r="D165" s="44" t="n">
        <v>2252980.35</v>
      </c>
      <c r="E165" s="45" t="inlineStr">
        <is>
          <t>Revenue itemized (7 accounts, incl. $1.94M RE tax reimbursement matching RE tax expense - full NNN passthrough); operating-expense per-account detail not transcribed here (23 GL accounts) — see source PDF. Includes mortgage interest &amp; depreciation/amortization.</t>
        </is>
      </c>
      <c r="F165" s="34" t="inlineStr">
        <is>
          <t>584</t>
        </is>
      </c>
    </row>
    <row r="166">
      <c r="A166" s="33" t="inlineStr">
        <is>
          <t>Majestic Commercenter Bldg 15 — FY2024</t>
        </is>
      </c>
      <c r="B166" s="33" t="inlineStr">
        <is>
          <t>Interest</t>
        </is>
      </c>
      <c r="C166" s="33" t="inlineStr">
        <is>
          <t>Total Interest Expense</t>
        </is>
      </c>
      <c r="D166" s="40" t="n">
        <v>1155312.33</v>
      </c>
      <c r="E166" s="33" t="n"/>
      <c r="F166" s="34" t="inlineStr">
        <is>
          <t>584</t>
        </is>
      </c>
    </row>
    <row r="167">
      <c r="A167" s="33" t="inlineStr">
        <is>
          <t>Majestic Commercenter Bldg 15 — FY2024</t>
        </is>
      </c>
      <c r="B167" s="33" t="inlineStr">
        <is>
          <t>Other Income/Expense</t>
        </is>
      </c>
      <c r="C167" s="33" t="inlineStr">
        <is>
          <t>Total Other (Income)/Expense (incl. Depr/Amort)</t>
        </is>
      </c>
      <c r="D167" s="40" t="n">
        <v>1047279.52</v>
      </c>
      <c r="E167" s="33" t="n"/>
      <c r="F167" s="34" t="inlineStr">
        <is>
          <t>584</t>
        </is>
      </c>
    </row>
    <row r="168">
      <c r="A168" s="33" t="inlineStr">
        <is>
          <t>Majestic Commercenter Bldg 15 — FY2024</t>
        </is>
      </c>
      <c r="B168" s="43" t="inlineStr">
        <is>
          <t>Net</t>
        </is>
      </c>
      <c r="C168" s="43" t="inlineStr">
        <is>
          <t>NET INCOME / (LOSS)</t>
        </is>
      </c>
      <c r="D168" s="44" t="n">
        <v>1938493.07</v>
      </c>
      <c r="E168" s="45" t="inlineStr">
        <is>
          <t>Printed total.</t>
        </is>
      </c>
      <c r="F168" s="34" t="inlineStr">
        <is>
          <t>584</t>
        </is>
      </c>
    </row>
    <row r="169">
      <c r="A169" s="33" t="inlineStr">
        <is>
          <t>Majestic Commercenter Bldg 15 — FY2023</t>
        </is>
      </c>
      <c r="B169" s="43" t="inlineStr">
        <is>
          <t>Income</t>
        </is>
      </c>
      <c r="C169" s="43" t="inlineStr">
        <is>
          <t>TOTAL INCOME</t>
        </is>
      </c>
      <c r="D169" s="44" t="n">
        <v>6886428.4</v>
      </c>
      <c r="E169" s="45" t="inlineStr">
        <is>
          <t>Printed total (see source; per-account detail not transcribed).</t>
        </is>
      </c>
      <c r="F169" s="34" t="inlineStr">
        <is>
          <t>584</t>
        </is>
      </c>
    </row>
    <row r="170">
      <c r="A170" s="33" t="inlineStr">
        <is>
          <t>Majestic Commercenter Bldg 15 — FY2023</t>
        </is>
      </c>
      <c r="B170" s="43" t="inlineStr">
        <is>
          <t>Expense</t>
        </is>
      </c>
      <c r="C170" s="43" t="inlineStr">
        <is>
          <t>TOTAL OPERATING EXPENSE</t>
        </is>
      </c>
      <c r="D170" s="44" t="n">
        <v>2770056.15</v>
      </c>
      <c r="E170" s="45" t="inlineStr">
        <is>
          <t>Summary totals only; per-account detail not transcribed for this year. Includes mortgage interest &amp; depreciation/amortization.</t>
        </is>
      </c>
      <c r="F170" s="34" t="inlineStr">
        <is>
          <t>584</t>
        </is>
      </c>
    </row>
    <row r="171">
      <c r="A171" s="33" t="inlineStr">
        <is>
          <t>Majestic Commercenter Bldg 15 — FY2023</t>
        </is>
      </c>
      <c r="B171" s="33" t="inlineStr">
        <is>
          <t>Interest</t>
        </is>
      </c>
      <c r="C171" s="33" t="inlineStr">
        <is>
          <t>Total Interest Expense</t>
        </is>
      </c>
      <c r="D171" s="40" t="n">
        <v>1194478.02</v>
      </c>
      <c r="E171" s="33" t="n"/>
      <c r="F171" s="34" t="inlineStr">
        <is>
          <t>584</t>
        </is>
      </c>
    </row>
    <row r="172">
      <c r="A172" s="33" t="inlineStr">
        <is>
          <t>Majestic Commercenter Bldg 15 — FY2023</t>
        </is>
      </c>
      <c r="B172" s="33" t="inlineStr">
        <is>
          <t>Other Income/Expense</t>
        </is>
      </c>
      <c r="C172" s="33" t="inlineStr">
        <is>
          <t>Total Other (Income)/Expense (incl. Depr/Amort)</t>
        </is>
      </c>
      <c r="D172" s="40" t="n">
        <v>1231423.96</v>
      </c>
      <c r="E172" s="33" t="n"/>
      <c r="F172" s="34" t="inlineStr">
        <is>
          <t>584</t>
        </is>
      </c>
    </row>
    <row r="173">
      <c r="A173" s="33" t="inlineStr">
        <is>
          <t>Majestic Commercenter Bldg 15 — FY2023</t>
        </is>
      </c>
      <c r="B173" s="43" t="inlineStr">
        <is>
          <t>Net</t>
        </is>
      </c>
      <c r="C173" s="43" t="inlineStr">
        <is>
          <t>NET INCOME / (LOSS)</t>
        </is>
      </c>
      <c r="D173" s="44" t="n">
        <v>1690470.27</v>
      </c>
      <c r="E173" s="45" t="inlineStr">
        <is>
          <t>Printed total.</t>
        </is>
      </c>
      <c r="F173" s="34" t="inlineStr">
        <is>
          <t>584</t>
        </is>
      </c>
    </row>
    <row r="174">
      <c r="A174" s="33" t="inlineStr">
        <is>
          <t>Majestic Commercenter Bldg 29 — FY2024</t>
        </is>
      </c>
      <c r="B174" s="43" t="inlineStr">
        <is>
          <t>Income</t>
        </is>
      </c>
      <c r="C174" s="43" t="inlineStr">
        <is>
          <t>TOTAL INCOME</t>
        </is>
      </c>
      <c r="D174" s="44" t="n">
        <v>5057545.44</v>
      </c>
      <c r="E174" s="45" t="inlineStr">
        <is>
          <t>Printed total (see source; per-account detail not transcribed).</t>
        </is>
      </c>
      <c r="F174" s="34" t="inlineStr">
        <is>
          <t>584</t>
        </is>
      </c>
    </row>
    <row r="175">
      <c r="A175" s="33" t="inlineStr">
        <is>
          <t>Majestic Commercenter Bldg 29 — FY2024</t>
        </is>
      </c>
      <c r="B175" s="43" t="inlineStr">
        <is>
          <t>Expense</t>
        </is>
      </c>
      <c r="C175" s="43" t="inlineStr">
        <is>
          <t>TOTAL OPERATING EXPENSE</t>
        </is>
      </c>
      <c r="D175" s="44" t="n">
        <v>1735622.01</v>
      </c>
      <c r="E175" s="45" t="inlineStr">
        <is>
          <t>Revenue itemized (10 accounts, incl. $1.24M RE tax reimb. + $1.1M Tenant TI Reimb Income); operating-expense per-account detail not transcribed — see source PDF. Includes mortgage interest &amp; depreciation/amortization.</t>
        </is>
      </c>
      <c r="F175" s="34" t="inlineStr">
        <is>
          <t>584</t>
        </is>
      </c>
    </row>
    <row r="176">
      <c r="A176" s="33" t="inlineStr">
        <is>
          <t>Majestic Commercenter Bldg 29 — FY2024</t>
        </is>
      </c>
      <c r="B176" s="33" t="inlineStr">
        <is>
          <t>Interest</t>
        </is>
      </c>
      <c r="C176" s="33" t="inlineStr">
        <is>
          <t>Total Interest Expense</t>
        </is>
      </c>
      <c r="D176" s="40" t="n">
        <v>745482.47</v>
      </c>
      <c r="E176" s="33" t="n"/>
      <c r="F176" s="34" t="inlineStr">
        <is>
          <t>584</t>
        </is>
      </c>
    </row>
    <row r="177">
      <c r="A177" s="33" t="inlineStr">
        <is>
          <t>Majestic Commercenter Bldg 29 — FY2024</t>
        </is>
      </c>
      <c r="B177" s="33" t="inlineStr">
        <is>
          <t>Other Income/Expense</t>
        </is>
      </c>
      <c r="C177" s="33" t="inlineStr">
        <is>
          <t>Total Other (Income)/Expense (incl. Depr/Amort)</t>
        </is>
      </c>
      <c r="D177" s="40" t="n">
        <v>1919699.32</v>
      </c>
      <c r="E177" s="33" t="n"/>
      <c r="F177" s="34" t="inlineStr">
        <is>
          <t>584</t>
        </is>
      </c>
    </row>
    <row r="178">
      <c r="A178" s="33" t="inlineStr">
        <is>
          <t>Majestic Commercenter Bldg 29 — FY2024</t>
        </is>
      </c>
      <c r="B178" s="43" t="inlineStr">
        <is>
          <t>Net</t>
        </is>
      </c>
      <c r="C178" s="43" t="inlineStr">
        <is>
          <t>NET INCOME / (LOSS)</t>
        </is>
      </c>
      <c r="D178" s="44" t="n">
        <v>656741.64</v>
      </c>
      <c r="E178" s="45" t="inlineStr">
        <is>
          <t>Printed total.</t>
        </is>
      </c>
      <c r="F178" s="34" t="inlineStr">
        <is>
          <t>584</t>
        </is>
      </c>
    </row>
    <row r="179">
      <c r="A179" s="33" t="inlineStr">
        <is>
          <t>Majestic Commercenter Bldg 29 — FY2023</t>
        </is>
      </c>
      <c r="B179" s="43" t="inlineStr">
        <is>
          <t>Income</t>
        </is>
      </c>
      <c r="C179" s="43" t="inlineStr">
        <is>
          <t>TOTAL INCOME</t>
        </is>
      </c>
      <c r="D179" s="44" t="n">
        <v>5318565.93</v>
      </c>
      <c r="E179" s="45" t="inlineStr">
        <is>
          <t>Printed total (see source; per-account detail not transcribed).</t>
        </is>
      </c>
      <c r="F179" s="34" t="inlineStr">
        <is>
          <t>584</t>
        </is>
      </c>
    </row>
    <row r="180">
      <c r="A180" s="33" t="inlineStr">
        <is>
          <t>Majestic Commercenter Bldg 29 — FY2023</t>
        </is>
      </c>
      <c r="B180" s="43" t="inlineStr">
        <is>
          <t>Expense</t>
        </is>
      </c>
      <c r="C180" s="43" t="inlineStr">
        <is>
          <t>TOTAL OPERATING EXPENSE</t>
        </is>
      </c>
      <c r="D180" s="44" t="n">
        <v>2007665.41</v>
      </c>
      <c r="E180" s="45" t="inlineStr">
        <is>
          <t>Summary totals only; per-account detail not transcribed for this year. Includes mortgage interest &amp; depreciation/amortization.</t>
        </is>
      </c>
      <c r="F180" s="34" t="inlineStr">
        <is>
          <t>584</t>
        </is>
      </c>
    </row>
    <row r="181">
      <c r="A181" s="33" t="inlineStr">
        <is>
          <t>Majestic Commercenter Bldg 29 — FY2023</t>
        </is>
      </c>
      <c r="B181" s="33" t="inlineStr">
        <is>
          <t>Interest</t>
        </is>
      </c>
      <c r="C181" s="33" t="inlineStr">
        <is>
          <t>Total Interest Expense</t>
        </is>
      </c>
      <c r="D181" s="40" t="n">
        <v>776042.9</v>
      </c>
      <c r="E181" s="33" t="n"/>
      <c r="F181" s="34" t="inlineStr">
        <is>
          <t>584</t>
        </is>
      </c>
    </row>
    <row r="182">
      <c r="A182" s="33" t="inlineStr">
        <is>
          <t>Majestic Commercenter Bldg 29 — FY2023</t>
        </is>
      </c>
      <c r="B182" s="33" t="inlineStr">
        <is>
          <t>Other Income/Expense</t>
        </is>
      </c>
      <c r="C182" s="33" t="inlineStr">
        <is>
          <t>Total Other (Income)/Expense (incl. Depr/Amort)</t>
        </is>
      </c>
      <c r="D182" s="40" t="n">
        <v>1939714.87</v>
      </c>
      <c r="E182" s="33" t="n"/>
      <c r="F182" s="34" t="inlineStr">
        <is>
          <t>584</t>
        </is>
      </c>
    </row>
    <row r="183">
      <c r="A183" s="33" t="inlineStr">
        <is>
          <t>Majestic Commercenter Bldg 29 — FY2023</t>
        </is>
      </c>
      <c r="B183" s="43" t="inlineStr">
        <is>
          <t>Net</t>
        </is>
      </c>
      <c r="C183" s="43" t="inlineStr">
        <is>
          <t>NET INCOME / (LOSS)</t>
        </is>
      </c>
      <c r="D183" s="44" t="n">
        <v>595142.75</v>
      </c>
      <c r="E183" s="45" t="inlineStr">
        <is>
          <t>Printed total.</t>
        </is>
      </c>
      <c r="F183" s="34" t="inlineStr">
        <is>
          <t>584</t>
        </is>
      </c>
    </row>
    <row r="184">
      <c r="A184" s="33" t="inlineStr">
        <is>
          <t>Majestic Commercenter Bldg 26 — FY2024</t>
        </is>
      </c>
      <c r="B184" s="43" t="inlineStr">
        <is>
          <t>Income</t>
        </is>
      </c>
      <c r="C184" s="43" t="inlineStr">
        <is>
          <t>TOTAL INCOME</t>
        </is>
      </c>
      <c r="D184" s="44" t="n">
        <v>1780473.56</v>
      </c>
      <c r="E184" s="45" t="inlineStr">
        <is>
          <t>Printed total (see source; per-account detail not transcribed).</t>
        </is>
      </c>
      <c r="F184" s="34" t="inlineStr">
        <is>
          <t>584</t>
        </is>
      </c>
    </row>
    <row r="185">
      <c r="A185" s="33" t="inlineStr">
        <is>
          <t>Majestic Commercenter Bldg 26 — FY2024</t>
        </is>
      </c>
      <c r="B185" s="43" t="inlineStr">
        <is>
          <t>Expense</t>
        </is>
      </c>
      <c r="C185" s="43" t="inlineStr">
        <is>
          <t>TOTAL OPERATING EXPENSE</t>
        </is>
      </c>
      <c r="D185" s="44" t="n">
        <v>722934.98</v>
      </c>
      <c r="E185" s="45" t="inlineStr">
        <is>
          <t>Summary totals (single-tenant building); GL revenue not itemized by tenant name. Includes mortgage interest &amp; depreciation/amortization.</t>
        </is>
      </c>
      <c r="F185" s="34" t="inlineStr">
        <is>
          <t>584</t>
        </is>
      </c>
    </row>
    <row r="186">
      <c r="A186" s="33" t="inlineStr">
        <is>
          <t>Majestic Commercenter Bldg 26 — FY2024</t>
        </is>
      </c>
      <c r="B186" s="33" t="inlineStr">
        <is>
          <t>Interest</t>
        </is>
      </c>
      <c r="C186" s="33" t="inlineStr">
        <is>
          <t>Total Interest Expense</t>
        </is>
      </c>
      <c r="D186" s="40" t="n">
        <v>406575.93</v>
      </c>
      <c r="E186" s="33" t="n"/>
      <c r="F186" s="34" t="inlineStr">
        <is>
          <t>584</t>
        </is>
      </c>
    </row>
    <row r="187">
      <c r="A187" s="33" t="inlineStr">
        <is>
          <t>Majestic Commercenter Bldg 26 — FY2024</t>
        </is>
      </c>
      <c r="B187" s="33" t="inlineStr">
        <is>
          <t>Other Income/Expense</t>
        </is>
      </c>
      <c r="C187" s="33" t="inlineStr">
        <is>
          <t>Total Other (Income)/Expense (incl. Depr/Amort)</t>
        </is>
      </c>
      <c r="D187" s="40" t="n">
        <v>424973.74</v>
      </c>
      <c r="E187" s="33" t="n"/>
      <c r="F187" s="34" t="inlineStr">
        <is>
          <t>584</t>
        </is>
      </c>
    </row>
    <row r="188">
      <c r="A188" s="33" t="inlineStr">
        <is>
          <t>Majestic Commercenter Bldg 26 — FY2024</t>
        </is>
      </c>
      <c r="B188" s="43" t="inlineStr">
        <is>
          <t>Net</t>
        </is>
      </c>
      <c r="C188" s="43" t="inlineStr">
        <is>
          <t>NET INCOME / (LOSS)</t>
        </is>
      </c>
      <c r="D188" s="44" t="n">
        <v>225988.91</v>
      </c>
      <c r="E188" s="45" t="inlineStr">
        <is>
          <t>Printed total.</t>
        </is>
      </c>
      <c r="F188" s="34" t="inlineStr">
        <is>
          <t>584</t>
        </is>
      </c>
    </row>
    <row r="189">
      <c r="A189" s="33" t="inlineStr">
        <is>
          <t>Majestic Commercenter Bldg 26 — FY2023</t>
        </is>
      </c>
      <c r="B189" s="43" t="inlineStr">
        <is>
          <t>Income</t>
        </is>
      </c>
      <c r="C189" s="43" t="inlineStr">
        <is>
          <t>TOTAL INCOME</t>
        </is>
      </c>
      <c r="D189" s="44" t="n">
        <v>1868293.25</v>
      </c>
      <c r="E189" s="45" t="inlineStr">
        <is>
          <t>Printed total (see source; per-account detail not transcribed).</t>
        </is>
      </c>
      <c r="F189" s="34" t="inlineStr">
        <is>
          <t>584</t>
        </is>
      </c>
    </row>
    <row r="190">
      <c r="A190" s="33" t="inlineStr">
        <is>
          <t>Majestic Commercenter Bldg 26 — FY2023</t>
        </is>
      </c>
      <c r="B190" s="43" t="inlineStr">
        <is>
          <t>Expense</t>
        </is>
      </c>
      <c r="C190" s="43" t="inlineStr">
        <is>
          <t>TOTAL OPERATING EXPENSE</t>
        </is>
      </c>
      <c r="D190" s="44" t="n">
        <v>874497.0600000001</v>
      </c>
      <c r="E190" s="45" t="inlineStr">
        <is>
          <t>Summary totals only. Includes mortgage interest &amp; depreciation/amortization.</t>
        </is>
      </c>
      <c r="F190" s="34" t="inlineStr">
        <is>
          <t>584</t>
        </is>
      </c>
    </row>
    <row r="191">
      <c r="A191" s="33" t="inlineStr">
        <is>
          <t>Majestic Commercenter Bldg 26 — FY2023</t>
        </is>
      </c>
      <c r="B191" s="33" t="inlineStr">
        <is>
          <t>Interest</t>
        </is>
      </c>
      <c r="C191" s="33" t="inlineStr">
        <is>
          <t>Total Interest Expense</t>
        </is>
      </c>
      <c r="D191" s="40" t="n">
        <v>419334.01</v>
      </c>
      <c r="E191" s="33" t="n"/>
      <c r="F191" s="34" t="inlineStr">
        <is>
          <t>584</t>
        </is>
      </c>
    </row>
    <row r="192">
      <c r="A192" s="33" t="inlineStr">
        <is>
          <t>Majestic Commercenter Bldg 26 — FY2023</t>
        </is>
      </c>
      <c r="B192" s="33" t="inlineStr">
        <is>
          <t>Other Income/Expense</t>
        </is>
      </c>
      <c r="C192" s="33" t="inlineStr">
        <is>
          <t>Total Other (Income)/Expense (incl. Depr/Amort)</t>
        </is>
      </c>
      <c r="D192" s="40" t="n">
        <v>496946.56</v>
      </c>
      <c r="E192" s="33" t="n"/>
      <c r="F192" s="34" t="inlineStr">
        <is>
          <t>584</t>
        </is>
      </c>
    </row>
    <row r="193">
      <c r="A193" s="33" t="inlineStr">
        <is>
          <t>Majestic Commercenter Bldg 26 — FY2023</t>
        </is>
      </c>
      <c r="B193" s="43" t="inlineStr">
        <is>
          <t>Net</t>
        </is>
      </c>
      <c r="C193" s="43" t="inlineStr">
        <is>
          <t>NET INCOME / (LOSS)</t>
        </is>
      </c>
      <c r="D193" s="44" t="n">
        <v>77515.62</v>
      </c>
      <c r="E193" s="45" t="inlineStr">
        <is>
          <t>Printed total.</t>
        </is>
      </c>
      <c r="F193" s="34" t="inlineStr">
        <is>
          <t>584</t>
        </is>
      </c>
    </row>
    <row r="194">
      <c r="A194" s="33" t="inlineStr">
        <is>
          <t>22100 E 26th Ave (ASB) — FY2024</t>
        </is>
      </c>
      <c r="B194" s="43" t="inlineStr">
        <is>
          <t>Income</t>
        </is>
      </c>
      <c r="C194" s="43" t="inlineStr">
        <is>
          <t>TOTAL INCOME</t>
        </is>
      </c>
      <c r="D194" s="44" t="n">
        <v>761790.88</v>
      </c>
      <c r="E194" s="45" t="inlineStr">
        <is>
          <t>Printed total (see source; per-account detail not transcribed).</t>
        </is>
      </c>
      <c r="F194" s="34" t="inlineStr">
        <is>
          <t>584</t>
        </is>
      </c>
    </row>
    <row r="195">
      <c r="A195" s="33" t="inlineStr">
        <is>
          <t>22100 E 26th Ave (ASB) — FY2024</t>
        </is>
      </c>
      <c r="B195" s="43" t="inlineStr">
        <is>
          <t>Expense</t>
        </is>
      </c>
      <c r="C195" s="43" t="inlineStr">
        <is>
          <t>TOTAL OPERATING EXPENSE</t>
        </is>
      </c>
      <c r="D195" s="44" t="n">
        <v>1725293.03</v>
      </c>
      <c r="E195" s="45" t="inlineStr">
        <is>
          <t>Monthly-detail OCR was unreliable (symbol-font/garbled cells); category subtotals used (Recoverable Exp $1,705,067.11 + Non-Recoverable $215,887.56). Net Income includes ~$490,735 of net leasing capex/TI/commissions on top of operations (building only 28% occupied at DOV).</t>
        </is>
      </c>
      <c r="F195" s="34" t="inlineStr">
        <is>
          <t>584</t>
        </is>
      </c>
    </row>
    <row r="196">
      <c r="A196" s="33" t="inlineStr">
        <is>
          <t>22100 E 26th Ave (ASB) — FY2024</t>
        </is>
      </c>
      <c r="B196" s="43" t="inlineStr">
        <is>
          <t>Net</t>
        </is>
      </c>
      <c r="C196" s="43" t="inlineStr">
        <is>
          <t>NET INCOME / (LOSS)</t>
        </is>
      </c>
      <c r="D196" s="44" t="n">
        <v>-2919258.61</v>
      </c>
      <c r="E196" s="45" t="inlineStr">
        <is>
          <t>Printed total.</t>
        </is>
      </c>
      <c r="F196" s="34" t="inlineStr">
        <is>
          <t>584</t>
        </is>
      </c>
    </row>
    <row r="197">
      <c r="A197" s="33" t="inlineStr">
        <is>
          <t>22100 E 26th Ave (ASB) — FY2023</t>
        </is>
      </c>
      <c r="B197" s="43" t="inlineStr">
        <is>
          <t>Income</t>
        </is>
      </c>
      <c r="C197" s="43" t="inlineStr">
        <is>
          <t>TOTAL INCOME</t>
        </is>
      </c>
      <c r="D197" s="44" t="n">
        <v>62585.76</v>
      </c>
      <c r="E197" s="45" t="inlineStr">
        <is>
          <t>Printed total (see source; per-account detail not transcribed).</t>
        </is>
      </c>
      <c r="F197" s="34" t="inlineStr">
        <is>
          <t>584</t>
        </is>
      </c>
    </row>
    <row r="198">
      <c r="A198" s="33" t="inlineStr">
        <is>
          <t>22100 E 26th Ave (ASB) — FY2023</t>
        </is>
      </c>
      <c r="B198" s="43" t="inlineStr">
        <is>
          <t>Expense</t>
        </is>
      </c>
      <c r="C198" s="43" t="inlineStr">
        <is>
          <t>TOTAL OPERATING EXPENSE</t>
        </is>
      </c>
      <c r="D198" s="44" t="n">
        <v>2131090.35</v>
      </c>
      <c r="E198" s="45" t="inlineStr">
        <is>
          <t>Category subtotals used (Recoverable Exp $2,130,623.68 + Non-Recoverable $466.67). Net Income includes ~$2.65M of leasing capex/TI/commissions (building largely vacant, pre-Vederra lease).</t>
        </is>
      </c>
      <c r="F198" s="34" t="inlineStr">
        <is>
          <t>584</t>
        </is>
      </c>
    </row>
    <row r="199">
      <c r="A199" s="33" t="inlineStr">
        <is>
          <t>22100 E 26th Ave (ASB) — FY2023</t>
        </is>
      </c>
      <c r="B199" s="43" t="inlineStr">
        <is>
          <t>Net</t>
        </is>
      </c>
      <c r="C199" s="43" t="inlineStr">
        <is>
          <t>NET INCOME / (LOSS)</t>
        </is>
      </c>
      <c r="D199" s="44" t="n">
        <v>-4719167.51</v>
      </c>
      <c r="E199" s="45" t="inlineStr">
        <is>
          <t>Printed total.</t>
        </is>
      </c>
      <c r="F199" s="34" t="inlineStr">
        <is>
          <t>584</t>
        </is>
      </c>
    </row>
    <row r="200">
      <c r="A200" s="33" t="inlineStr">
        <is>
          <t>Majestic Commercenter Bldg 24 — FY2024</t>
        </is>
      </c>
      <c r="B200" s="43" t="inlineStr">
        <is>
          <t>Income</t>
        </is>
      </c>
      <c r="C200" s="43" t="inlineStr">
        <is>
          <t>TOTAL INCOME</t>
        </is>
      </c>
      <c r="D200" s="44" t="n">
        <v>2567319.8</v>
      </c>
      <c r="E200" s="45" t="inlineStr">
        <is>
          <t>Printed total (see source; per-account detail not transcribed).</t>
        </is>
      </c>
      <c r="F200" s="34" t="inlineStr">
        <is>
          <t>584</t>
        </is>
      </c>
    </row>
    <row r="201">
      <c r="A201" s="33" t="inlineStr">
        <is>
          <t>Majestic Commercenter Bldg 24 — FY2024</t>
        </is>
      </c>
      <c r="B201" s="43" t="inlineStr">
        <is>
          <t>Expense</t>
        </is>
      </c>
      <c r="C201" s="43" t="inlineStr">
        <is>
          <t>TOTAL OPERATING EXPENSE</t>
        </is>
      </c>
      <c r="D201" s="44" t="n">
        <v>908870.85</v>
      </c>
      <c r="E201" s="45" t="inlineStr">
        <is>
          <t>Summary totals only; multi-tenant, GL not itemized by tenant. Includes mortgage interest &amp; depreciation/amortization.</t>
        </is>
      </c>
      <c r="F201" s="34" t="inlineStr">
        <is>
          <t>584</t>
        </is>
      </c>
    </row>
    <row r="202">
      <c r="A202" s="33" t="inlineStr">
        <is>
          <t>Majestic Commercenter Bldg 24 — FY2024</t>
        </is>
      </c>
      <c r="B202" s="33" t="inlineStr">
        <is>
          <t>Interest</t>
        </is>
      </c>
      <c r="C202" s="33" t="inlineStr">
        <is>
          <t>Total Interest Expense</t>
        </is>
      </c>
      <c r="D202" s="40" t="n">
        <v>394862.68</v>
      </c>
      <c r="E202" s="33" t="n"/>
      <c r="F202" s="34" t="inlineStr">
        <is>
          <t>584</t>
        </is>
      </c>
    </row>
    <row r="203">
      <c r="A203" s="33" t="inlineStr">
        <is>
          <t>Majestic Commercenter Bldg 24 — FY2024</t>
        </is>
      </c>
      <c r="B203" s="33" t="inlineStr">
        <is>
          <t>Other Income/Expense</t>
        </is>
      </c>
      <c r="C203" s="33" t="inlineStr">
        <is>
          <t>Total Other (Income)/Expense (incl. Depr/Amort)</t>
        </is>
      </c>
      <c r="D203" s="40" t="n">
        <v>748154.67</v>
      </c>
      <c r="E203" s="33" t="n"/>
      <c r="F203" s="34" t="inlineStr">
        <is>
          <t>584</t>
        </is>
      </c>
    </row>
    <row r="204">
      <c r="A204" s="33" t="inlineStr">
        <is>
          <t>Majestic Commercenter Bldg 24 — FY2024</t>
        </is>
      </c>
      <c r="B204" s="43" t="inlineStr">
        <is>
          <t>Net</t>
        </is>
      </c>
      <c r="C204" s="43" t="inlineStr">
        <is>
          <t>NET INCOME / (LOSS)</t>
        </is>
      </c>
      <c r="D204" s="44" t="n">
        <v>515431.6</v>
      </c>
      <c r="E204" s="45" t="inlineStr">
        <is>
          <t>Printed total.</t>
        </is>
      </c>
      <c r="F204" s="34" t="inlineStr">
        <is>
          <t>584</t>
        </is>
      </c>
    </row>
    <row r="205">
      <c r="A205" s="33" t="inlineStr">
        <is>
          <t>Majestic Commercenter Bldg 24 — FY2023</t>
        </is>
      </c>
      <c r="B205" s="43" t="inlineStr">
        <is>
          <t>Income</t>
        </is>
      </c>
      <c r="C205" s="43" t="inlineStr">
        <is>
          <t>TOTAL INCOME</t>
        </is>
      </c>
      <c r="D205" s="44" t="n">
        <v>2728325.62</v>
      </c>
      <c r="E205" s="45" t="inlineStr">
        <is>
          <t>Printed total (see source; per-account detail not transcribed).</t>
        </is>
      </c>
      <c r="F205" s="34" t="inlineStr">
        <is>
          <t>584</t>
        </is>
      </c>
    </row>
    <row r="206">
      <c r="A206" s="33" t="inlineStr">
        <is>
          <t>Majestic Commercenter Bldg 24 — FY2023</t>
        </is>
      </c>
      <c r="B206" s="43" t="inlineStr">
        <is>
          <t>Expense</t>
        </is>
      </c>
      <c r="C206" s="43" t="inlineStr">
        <is>
          <t>TOTAL OPERATING EXPENSE</t>
        </is>
      </c>
      <c r="D206" s="44" t="n">
        <v>1165864.56</v>
      </c>
      <c r="E206" s="45" t="inlineStr">
        <is>
          <t>Summary totals only. Includes mortgage interest &amp; depreciation/amortization.</t>
        </is>
      </c>
      <c r="F206" s="34" t="inlineStr">
        <is>
          <t>584</t>
        </is>
      </c>
    </row>
    <row r="207">
      <c r="A207" s="33" t="inlineStr">
        <is>
          <t>Majestic Commercenter Bldg 24 — FY2023</t>
        </is>
      </c>
      <c r="B207" s="33" t="inlineStr">
        <is>
          <t>Interest</t>
        </is>
      </c>
      <c r="C207" s="33" t="inlineStr">
        <is>
          <t>Total Interest Expense</t>
        </is>
      </c>
      <c r="D207" s="40" t="n">
        <v>409481.66</v>
      </c>
      <c r="E207" s="33" t="n"/>
      <c r="F207" s="34" t="inlineStr">
        <is>
          <t>584</t>
        </is>
      </c>
    </row>
    <row r="208">
      <c r="A208" s="33" t="inlineStr">
        <is>
          <t>Majestic Commercenter Bldg 24 — FY2023</t>
        </is>
      </c>
      <c r="B208" s="33" t="inlineStr">
        <is>
          <t>Other Income/Expense</t>
        </is>
      </c>
      <c r="C208" s="33" t="inlineStr">
        <is>
          <t>Total Other (Income)/Expense (incl. Depr/Amort)</t>
        </is>
      </c>
      <c r="D208" s="40" t="n">
        <v>967951.04</v>
      </c>
      <c r="E208" s="33" t="n"/>
      <c r="F208" s="34" t="inlineStr">
        <is>
          <t>584</t>
        </is>
      </c>
    </row>
    <row r="209">
      <c r="A209" s="33" t="inlineStr">
        <is>
          <t>Majestic Commercenter Bldg 24 — FY2023</t>
        </is>
      </c>
      <c r="B209" s="43" t="inlineStr">
        <is>
          <t>Net</t>
        </is>
      </c>
      <c r="C209" s="43" t="inlineStr">
        <is>
          <t>NET INCOME / (LOSS)</t>
        </is>
      </c>
      <c r="D209" s="44" t="n">
        <v>185028.36</v>
      </c>
      <c r="E209" s="45" t="inlineStr">
        <is>
          <t>Printed total.</t>
        </is>
      </c>
      <c r="F209" s="34" t="inlineStr">
        <is>
          <t>584</t>
        </is>
      </c>
    </row>
    <row r="210">
      <c r="A210" s="33" t="inlineStr">
        <is>
          <t>Majestic Commercenter Bldg 22 — FY2024</t>
        </is>
      </c>
      <c r="B210" s="43" t="inlineStr">
        <is>
          <t>Income</t>
        </is>
      </c>
      <c r="C210" s="43" t="inlineStr">
        <is>
          <t>TOTAL INCOME</t>
        </is>
      </c>
      <c r="D210" s="44" t="n">
        <v>1648443.25</v>
      </c>
      <c r="E210" s="45" t="inlineStr">
        <is>
          <t>Printed total (see source; per-account detail not transcribed).</t>
        </is>
      </c>
      <c r="F210" s="34" t="inlineStr">
        <is>
          <t>584</t>
        </is>
      </c>
    </row>
    <row r="211">
      <c r="A211" s="33" t="inlineStr">
        <is>
          <t>Majestic Commercenter Bldg 22 — FY2024</t>
        </is>
      </c>
      <c r="B211" s="43" t="inlineStr">
        <is>
          <t>Expense</t>
        </is>
      </c>
      <c r="C211" s="43" t="inlineStr">
        <is>
          <t>TOTAL OPERATING EXPENSE</t>
        </is>
      </c>
      <c r="D211" s="44" t="n">
        <v>872475.4300000001</v>
      </c>
      <c r="E211" s="45" t="inlineStr">
        <is>
          <t>Summary totals only; multi-tenant, 75% occupied at DOV. Includes mortgage interest &amp; depreciation/amortization; net LOSS despite positive operating income.</t>
        </is>
      </c>
      <c r="F211" s="34" t="inlineStr">
        <is>
          <t>584</t>
        </is>
      </c>
    </row>
    <row r="212">
      <c r="A212" s="33" t="inlineStr">
        <is>
          <t>Majestic Commercenter Bldg 22 — FY2024</t>
        </is>
      </c>
      <c r="B212" s="33" t="inlineStr">
        <is>
          <t>Interest</t>
        </is>
      </c>
      <c r="C212" s="33" t="inlineStr">
        <is>
          <t>Total Interest Expense</t>
        </is>
      </c>
      <c r="D212" s="40" t="n">
        <v>457397.92</v>
      </c>
      <c r="E212" s="33" t="n"/>
      <c r="F212" s="34" t="inlineStr">
        <is>
          <t>584</t>
        </is>
      </c>
    </row>
    <row r="213">
      <c r="A213" s="33" t="inlineStr">
        <is>
          <t>Majestic Commercenter Bldg 22 — FY2024</t>
        </is>
      </c>
      <c r="B213" s="33" t="inlineStr">
        <is>
          <t>Other Income/Expense</t>
        </is>
      </c>
      <c r="C213" s="33" t="inlineStr">
        <is>
          <t>Total Other (Income)/Expense (incl. Depr/Amort)</t>
        </is>
      </c>
      <c r="D213" s="40" t="n">
        <v>743031.13</v>
      </c>
      <c r="E213" s="33" t="n"/>
      <c r="F213" s="34" t="inlineStr">
        <is>
          <t>584</t>
        </is>
      </c>
    </row>
    <row r="214">
      <c r="A214" s="33" t="inlineStr">
        <is>
          <t>Majestic Commercenter Bldg 22 — FY2024</t>
        </is>
      </c>
      <c r="B214" s="43" t="inlineStr">
        <is>
          <t>Net</t>
        </is>
      </c>
      <c r="C214" s="43" t="inlineStr">
        <is>
          <t>NET INCOME / (LOSS)</t>
        </is>
      </c>
      <c r="D214" s="44" t="n">
        <v>-424461.23</v>
      </c>
      <c r="E214" s="45" t="inlineStr">
        <is>
          <t>Printed total.</t>
        </is>
      </c>
      <c r="F214" s="34" t="inlineStr">
        <is>
          <t>584</t>
        </is>
      </c>
    </row>
    <row r="215">
      <c r="A215" s="33" t="inlineStr">
        <is>
          <t>Majestic Commercenter Bldg 22 — FY2023</t>
        </is>
      </c>
      <c r="B215" s="43" t="inlineStr">
        <is>
          <t>Income</t>
        </is>
      </c>
      <c r="C215" s="43" t="inlineStr">
        <is>
          <t>TOTAL INCOME</t>
        </is>
      </c>
      <c r="D215" s="44" t="n">
        <v>1898261.15</v>
      </c>
      <c r="E215" s="45" t="inlineStr">
        <is>
          <t>Printed total (see source; per-account detail not transcribed).</t>
        </is>
      </c>
      <c r="F215" s="34" t="inlineStr">
        <is>
          <t>584</t>
        </is>
      </c>
    </row>
    <row r="216">
      <c r="A216" s="33" t="inlineStr">
        <is>
          <t>Majestic Commercenter Bldg 22 — FY2023</t>
        </is>
      </c>
      <c r="B216" s="43" t="inlineStr">
        <is>
          <t>Expense</t>
        </is>
      </c>
      <c r="C216" s="43" t="inlineStr">
        <is>
          <t>TOTAL OPERATING EXPENSE</t>
        </is>
      </c>
      <c r="D216" s="44" t="n">
        <v>982119.23</v>
      </c>
      <c r="E216" s="45" t="inlineStr">
        <is>
          <t>Summary totals only. Includes mortgage interest &amp; depreciation/amortization; net LOSS despite positive operating income.</t>
        </is>
      </c>
      <c r="F216" s="34" t="inlineStr">
        <is>
          <t>584</t>
        </is>
      </c>
    </row>
    <row r="217">
      <c r="A217" s="33" t="inlineStr">
        <is>
          <t>Majestic Commercenter Bldg 22 — FY2023</t>
        </is>
      </c>
      <c r="B217" s="33" t="inlineStr">
        <is>
          <t>Interest</t>
        </is>
      </c>
      <c r="C217" s="33" t="inlineStr">
        <is>
          <t>Total Interest Expense</t>
        </is>
      </c>
      <c r="D217" s="40" t="n">
        <v>471750.67</v>
      </c>
      <c r="E217" s="33" t="n"/>
      <c r="F217" s="34" t="inlineStr">
        <is>
          <t>584</t>
        </is>
      </c>
    </row>
    <row r="218">
      <c r="A218" s="33" t="inlineStr">
        <is>
          <t>Majestic Commercenter Bldg 22 — FY2023</t>
        </is>
      </c>
      <c r="B218" s="33" t="inlineStr">
        <is>
          <t>Other Income/Expense</t>
        </is>
      </c>
      <c r="C218" s="33" t="inlineStr">
        <is>
          <t>Total Other (Income)/Expense (incl. Depr/Amort)</t>
        </is>
      </c>
      <c r="D218" s="40" t="n">
        <v>864589.1</v>
      </c>
      <c r="E218" s="33" t="n"/>
      <c r="F218" s="34" t="inlineStr">
        <is>
          <t>584</t>
        </is>
      </c>
    </row>
    <row r="219">
      <c r="A219" s="33" t="inlineStr">
        <is>
          <t>Majestic Commercenter Bldg 22 — FY2023</t>
        </is>
      </c>
      <c r="B219" s="43" t="inlineStr">
        <is>
          <t>Net</t>
        </is>
      </c>
      <c r="C219" s="43" t="inlineStr">
        <is>
          <t>NET INCOME / (LOSS)</t>
        </is>
      </c>
      <c r="D219" s="44" t="n">
        <v>-420197.85</v>
      </c>
      <c r="E219" s="45" t="inlineStr">
        <is>
          <t>Printed total.</t>
        </is>
      </c>
      <c r="F219" s="34" t="inlineStr">
        <is>
          <t>584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  <col width="9" customWidth="1" min="6" max="6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  <c r="F4" s="32" t="inlineStr">
        <is>
          <t>Batch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  <row r="11">
      <c r="A11" s="38" t="inlineStr">
        <is>
          <t>584 batch — Cherry/Thornton/Huron/Park 76/Quintero Owner LLC portfolio (Ryan/CRE-Denver agent authorization, attached to R0180551 Home Depot Denver appeal) + Shamrock Foods 2nd facility (R0092655 authorization)</t>
        </is>
      </c>
      <c r="B11" s="39" t="n"/>
      <c r="C11" s="39" t="n"/>
      <c r="D11" s="39" t="n"/>
      <c r="E11" s="39" t="n"/>
      <c r="F11" s="39" t="n"/>
    </row>
    <row r="12">
      <c r="A12" s="33" t="inlineStr">
        <is>
          <t>Cherry Owner III LLC</t>
        </is>
      </c>
      <c r="B12" s="33" t="inlineStr">
        <is>
          <t>R0180551</t>
        </is>
      </c>
      <c r="C12" s="33" t="inlineStr">
        <is>
          <t>1953 Gun Club Rd (SUBJECT — Home Depot Denver)</t>
        </is>
      </c>
      <c r="D12" s="33" t="inlineStr">
        <is>
          <t>Adams County</t>
        </is>
      </c>
      <c r="E12" s="33" t="inlineStr">
        <is>
          <t>CO</t>
        </is>
      </c>
      <c r="F12" s="34" t="inlineStr">
        <is>
          <t>584</t>
        </is>
      </c>
    </row>
    <row r="13">
      <c r="A13" s="33" t="inlineStr">
        <is>
          <t>Cherry Owner II LLC</t>
        </is>
      </c>
      <c r="B13" s="33" t="inlineStr">
        <is>
          <t>R0180894</t>
        </is>
      </c>
      <c r="C13" s="33" t="inlineStr">
        <is>
          <t>1910 N Gun Club Rd</t>
        </is>
      </c>
      <c r="D13" s="33" t="inlineStr">
        <is>
          <t>Adams County</t>
        </is>
      </c>
      <c r="E13" s="33" t="inlineStr">
        <is>
          <t>CO</t>
        </is>
      </c>
      <c r="F13" s="34" t="inlineStr">
        <is>
          <t>584</t>
        </is>
      </c>
    </row>
    <row r="14">
      <c r="A14" s="33" t="inlineStr">
        <is>
          <t>Quintero Owner LLC c/o Kohlberg Kravis Roberts</t>
        </is>
      </c>
      <c r="B14" s="33" t="inlineStr">
        <is>
          <t>R0209679</t>
        </is>
      </c>
      <c r="C14" s="33" t="inlineStr">
        <is>
          <t>17501 E 84th Ave</t>
        </is>
      </c>
      <c r="D14" s="33" t="inlineStr">
        <is>
          <t>Adams County</t>
        </is>
      </c>
      <c r="E14" s="33" t="inlineStr">
        <is>
          <t>CO</t>
        </is>
      </c>
      <c r="F14" s="34" t="inlineStr">
        <is>
          <t>584</t>
        </is>
      </c>
    </row>
    <row r="15">
      <c r="A15" s="33" t="inlineStr">
        <is>
          <t>Thornton Owner LLC</t>
        </is>
      </c>
      <c r="B15" s="33" t="inlineStr">
        <is>
          <t>R0210485</t>
        </is>
      </c>
      <c r="C15" s="33" t="inlineStr">
        <is>
          <t>1101 E 126th Ave</t>
        </is>
      </c>
      <c r="D15" s="33" t="inlineStr">
        <is>
          <t>Adams County</t>
        </is>
      </c>
      <c r="E15" s="33" t="inlineStr">
        <is>
          <t>CO</t>
        </is>
      </c>
      <c r="F15" s="34" t="inlineStr">
        <is>
          <t>584</t>
        </is>
      </c>
    </row>
    <row r="16">
      <c r="A16" s="33" t="inlineStr">
        <is>
          <t>Thornton Owner LLC</t>
        </is>
      </c>
      <c r="B16" s="33" t="inlineStr">
        <is>
          <t>R0210486</t>
        </is>
      </c>
      <c r="C16" s="33" t="inlineStr">
        <is>
          <t>12625 Lafayette St</t>
        </is>
      </c>
      <c r="D16" s="33" t="inlineStr">
        <is>
          <t>Adams County</t>
        </is>
      </c>
      <c r="E16" s="33" t="inlineStr">
        <is>
          <t>CO</t>
        </is>
      </c>
      <c r="F16" s="34" t="inlineStr">
        <is>
          <t>584</t>
        </is>
      </c>
    </row>
    <row r="17">
      <c r="A17" s="33" t="inlineStr">
        <is>
          <t>Huron Owner LLC</t>
        </is>
      </c>
      <c r="B17" s="33" t="inlineStr">
        <is>
          <t>R0194300</t>
        </is>
      </c>
      <c r="C17" s="33" t="inlineStr">
        <is>
          <t>11751 Huron St</t>
        </is>
      </c>
      <c r="D17" s="33" t="inlineStr">
        <is>
          <t>Adams County</t>
        </is>
      </c>
      <c r="E17" s="33" t="inlineStr">
        <is>
          <t>CO</t>
        </is>
      </c>
      <c r="F17" s="34" t="inlineStr">
        <is>
          <t>584</t>
        </is>
      </c>
    </row>
    <row r="18">
      <c r="A18" s="33" t="inlineStr">
        <is>
          <t>Huron Owner LLC</t>
        </is>
      </c>
      <c r="B18" s="33" t="inlineStr">
        <is>
          <t>R0194301</t>
        </is>
      </c>
      <c r="C18" s="33" t="inlineStr">
        <is>
          <t>801 W. 116th Ave</t>
        </is>
      </c>
      <c r="D18" s="33" t="inlineStr">
        <is>
          <t>Adams County</t>
        </is>
      </c>
      <c r="E18" s="33" t="inlineStr">
        <is>
          <t>CO</t>
        </is>
      </c>
      <c r="F18" s="34" t="inlineStr">
        <is>
          <t>584</t>
        </is>
      </c>
    </row>
    <row r="19">
      <c r="A19" s="33" t="inlineStr">
        <is>
          <t>Park 76 Owner LLC</t>
        </is>
      </c>
      <c r="B19" s="33" t="inlineStr">
        <is>
          <t>R0211072</t>
        </is>
      </c>
      <c r="C19" s="33" t="inlineStr">
        <is>
          <t>10820 East 108th Ave</t>
        </is>
      </c>
      <c r="D19" s="33" t="inlineStr">
        <is>
          <t>Adams County</t>
        </is>
      </c>
      <c r="E19" s="33" t="inlineStr">
        <is>
          <t>CO</t>
        </is>
      </c>
      <c r="F19" s="34" t="inlineStr">
        <is>
          <t>584</t>
        </is>
      </c>
    </row>
    <row r="20">
      <c r="A20" s="33" t="inlineStr">
        <is>
          <t>Park 76 Owner LLC</t>
        </is>
      </c>
      <c r="B20" s="33" t="inlineStr">
        <is>
          <t>R0211073</t>
        </is>
      </c>
      <c r="C20" s="33" t="inlineStr">
        <is>
          <t>10820 East 108th Ave</t>
        </is>
      </c>
      <c r="D20" s="33" t="inlineStr">
        <is>
          <t>Adams County</t>
        </is>
      </c>
      <c r="E20" s="33" t="inlineStr">
        <is>
          <t>CO</t>
        </is>
      </c>
      <c r="F20" s="34" t="inlineStr">
        <is>
          <t>584</t>
        </is>
      </c>
    </row>
    <row r="21">
      <c r="A21" s="33" t="inlineStr">
        <is>
          <t>Park 76 Owner LLC</t>
        </is>
      </c>
      <c r="B21" s="33" t="inlineStr">
        <is>
          <t>R0211074</t>
        </is>
      </c>
      <c r="C21" s="33" t="inlineStr">
        <is>
          <t>11002 East 108th Ave</t>
        </is>
      </c>
      <c r="D21" s="33" t="inlineStr">
        <is>
          <t>Adams County</t>
        </is>
      </c>
      <c r="E21" s="33" t="inlineStr">
        <is>
          <t>CO</t>
        </is>
      </c>
      <c r="F21" s="34" t="inlineStr">
        <is>
          <t>584</t>
        </is>
      </c>
    </row>
    <row r="22">
      <c r="A22" s="33" t="inlineStr">
        <is>
          <t>Shamrock Foods Company</t>
        </is>
      </c>
      <c r="B22" s="33" t="inlineStr">
        <is>
          <t>0182125201001 (Acct pending)</t>
        </is>
      </c>
      <c r="C22" s="33" t="inlineStr">
        <is>
          <t>22000 E 38th Ave (2nd Shamrock facility, no 584 source PDF)</t>
        </is>
      </c>
      <c r="D22" s="33" t="inlineStr">
        <is>
          <t>Adams County</t>
        </is>
      </c>
      <c r="E22" s="33" t="inlineStr">
        <is>
          <t>CO</t>
        </is>
      </c>
      <c r="F22" s="34" t="inlineStr">
        <is>
          <t>584</t>
        </is>
      </c>
    </row>
  </sheetData>
  <mergeCells count="3">
    <mergeCell ref="A2:F2"/>
    <mergeCell ref="A10:E10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2026-08-25T18:34:48Z</dcterms:modified>
</cp:coreProperties>
</file>