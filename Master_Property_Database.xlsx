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ource Documents" sheetId="1" state="visible" r:id="rId1"/>
    <sheet name="OCCC Legend" sheetId="2" state="visible" r:id="rId2"/>
    <sheet name="Property Master" sheetId="3" state="visible" r:id="rId3"/>
    <sheet name="Tenants &amp; Leases" sheetId="4" state="visible" r:id="rId4"/>
    <sheet name="Assessments &amp; Valuation" sheetId="5" state="visible" r:id="rId5"/>
    <sheet name="Income-Expense Summary" sheetId="6" state="visible" r:id="rId6"/>
    <sheet name="Income-Expense Detail" sheetId="7" state="visible" r:id="rId7"/>
    <sheet name="Related Parcels" sheetId="8" state="visible" r:id="rId8"/>
  </sheets>
  <definedNames>
    <definedName name="_xlnm._FilterDatabase" localSheetId="1" hidden="1">'OCCC Legend'!$A$4:$C$11</definedName>
    <definedName name="_xlnm._FilterDatabase" localSheetId="2" hidden="1">'Property Master'!$A$4:$AA$33</definedName>
    <definedName name="_xlnm._FilterDatabase" localSheetId="5" hidden="1">'Income-Expense Summary'!$A$4:$G$26</definedName>
    <definedName name="_xlnm._FilterDatabase" localSheetId="6" hidden="1">'Income-Expense Detail'!$A$4:$G$219</definedName>
  </definedNames>
  <calcPr calcId="124519" fullCalcOnLoad="1"/>
</workbook>
</file>

<file path=xl/styles.xml><?xml version="1.0" encoding="utf-8"?>
<styleSheet xmlns="http://schemas.openxmlformats.org/spreadsheetml/2006/main">
  <numFmts count="6">
    <numFmt numFmtId="164" formatCode="$#,##0;($#,##0);-"/>
    <numFmt numFmtId="165" formatCode="$#,##0.00"/>
    <numFmt numFmtId="166" formatCode="#,##0.###"/>
    <numFmt numFmtId="167" formatCode="$0.00"/>
    <numFmt numFmtId="168" formatCode="$#,##0.00;($#,##0.00);-"/>
    <numFmt numFmtId="169" formatCode="&quot;$&quot;#,##0.00"/>
  </numFmts>
  <fonts count="12">
    <font>
      <name val="Calibri"/>
      <color theme="1"/>
      <sz val="11"/>
      <scheme val="minor"/>
    </font>
    <font>
      <name val="Arial"/>
      <b val="1"/>
      <color rgb="FFFFFFFF"/>
      <sz val="14"/>
    </font>
    <font/>
    <font>
      <name val="Arial"/>
      <i val="1"/>
      <color rgb="FFFFFFFF"/>
      <sz val="9"/>
    </font>
    <font>
      <name val="Arial"/>
      <b val="1"/>
      <color theme="1"/>
      <sz val="11"/>
    </font>
    <font>
      <name val="Arial"/>
      <b val="1"/>
      <color rgb="FFFFFFFF"/>
      <sz val="10"/>
    </font>
    <font>
      <name val="Arial"/>
      <b val="1"/>
      <color theme="1"/>
      <sz val="10"/>
    </font>
    <font>
      <name val="Arial"/>
      <color theme="1"/>
      <sz val="10"/>
    </font>
    <font>
      <name val="Arial"/>
      <b val="1"/>
      <color rgb="FFC00000"/>
      <sz val="10"/>
    </font>
    <font>
      <name val="Arial"/>
      <i val="1"/>
      <color rgb="FF808080"/>
      <sz val="8"/>
    </font>
    <font>
      <name val="Calibri"/>
      <color theme="1"/>
      <scheme val="minor"/>
    </font>
    <font>
      <name val="Calibri"/>
      <color theme="1"/>
      <sz val="11"/>
    </font>
  </fonts>
  <fills count="8">
    <fill>
      <patternFill/>
    </fill>
    <fill>
      <patternFill patternType="lightGray"/>
    </fill>
    <fill>
      <patternFill patternType="solid">
        <fgColor rgb="FF1F3864"/>
        <bgColor rgb="FF1F3864"/>
      </patternFill>
    </fill>
    <fill>
      <patternFill patternType="solid">
        <fgColor rgb="FF2E5496"/>
        <bgColor rgb="FF2E5496"/>
      </patternFill>
    </fill>
    <fill>
      <patternFill patternType="solid">
        <fgColor rgb="FFD6E0F0"/>
        <bgColor rgb="FFD6E0F0"/>
      </patternFill>
    </fill>
    <fill>
      <patternFill patternType="solid">
        <fgColor rgb="FFE2EFDA"/>
        <bgColor rgb="FFE2EFDA"/>
      </patternFill>
    </fill>
    <fill>
      <patternFill patternType="solid">
        <fgColor rgb="FFDDEBF7"/>
        <bgColor rgb="FFDDEBF7"/>
      </patternFill>
    </fill>
    <fill>
      <patternFill patternType="solid">
        <fgColor rgb="FFFCE4D6"/>
        <bgColor rgb="FFFCE4D6"/>
      </patternFill>
    </fill>
  </fills>
  <borders count="11">
    <border/>
    <border>
      <left/>
      <top/>
      <bottom/>
    </border>
    <border>
      <top/>
      <bottom/>
    </border>
    <border>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left/>
      <right/>
      <top/>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62">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2" borderId="1" applyAlignment="1" pivotButton="0" quotePrefix="0" xfId="0">
      <alignment horizontal="left" vertical="center"/>
    </xf>
    <xf numFmtId="0" fontId="4" fillId="0" borderId="0" pivotButton="0" quotePrefix="0" xfId="0"/>
    <xf numFmtId="0" fontId="5" fillId="3" borderId="4" applyAlignment="1" pivotButton="0" quotePrefix="0" xfId="0">
      <alignment horizontal="center" vertical="center" wrapText="1"/>
    </xf>
    <xf numFmtId="0" fontId="6" fillId="4" borderId="5" pivotButton="0" quotePrefix="0" xfId="0"/>
    <xf numFmtId="0" fontId="2" fillId="0" borderId="6" pivotButton="0" quotePrefix="0" xfId="0"/>
    <xf numFmtId="0" fontId="5" fillId="3" borderId="7" applyAlignment="1" pivotButton="0" quotePrefix="0" xfId="0">
      <alignment horizontal="center"/>
    </xf>
    <xf numFmtId="0" fontId="2" fillId="0" borderId="8" pivotButton="0" quotePrefix="0" xfId="0"/>
    <xf numFmtId="0" fontId="7" fillId="0" borderId="4" applyAlignment="1" pivotButton="0" quotePrefix="0" xfId="0">
      <alignment horizontal="center" vertical="center" wrapText="1"/>
    </xf>
    <xf numFmtId="0" fontId="7" fillId="0" borderId="4" applyAlignment="1" pivotButton="0" quotePrefix="0" xfId="0">
      <alignment horizontal="left" vertical="center" wrapText="1"/>
    </xf>
    <xf numFmtId="0" fontId="6" fillId="4" borderId="5" applyAlignment="1" pivotButton="0" quotePrefix="0" xfId="0">
      <alignment horizontal="left" vertical="center" wrapText="1"/>
    </xf>
    <xf numFmtId="164" fontId="7" fillId="0" borderId="4" applyAlignment="1" pivotButton="0" quotePrefix="0" xfId="0">
      <alignment horizontal="right" vertical="center"/>
    </xf>
    <xf numFmtId="165" fontId="7" fillId="0" borderId="4" applyAlignment="1" pivotButton="0" quotePrefix="0" xfId="0">
      <alignment horizontal="right" vertical="center"/>
    </xf>
    <xf numFmtId="166" fontId="7" fillId="0" borderId="4" applyAlignment="1" pivotButton="0" quotePrefix="0" xfId="0">
      <alignment horizontal="right" vertical="center"/>
    </xf>
    <xf numFmtId="0" fontId="7" fillId="0" borderId="0" pivotButton="0" quotePrefix="0" xfId="0"/>
    <xf numFmtId="0" fontId="8" fillId="0" borderId="0" applyAlignment="1" pivotButton="0" quotePrefix="0" xfId="0">
      <alignment horizontal="center"/>
    </xf>
    <xf numFmtId="164" fontId="7" fillId="0" borderId="0" pivotButton="0" quotePrefix="0" xfId="0"/>
    <xf numFmtId="167" fontId="7" fillId="0" borderId="0" pivotButton="0" quotePrefix="0" xfId="0"/>
    <xf numFmtId="0" fontId="9" fillId="0" borderId="0" applyAlignment="1" pivotButton="0" quotePrefix="0" xfId="0">
      <alignment horizontal="left" vertical="center" wrapText="1"/>
    </xf>
    <xf numFmtId="0" fontId="10" fillId="0" borderId="0" pivotButton="0" quotePrefix="0" xfId="0"/>
    <xf numFmtId="0" fontId="9" fillId="0" borderId="5" applyAlignment="1" pivotButton="0" quotePrefix="0" xfId="0">
      <alignment horizontal="left" vertical="center" wrapText="1"/>
    </xf>
    <xf numFmtId="164" fontId="6" fillId="5" borderId="4" applyAlignment="1" pivotButton="0" quotePrefix="0" xfId="0">
      <alignment horizontal="right" vertical="center"/>
    </xf>
    <xf numFmtId="10" fontId="7" fillId="0" borderId="4" applyAlignment="1" pivotButton="0" quotePrefix="0" xfId="0">
      <alignment horizontal="center" vertical="center" wrapText="1"/>
    </xf>
    <xf numFmtId="0" fontId="6" fillId="0" borderId="4" applyAlignment="1" pivotButton="0" quotePrefix="0" xfId="0">
      <alignment horizontal="left" vertical="center" wrapText="1"/>
    </xf>
    <xf numFmtId="0" fontId="6" fillId="5" borderId="4" applyAlignment="1" pivotButton="0" quotePrefix="0" xfId="0">
      <alignment horizontal="left" vertical="center" wrapText="1"/>
    </xf>
    <xf numFmtId="0" fontId="7" fillId="5" borderId="4" applyAlignment="1" pivotButton="0" quotePrefix="0" xfId="0">
      <alignment horizontal="left" vertical="center" wrapText="1"/>
    </xf>
    <xf numFmtId="10" fontId="7" fillId="0" borderId="0" pivotButton="0" quotePrefix="0" xfId="0"/>
    <xf numFmtId="3" fontId="7" fillId="0" borderId="0" pivotButton="0" quotePrefix="0" xfId="0"/>
    <xf numFmtId="2" fontId="7" fillId="0" borderId="0" pivotButton="0" quotePrefix="0" xfId="0"/>
    <xf numFmtId="0" fontId="9" fillId="5" borderId="4" applyAlignment="1" pivotButton="0" quotePrefix="0" xfId="0">
      <alignment horizontal="left" vertical="center" wrapText="1"/>
    </xf>
    <xf numFmtId="168" fontId="7" fillId="0" borderId="4" applyAlignment="1" pivotButton="0" quotePrefix="0" xfId="0">
      <alignment horizontal="right" vertical="center"/>
    </xf>
    <xf numFmtId="168" fontId="6" fillId="5" borderId="4" applyAlignment="1" pivotButton="0" quotePrefix="0" xfId="0">
      <alignment horizontal="right" vertical="center"/>
    </xf>
    <xf numFmtId="0" fontId="6" fillId="5" borderId="4" applyAlignment="1" pivotButton="0" quotePrefix="0" xfId="0">
      <alignment horizontal="center" vertical="center" wrapText="1"/>
    </xf>
    <xf numFmtId="168" fontId="7" fillId="0" borderId="0" pivotButton="0" quotePrefix="0" xfId="0"/>
    <xf numFmtId="0" fontId="6" fillId="4" borderId="7" pivotButton="0" quotePrefix="0" xfId="0"/>
    <xf numFmtId="0" fontId="11" fillId="4" borderId="7" pivotButton="0" quotePrefix="0" xfId="0"/>
    <xf numFmtId="0" fontId="7" fillId="6" borderId="4" applyAlignment="1" pivotButton="0" quotePrefix="0" xfId="0">
      <alignment horizontal="center" vertical="center" wrapText="1"/>
    </xf>
    <xf numFmtId="0" fontId="6" fillId="6" borderId="4" applyAlignment="1" pivotButton="0" quotePrefix="0" xfId="0">
      <alignment horizontal="center" vertical="center" wrapText="1"/>
    </xf>
    <xf numFmtId="0" fontId="9" fillId="0" borderId="4" applyAlignment="1" pivotButton="0" quotePrefix="0" xfId="0">
      <alignment horizontal="left" vertical="center" wrapText="1"/>
    </xf>
    <xf numFmtId="0" fontId="7" fillId="7" borderId="4" applyAlignment="1" pivotButton="0" quotePrefix="0" xfId="0">
      <alignment horizontal="center" vertical="center" wrapText="1"/>
    </xf>
    <xf numFmtId="0" fontId="6" fillId="7" borderId="4" applyAlignment="1" pivotButton="0" quotePrefix="0" xfId="0">
      <alignment horizontal="center" vertical="center" wrapText="1"/>
    </xf>
    <xf numFmtId="0" fontId="6" fillId="0" borderId="0" pivotButton="0" quotePrefix="0" xfId="0"/>
    <xf numFmtId="168" fontId="6" fillId="5" borderId="7" pivotButton="0" quotePrefix="0" xfId="0"/>
    <xf numFmtId="0" fontId="6" fillId="5" borderId="7" pivotButton="0" quotePrefix="0" xfId="0"/>
    <xf numFmtId="3" fontId="10" fillId="0" borderId="0" pivotButton="0" quotePrefix="0" xfId="0"/>
    <xf numFmtId="0" fontId="10" fillId="0" borderId="0" pivotButton="0" quotePrefix="0" xfId="0"/>
    <xf numFmtId="168" fontId="10" fillId="0" borderId="0" pivotButton="0" quotePrefix="0" xfId="0"/>
    <xf numFmtId="169" fontId="10" fillId="0" borderId="0" pivotButton="0" quotePrefix="0" xfId="0"/>
    <xf numFmtId="0" fontId="0" fillId="0" borderId="0" pivotButton="0" quotePrefix="0" xfId="0"/>
    <xf numFmtId="0" fontId="1" fillId="2" borderId="7" applyAlignment="1" pivotButton="0" quotePrefix="0" xfId="0">
      <alignment horizontal="left" vertical="center"/>
    </xf>
    <xf numFmtId="0" fontId="3" fillId="2" borderId="7" applyAlignment="1" pivotButton="0" quotePrefix="0" xfId="0">
      <alignment horizontal="left" vertical="center"/>
    </xf>
    <xf numFmtId="0" fontId="1" fillId="2" borderId="0" pivotButton="0" quotePrefix="0" xfId="0"/>
    <xf numFmtId="0" fontId="3" fillId="2" borderId="0" pivotButton="0" quotePrefix="0" xfId="0"/>
    <xf numFmtId="0" fontId="5" fillId="3" borderId="4" applyAlignment="1" pivotButton="0" quotePrefix="0" xfId="0">
      <alignment horizontal="center" vertical="center" wrapText="1"/>
    </xf>
    <xf numFmtId="0" fontId="7" fillId="0" borderId="4" applyAlignment="1" pivotButton="0" quotePrefix="0" xfId="0">
      <alignment horizontal="left" vertical="center" wrapText="1"/>
    </xf>
    <xf numFmtId="0" fontId="6" fillId="4" borderId="4" applyAlignment="1" pivotButton="0" quotePrefix="0" xfId="0">
      <alignment horizontal="left" vertical="center" wrapText="1"/>
    </xf>
    <xf numFmtId="0" fontId="0" fillId="0" borderId="6" pivotButton="0" quotePrefix="0" xfId="0"/>
    <xf numFmtId="0" fontId="0" fillId="0" borderId="8" pivotButton="0" quotePrefix="0" xfId="0"/>
    <xf numFmtId="0" fontId="6" fillId="4" borderId="4"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G36"/>
  <sheetViews>
    <sheetView workbookViewId="0">
      <pane ySplit="5" topLeftCell="A6" activePane="bottomLeft" state="frozen"/>
      <selection pane="bottomLeft" activeCell="B7" sqref="B7"/>
    </sheetView>
  </sheetViews>
  <sheetFormatPr baseColWidth="8" defaultColWidth="14.43" defaultRowHeight="15" customHeight="1"/>
  <cols>
    <col width="4" customWidth="1" style="51" min="1" max="1"/>
    <col width="40" customWidth="1" style="51" min="2" max="2"/>
    <col width="42" customWidth="1" style="51" min="3" max="3"/>
    <col width="34" customWidth="1" style="51" min="4" max="4"/>
    <col width="20" customWidth="1" style="51" min="5" max="5"/>
    <col width="34" customWidth="1" style="51" min="6" max="6"/>
    <col width="9" customWidth="1" style="51" min="7" max="7"/>
    <col width="8.710000000000001" customWidth="1" style="51" min="8" max="26"/>
  </cols>
  <sheetData>
    <row r="1" ht="25.5" customHeight="1" s="51">
      <c r="A1" s="52" t="inlineStr">
        <is>
          <t>MASTER PROPERTY DATABASE  —  Lease &amp; Income/Expense Extract</t>
        </is>
      </c>
    </row>
    <row r="2" ht="13.5" customHeight="1" s="51">
      <c r="A2" s="53" t="inlineStr">
        <is>
          <t>Prepared for Carter Equities  |  Updated 2026-08-25  |  29 subject properties (8 original + 21 in the "584" batch), all Adams County, Colorado</t>
        </is>
      </c>
    </row>
    <row r="4">
      <c r="A4" s="5" t="inlineStr">
        <is>
          <t>Source Documents Index</t>
        </is>
      </c>
    </row>
    <row r="5" ht="30" customHeight="1" s="51">
      <c r="A5" s="6" t="inlineStr">
        <is>
          <t>#</t>
        </is>
      </c>
      <c r="B5" s="6" t="inlineStr">
        <is>
          <t>Source File</t>
        </is>
      </c>
      <c r="C5" s="6" t="inlineStr">
        <is>
          <t>Document Type</t>
        </is>
      </c>
      <c r="D5" s="6" t="inlineStr">
        <is>
          <t>Subject / Property</t>
        </is>
      </c>
      <c r="E5" s="6" t="inlineStr">
        <is>
          <t>Period / Year</t>
        </is>
      </c>
      <c r="F5" s="6" t="inlineStr">
        <is>
          <t>Preparer / Source</t>
        </is>
      </c>
      <c r="G5" s="9" t="inlineStr">
        <is>
          <t>Batch</t>
        </is>
      </c>
    </row>
    <row r="6">
      <c r="A6" s="11" t="n">
        <v>1</v>
      </c>
      <c r="B6" s="12" t="inlineStr">
        <is>
          <t>R0169133.pdf</t>
        </is>
      </c>
      <c r="C6" s="12" t="inlineStr">
        <is>
          <t>Tax appeal — income approach</t>
        </is>
      </c>
      <c r="D6" s="12" t="inlineStr">
        <is>
          <t>17608 E. 24th Drive, Aurora</t>
        </is>
      </c>
      <c r="E6" s="11" t="inlineStr">
        <is>
          <t>Assess. Yr 2025</t>
        </is>
      </c>
      <c r="F6" s="12" t="inlineStr">
        <is>
          <t>Ryan LLC (J. Hoffman) / CoStar</t>
        </is>
      </c>
    </row>
    <row r="7">
      <c r="A7" s="11" t="n">
        <v>2</v>
      </c>
      <c r="B7" s="12" t="inlineStr">
        <is>
          <t>R0178308.pdf</t>
        </is>
      </c>
      <c r="C7" s="12" t="inlineStr">
        <is>
          <t>Tax appeal — income approach + auth letter</t>
        </is>
      </c>
      <c r="D7" s="12" t="inlineStr">
        <is>
          <t>7205 Gilpin Way, Denver</t>
        </is>
      </c>
      <c r="E7" s="11" t="inlineStr">
        <is>
          <t>Assess. Yr 2025</t>
        </is>
      </c>
      <c r="F7" s="12" t="inlineStr">
        <is>
          <t>Ryan LLC (B. Mecom)</t>
        </is>
      </c>
    </row>
    <row r="8">
      <c r="A8" s="11" t="n">
        <v>3</v>
      </c>
      <c r="B8" s="12" t="inlineStr">
        <is>
          <t>R0103792.pdf</t>
        </is>
      </c>
      <c r="C8" s="12" t="inlineStr">
        <is>
          <t>County Commercial-Industrial Income &amp; Expense Survey</t>
        </is>
      </c>
      <c r="D8" s="12" t="inlineStr">
        <is>
          <t>2011 E 58th Ave (TempTee), Denver</t>
        </is>
      </c>
      <c r="E8" s="11" t="inlineStr">
        <is>
          <t>2023-2024</t>
        </is>
      </c>
      <c r="F8" s="12" t="inlineStr">
        <is>
          <t>Adams County Assessor / Owner</t>
        </is>
      </c>
    </row>
    <row r="9">
      <c r="A9" s="11" t="n">
        <v>4</v>
      </c>
      <c r="B9" s="12" t="inlineStr">
        <is>
          <t>5970_Marion_Drive_2024_PL_Detail.pdf / .xlsx</t>
        </is>
      </c>
      <c r="C9" s="12" t="inlineStr">
        <is>
          <t>Income statement detail (+ income-approach block in xlsx)</t>
        </is>
      </c>
      <c r="D9" s="12" t="inlineStr">
        <is>
          <t>5970 Marion Drive, Denver</t>
        </is>
      </c>
      <c r="E9" s="11" t="inlineStr">
        <is>
          <t>FY2024</t>
        </is>
      </c>
      <c r="F9" s="12" t="inlineStr">
        <is>
          <t>Deerwoods Management LLC</t>
        </is>
      </c>
    </row>
    <row r="10">
      <c r="A10" s="11" t="n">
        <v>5</v>
      </c>
      <c r="B10" s="12" t="inlineStr">
        <is>
          <t>5970_Marion_Drive_2023_Cash_Flow_Statement.pdf</t>
        </is>
      </c>
      <c r="C10" s="12" t="inlineStr">
        <is>
          <t>Cash flow statement (cash basis)</t>
        </is>
      </c>
      <c r="D10" s="12" t="inlineStr">
        <is>
          <t>5970 Marion Drive, Denver</t>
        </is>
      </c>
      <c r="E10" s="11" t="inlineStr">
        <is>
          <t>FY2023</t>
        </is>
      </c>
      <c r="F10" s="12" t="inlineStr">
        <is>
          <t>Deerwoods Management LLC</t>
        </is>
      </c>
    </row>
    <row r="11">
      <c r="A11" s="11" t="n">
        <v>6</v>
      </c>
      <c r="B11" s="12" t="inlineStr">
        <is>
          <t>5650_Washington_St.docx</t>
        </is>
      </c>
      <c r="C11" s="12" t="inlineStr">
        <is>
          <t>Restricted Appraisal Report (Industrial/Flex)</t>
        </is>
      </c>
      <c r="D11" s="12" t="inlineStr">
        <is>
          <t>5650 Washington St, Denver</t>
        </is>
      </c>
      <c r="E11" s="11" t="inlineStr">
        <is>
          <t>Tax Yr 2025 (val 6/30/2024)</t>
        </is>
      </c>
      <c r="F11" s="12" t="inlineStr">
        <is>
          <t>Jason Bennett, MAI (Adams County)</t>
        </is>
      </c>
    </row>
    <row r="12">
      <c r="A12" s="11" t="n">
        <v>7</v>
      </c>
      <c r="B12" s="12" t="inlineStr">
        <is>
          <t>R0024442.pdf</t>
        </is>
      </c>
      <c r="C12" s="12" t="inlineStr">
        <is>
          <t>Tax appeal — income approach (Valuation Protest)</t>
        </is>
      </c>
      <c r="D12" s="12" t="inlineStr">
        <is>
          <t>12260 Pennsylvania St, Thornton</t>
        </is>
      </c>
      <c r="E12" s="11" t="inlineStr">
        <is>
          <t>Assess. Yr 2025</t>
        </is>
      </c>
      <c r="F12" s="12" t="inlineStr">
        <is>
          <t>Ryan LLC (B. Mecom)</t>
        </is>
      </c>
    </row>
    <row r="13">
      <c r="A13" s="11" t="n">
        <v>8</v>
      </c>
      <c r="B13" s="12" t="inlineStr">
        <is>
          <t>R0002819.pdf</t>
        </is>
      </c>
      <c r="C13" s="12" t="inlineStr">
        <is>
          <t>Cover letter + IRS Form 8825 + Rent Roll</t>
        </is>
      </c>
      <c r="D13" s="12" t="inlineStr">
        <is>
          <t>125 Bridge St, Brighton</t>
        </is>
      </c>
      <c r="E13" s="11" t="inlineStr">
        <is>
          <t>2024 (rent roll current)</t>
        </is>
      </c>
      <c r="F13" s="12" t="inlineStr">
        <is>
          <t>Stevens &amp; Associates / Broadview LLC</t>
        </is>
      </c>
    </row>
    <row r="14">
      <c r="A14" s="11" t="n">
        <v>9</v>
      </c>
      <c r="B14" s="12" t="inlineStr">
        <is>
          <t>R0092302.pdf</t>
        </is>
      </c>
      <c r="C14" s="12" t="inlineStr">
        <is>
          <t>Appeal of Real Property Valuation — income approach</t>
        </is>
      </c>
      <c r="D14" s="12" t="inlineStr">
        <is>
          <t>6770 E. 56th Ave, Aurora</t>
        </is>
      </c>
      <c r="E14" s="11" t="inlineStr">
        <is>
          <t>Tax Yr 2026</t>
        </is>
      </c>
      <c r="F14" s="12" t="inlineStr">
        <is>
          <t>Property Tax Advisors, Inc.</t>
        </is>
      </c>
    </row>
    <row r="15">
      <c r="A15" s="17" t="n">
        <v>10</v>
      </c>
      <c r="B15" s="17" t="inlineStr">
        <is>
          <t>R0218284.pdf</t>
        </is>
      </c>
      <c r="C15" s="17" t="inlineStr">
        <is>
          <t>Tax appeal — income approach</t>
        </is>
      </c>
      <c r="D15" s="17" t="inlineStr">
        <is>
          <t>20600 E. 35th Dr, Bldg 12, Denver (Majestic Commercenter)</t>
        </is>
      </c>
      <c r="E15" s="17" t="inlineStr">
        <is>
          <t>Assess. Yr 2026</t>
        </is>
      </c>
      <c r="F15" s="17" t="inlineStr">
        <is>
          <t>Sterling Property Tax Specialists (B. Fearn)</t>
        </is>
      </c>
      <c r="G15" s="18" t="inlineStr">
        <is>
          <t>584</t>
        </is>
      </c>
    </row>
    <row r="16" ht="25.5" customHeight="1" s="51">
      <c r="A16" s="17" t="n">
        <v>11</v>
      </c>
      <c r="B16" s="17" t="inlineStr">
        <is>
          <t>R0213058.pdf</t>
        </is>
      </c>
      <c r="C16" s="17" t="inlineStr">
        <is>
          <t>Tax appeal — income approach</t>
        </is>
      </c>
      <c r="D16" s="17" t="inlineStr">
        <is>
          <t>Lovett 76 Logistics Center, 6196 E Bridge St, Brighton</t>
        </is>
      </c>
      <c r="E16" s="17" t="inlineStr">
        <is>
          <t>Assess. Yr 2025</t>
        </is>
      </c>
      <c r="F16" s="17" t="inlineStr">
        <is>
          <t>Ryan LLC (Beth Diehl)</t>
        </is>
      </c>
      <c r="G16" s="18" t="inlineStr">
        <is>
          <t>584</t>
        </is>
      </c>
    </row>
    <row r="17" ht="25.5" customHeight="1" s="51">
      <c r="A17" s="17" t="n">
        <v>12</v>
      </c>
      <c r="B17" s="17" t="inlineStr">
        <is>
          <t>R0218283.pdf</t>
        </is>
      </c>
      <c r="C17" s="17" t="inlineStr">
        <is>
          <t>Tax appeal — income approach</t>
        </is>
      </c>
      <c r="D17" s="17" t="inlineStr">
        <is>
          <t>20310 E. 35th Dr, Bldg 11, Denver (Majestic Commercenter)</t>
        </is>
      </c>
      <c r="E17" s="17" t="inlineStr">
        <is>
          <t>Assess. Yr 2026</t>
        </is>
      </c>
      <c r="F17" s="17" t="inlineStr">
        <is>
          <t>Sterling Property Tax Specialists (B. Fearn)</t>
        </is>
      </c>
      <c r="G17" s="18" t="inlineStr">
        <is>
          <t>584</t>
        </is>
      </c>
    </row>
    <row r="18" ht="25.5" customHeight="1" s="51">
      <c r="A18" s="17" t="n">
        <v>13</v>
      </c>
      <c r="B18" s="17" t="inlineStr">
        <is>
          <t>R0218172.pdf</t>
        </is>
      </c>
      <c r="C18" s="17" t="inlineStr">
        <is>
          <t>Tax appeal — cost &amp; income approach (3 schedules)</t>
        </is>
      </c>
      <c r="D18" s="17" t="inlineStr">
        <is>
          <t>Denali Buildings 1, 2 &amp; 3 (R0218172/73/74)</t>
        </is>
      </c>
      <c r="E18" s="17" t="inlineStr">
        <is>
          <t>Assess. Yr 2025</t>
        </is>
      </c>
      <c r="F18" s="17" t="inlineStr">
        <is>
          <t>Sterling Property Tax Specialists (B. Fearn)</t>
        </is>
      </c>
      <c r="G18" s="18" t="inlineStr">
        <is>
          <t>584</t>
        </is>
      </c>
    </row>
    <row r="19">
      <c r="A19" s="17" t="n">
        <v>14</v>
      </c>
      <c r="B19" s="17" t="inlineStr">
        <is>
          <t>R0212546.pdf</t>
        </is>
      </c>
      <c r="C19" s="17" t="inlineStr">
        <is>
          <t>Tax appeal — income approach (2 schedules)</t>
        </is>
      </c>
      <c r="D19" s="17" t="inlineStr">
        <is>
          <t>2780 N. Tower Road (R0212546 &amp; R0212547)</t>
        </is>
      </c>
      <c r="E19" s="17" t="inlineStr">
        <is>
          <t>Assess. Yr 2026</t>
        </is>
      </c>
      <c r="F19" s="17" t="inlineStr">
        <is>
          <t>Sterling Property Tax Specialists (B. Fearn)</t>
        </is>
      </c>
      <c r="G19" s="18" t="inlineStr">
        <is>
          <t>584</t>
        </is>
      </c>
    </row>
    <row r="20">
      <c r="A20" s="17" t="n">
        <v>15</v>
      </c>
      <c r="B20" s="17" t="inlineStr">
        <is>
          <t>R0198564.pdf</t>
        </is>
      </c>
      <c r="C20" s="17" t="inlineStr">
        <is>
          <t>County Commercial-Industrial Income &amp; Expense Survey</t>
        </is>
      </c>
      <c r="D20" s="17" t="inlineStr">
        <is>
          <t>1111 E 71st Ave (TrusTile Doors), Denver</t>
        </is>
      </c>
      <c r="E20" s="17" t="inlineStr">
        <is>
          <t>Oct 2023-Sep 2024</t>
        </is>
      </c>
      <c r="F20" s="17" t="inlineStr">
        <is>
          <t>Adams County Assessor / Owner</t>
        </is>
      </c>
      <c r="G20" s="18" t="inlineStr">
        <is>
          <t>584</t>
        </is>
      </c>
    </row>
    <row r="21" ht="15.75" customHeight="1" s="51">
      <c r="A21" s="17" t="n">
        <v>16</v>
      </c>
      <c r="B21" s="17" t="inlineStr">
        <is>
          <t>R0217136.pdf</t>
        </is>
      </c>
      <c r="C21" s="17" t="inlineStr">
        <is>
          <t>Tax appeal — income approach</t>
        </is>
      </c>
      <c r="D21" s="17" t="inlineStr">
        <is>
          <t>Broadway Logistics Center, 6795 Broadway St, Denver</t>
        </is>
      </c>
      <c r="E21" s="17" t="inlineStr">
        <is>
          <t>Assess. Yr 2025</t>
        </is>
      </c>
      <c r="F21" s="17" t="inlineStr">
        <is>
          <t>Ryan LLC (Beth Diehl)</t>
        </is>
      </c>
      <c r="G21" s="18" t="inlineStr">
        <is>
          <t>584</t>
        </is>
      </c>
    </row>
    <row r="22" ht="15.75" customHeight="1" s="51">
      <c r="A22" s="17" t="n">
        <v>17</v>
      </c>
      <c r="B22" s="17" t="inlineStr">
        <is>
          <t>R0198789.pdf</t>
        </is>
      </c>
      <c r="C22" s="17" t="inlineStr">
        <is>
          <t>Leasehold assessment appeal + lease abstract</t>
        </is>
      </c>
      <c r="D22" s="17" t="inlineStr">
        <is>
          <t>DEN3 Bull Crossing, 14601 Grant St, Thornton (Amazon)</t>
        </is>
      </c>
      <c r="E22" s="17" t="inlineStr">
        <is>
          <t>Assess. Yr 2025</t>
        </is>
      </c>
      <c r="F22" s="17" t="inlineStr">
        <is>
          <t>Amazon.com Services LLC (B. Wright)</t>
        </is>
      </c>
      <c r="G22" s="18" t="inlineStr">
        <is>
          <t>584</t>
        </is>
      </c>
    </row>
    <row r="23" ht="15.75" customHeight="1" s="51">
      <c r="A23" s="17" t="n">
        <v>18</v>
      </c>
      <c r="B23" s="17" t="inlineStr">
        <is>
          <t>R0198530.pdf</t>
        </is>
      </c>
      <c r="C23" s="17" t="inlineStr">
        <is>
          <t>Notice of Determination + assessment appeal + lease abstract</t>
        </is>
      </c>
      <c r="D23" s="17" t="inlineStr">
        <is>
          <t>DEN7, 22300 E 26th Ave, Aurora (Amazon)</t>
        </is>
      </c>
      <c r="E23" s="17" t="inlineStr">
        <is>
          <t>Tax Yr 2025</t>
        </is>
      </c>
      <c r="F23" s="17" t="inlineStr">
        <is>
          <t>Amazon.com Services LLC (B. Wright)</t>
        </is>
      </c>
      <c r="G23" s="18" t="inlineStr">
        <is>
          <t>584</t>
        </is>
      </c>
    </row>
    <row r="24" ht="15.75" customHeight="1" s="51">
      <c r="A24" s="17" t="n">
        <v>19</v>
      </c>
      <c r="B24" s="17" t="inlineStr">
        <is>
          <t>R0193588.pdf</t>
        </is>
      </c>
      <c r="C24" s="17" t="inlineStr">
        <is>
          <t>Tax appeal — income approach</t>
        </is>
      </c>
      <c r="D24" s="17" t="inlineStr">
        <is>
          <t>2889 Himalaya Rd, Bldg 15 (Majestic Commercenter)</t>
        </is>
      </c>
      <c r="E24" s="17" t="inlineStr">
        <is>
          <t>Assess. Yr 2026</t>
        </is>
      </c>
      <c r="F24" s="17" t="inlineStr">
        <is>
          <t>Sterling Property Tax Specialists (B. Fearn)</t>
        </is>
      </c>
      <c r="G24" s="18" t="inlineStr">
        <is>
          <t>584</t>
        </is>
      </c>
    </row>
    <row r="25" ht="15.75" customHeight="1" s="51">
      <c r="A25" s="17" t="n">
        <v>20</v>
      </c>
      <c r="B25" s="17" t="inlineStr">
        <is>
          <t>R0191292.pdf</t>
        </is>
      </c>
      <c r="C25" s="17" t="inlineStr">
        <is>
          <t>Notice of Determination + assessment appeal + lease abstract</t>
        </is>
      </c>
      <c r="D25" s="17" t="inlineStr">
        <is>
          <t>DEN2, 22205 E 19th Ave, Aurora (Amazon)</t>
        </is>
      </c>
      <c r="E25" s="17" t="inlineStr">
        <is>
          <t>Tax Yr 2025</t>
        </is>
      </c>
      <c r="F25" s="17" t="inlineStr">
        <is>
          <t>Amazon.com Services LLC (B. Wright)</t>
        </is>
      </c>
      <c r="G25" s="18" t="inlineStr">
        <is>
          <t>584</t>
        </is>
      </c>
    </row>
    <row r="26" ht="15.75" customHeight="1" s="51">
      <c r="A26" s="17" t="n">
        <v>21</v>
      </c>
      <c r="B26" s="17" t="inlineStr">
        <is>
          <t>R0187866.pdf</t>
        </is>
      </c>
      <c r="C26" s="17" t="inlineStr">
        <is>
          <t>Tax appeal — income approach</t>
        </is>
      </c>
      <c r="D26" s="17" t="inlineStr">
        <is>
          <t>19799 E. 36th Dr, Bldg 29 (Majestic Commercenter)</t>
        </is>
      </c>
      <c r="E26" s="17" t="inlineStr">
        <is>
          <t>Assess. Yr 2026</t>
        </is>
      </c>
      <c r="F26" s="17" t="inlineStr">
        <is>
          <t>Sterling Property Tax Specialists (B. Fearn)</t>
        </is>
      </c>
      <c r="G26" s="18" t="inlineStr">
        <is>
          <t>584</t>
        </is>
      </c>
    </row>
    <row r="27" ht="15.75" customHeight="1" s="51">
      <c r="A27" s="17" t="n">
        <v>22</v>
      </c>
      <c r="B27" s="17" t="inlineStr">
        <is>
          <t>R0172868.pdf</t>
        </is>
      </c>
      <c r="C27" s="17" t="inlineStr">
        <is>
          <t>Tax appeal — income approach</t>
        </is>
      </c>
      <c r="D27" s="17" t="inlineStr">
        <is>
          <t>19755 E. 35th Dr, Bldg 26 (Majestic Commercenter)</t>
        </is>
      </c>
      <c r="E27" s="17" t="inlineStr">
        <is>
          <t>Assess. Yr 2026</t>
        </is>
      </c>
      <c r="F27" s="17" t="inlineStr">
        <is>
          <t>Sterling Property Tax Specialists (B. Fearn)</t>
        </is>
      </c>
      <c r="G27" s="18" t="inlineStr">
        <is>
          <t>584</t>
        </is>
      </c>
    </row>
    <row r="28" ht="15.75" customHeight="1" s="51">
      <c r="A28" s="17" t="n">
        <v>23</v>
      </c>
      <c r="B28" s="17" t="inlineStr">
        <is>
          <t>R0180551.pdf</t>
        </is>
      </c>
      <c r="C28" s="17" t="inlineStr">
        <is>
          <t>Tax appeal — income approach</t>
        </is>
      </c>
      <c r="D28" s="17" t="inlineStr">
        <is>
          <t>Home Depot Denver, 1953 Gun Club Rd, Aurora</t>
        </is>
      </c>
      <c r="E28" s="17" t="inlineStr">
        <is>
          <t>Assess. Yr 2025</t>
        </is>
      </c>
      <c r="F28" s="17" t="inlineStr">
        <is>
          <t>Ryan LLC (Beth Diehl)</t>
        </is>
      </c>
      <c r="G28" s="18" t="inlineStr">
        <is>
          <t>584</t>
        </is>
      </c>
    </row>
    <row r="29" ht="15.75" customHeight="1" s="51">
      <c r="A29" s="17" t="n">
        <v>24</v>
      </c>
      <c r="B29" s="17" t="inlineStr">
        <is>
          <t>R0172848.pdf</t>
        </is>
      </c>
      <c r="C29" s="17" t="inlineStr">
        <is>
          <t>Tax appeal — market pro forma + rent roll + P&amp;L</t>
        </is>
      </c>
      <c r="D29" s="17" t="inlineStr">
        <is>
          <t>22100 E 26th Ave, Aurora (ASB Real Estate)</t>
        </is>
      </c>
      <c r="E29" s="17" t="inlineStr">
        <is>
          <t>Tax Yr 2025</t>
        </is>
      </c>
      <c r="F29" s="17" t="inlineStr">
        <is>
          <t>Ryan LLC (Ethan Horn)</t>
        </is>
      </c>
      <c r="G29" s="18" t="inlineStr">
        <is>
          <t>584</t>
        </is>
      </c>
    </row>
    <row r="30" ht="15.75" customHeight="1" s="51">
      <c r="A30" s="17" t="n">
        <v>25</v>
      </c>
      <c r="B30" s="17" t="inlineStr">
        <is>
          <t>R0172865.pdf</t>
        </is>
      </c>
      <c r="C30" s="17" t="inlineStr">
        <is>
          <t>Tax appeal — income approach</t>
        </is>
      </c>
      <c r="D30" s="17" t="inlineStr">
        <is>
          <t>3500 N. Windsor Dr, Bldg 24 (Majestic Commercenter)</t>
        </is>
      </c>
      <c r="E30" s="17" t="inlineStr">
        <is>
          <t>Assess. Yr 2026</t>
        </is>
      </c>
      <c r="F30" s="17" t="inlineStr">
        <is>
          <t>Sterling Property Tax Specialists (B. Fearn)</t>
        </is>
      </c>
      <c r="G30" s="18" t="inlineStr">
        <is>
          <t>584</t>
        </is>
      </c>
    </row>
    <row r="31" ht="15.75" customHeight="1" s="51">
      <c r="A31" s="17" t="n">
        <v>26</v>
      </c>
      <c r="B31" s="17" t="inlineStr">
        <is>
          <t>R0132030.pdf</t>
        </is>
      </c>
      <c r="C31" s="17" t="inlineStr">
        <is>
          <t>Tax appeal — income approach</t>
        </is>
      </c>
      <c r="D31" s="17" t="inlineStr">
        <is>
          <t>3543 N. Windsor Dr, Bldg 22 (Majestic Commercenter)</t>
        </is>
      </c>
      <c r="E31" s="17" t="inlineStr">
        <is>
          <t>Assess. Yr 2026</t>
        </is>
      </c>
      <c r="F31" s="17" t="inlineStr">
        <is>
          <t>Sterling Property Tax Specialists (B. Fearn)</t>
        </is>
      </c>
      <c r="G31" s="18" t="inlineStr">
        <is>
          <t>584</t>
        </is>
      </c>
    </row>
    <row r="32" ht="15.75" customHeight="1" s="51">
      <c r="A32" s="17" t="n">
        <v>27</v>
      </c>
      <c r="B32" s="17" t="inlineStr">
        <is>
          <t>R0092655.pdf</t>
        </is>
      </c>
      <c r="C32" s="17" t="inlineStr">
        <is>
          <t>Valuation protest form + DMA appeal package</t>
        </is>
      </c>
      <c r="D32" s="17" t="inlineStr">
        <is>
          <t>5199 Ivy St, Commerce City (Shamrock Foods)</t>
        </is>
      </c>
      <c r="E32" s="17" t="inlineStr">
        <is>
          <t>Tax Yr 2025</t>
        </is>
      </c>
      <c r="F32" s="17" t="inlineStr">
        <is>
          <t>DuCharme, McMillen &amp; Assoc. (C. Young)</t>
        </is>
      </c>
      <c r="G32" s="18" t="inlineStr">
        <is>
          <t>584</t>
        </is>
      </c>
    </row>
    <row r="33" ht="15.75" customHeight="1" s="51"/>
    <row r="34" ht="15.75" customHeight="1" s="51">
      <c r="A34" s="21" t="inlineStr">
        <is>
          <t>Notes: Figures transcribed from the source documents. Total / net / average cells are live formulas (SUM/AVERAGE) verified against the printed totals; they populate on open in Excel/Sheets.</t>
        </is>
      </c>
    </row>
    <row r="35" ht="15.75" customHeight="1" s="51">
      <c r="A35" s="21" t="inlineStr">
        <is>
          <t>'in house' on the TempTee survey = owner self-performs the service (no $ reported), entered as $0. 5650 Washington St concluded value, rent-roll grid, and income proforma are embedded as EMF vector images in the DOCX and were not text-extractable; narrative figures are captured where stated.</t>
        </is>
      </c>
    </row>
    <row r="36" ht="15.75" customHeight="1" s="51">
      <c r="A36" s="21" t="inlineStr">
        <is>
          <t>5970 Marion cash-basis 'expense' includes mortgage P&amp;I and property taxes (cash flow, not NOI). R0169133 cover value ($3,408,546) differs from its schedule total ($3,114,815); both reproduced as printed.</t>
        </is>
      </c>
    </row>
    <row r="37" ht="15.75" customHeight="1" s="51"/>
    <row r="38" ht="15.75" customHeight="1" s="51"/>
    <row r="39" ht="15.75" customHeight="1" s="51"/>
    <row r="40" ht="15.75" customHeight="1" s="51"/>
    <row r="41" ht="15.75" customHeight="1" s="51"/>
    <row r="42" ht="15.75" customHeight="1" s="51"/>
    <row r="43" ht="15.75" customHeight="1" s="51"/>
    <row r="44" ht="15.75" customHeight="1" s="51"/>
    <row r="45" ht="15.75" customHeight="1" s="51"/>
    <row r="46" ht="15.75" customHeight="1" s="51"/>
    <row r="47" ht="15.75" customHeight="1" s="51"/>
    <row r="48" ht="15.75" customHeight="1" s="51"/>
    <row r="49" ht="15.75" customHeight="1" s="51"/>
    <row r="50" ht="15.75" customHeight="1" s="51"/>
    <row r="51" ht="15.75" customHeight="1" s="51"/>
    <row r="52" ht="15.75" customHeight="1" s="51"/>
    <row r="53" ht="15.75" customHeight="1" s="51"/>
    <row r="54" ht="15.75" customHeight="1" s="51"/>
    <row r="55" ht="15.75" customHeight="1" s="51"/>
    <row r="56" ht="15.75" customHeight="1" s="51"/>
    <row r="57" ht="15.75" customHeight="1" s="51"/>
    <row r="58" ht="15.75" customHeight="1" s="51"/>
    <row r="59" ht="15.75" customHeight="1" s="51"/>
    <row r="60" ht="15.75" customHeight="1" s="51"/>
    <row r="61" ht="15.75" customHeight="1" s="51"/>
    <row r="62" ht="15.75" customHeight="1" s="51"/>
    <row r="63" ht="15.75" customHeight="1" s="51"/>
    <row r="64" ht="15.75" customHeight="1" s="51"/>
    <row r="65" ht="15.75" customHeight="1" s="51"/>
    <row r="66" ht="15.75" customHeight="1" s="51"/>
    <row r="67" ht="15.75" customHeight="1" s="51"/>
    <row r="68" ht="15.75" customHeight="1" s="51"/>
    <row r="69" ht="15.75" customHeight="1" s="51"/>
    <row r="70" ht="15.75" customHeight="1" s="51"/>
    <row r="71" ht="15.75" customHeight="1" s="51"/>
    <row r="72" ht="15.75" customHeight="1" s="51"/>
    <row r="73" ht="15.75" customHeight="1" s="51"/>
    <row r="74" ht="15.75" customHeight="1" s="51"/>
    <row r="75" ht="15.75" customHeight="1" s="51"/>
    <row r="76" ht="15.75" customHeight="1" s="51"/>
    <row r="77" ht="15.75" customHeight="1" s="51"/>
    <row r="78" ht="15.75" customHeight="1" s="51"/>
    <row r="79" ht="15.75" customHeight="1" s="51"/>
    <row r="80" ht="15.75" customHeight="1" s="51"/>
    <row r="81" ht="15.75" customHeight="1" s="51"/>
    <row r="82" ht="15.75" customHeight="1" s="51"/>
    <row r="83" ht="15.75" customHeight="1" s="51"/>
    <row r="84" ht="15.75" customHeight="1" s="51"/>
    <row r="85" ht="15.75" customHeight="1" s="51"/>
    <row r="86" ht="15.75" customHeight="1" s="51"/>
    <row r="87" ht="15.75" customHeight="1" s="51"/>
    <row r="88" ht="15.75" customHeight="1" s="51"/>
    <row r="89" ht="15.75" customHeight="1" s="51"/>
    <row r="90" ht="15.75" customHeight="1" s="51"/>
    <row r="91" ht="15.75" customHeight="1" s="51"/>
    <row r="92" ht="15.75" customHeight="1" s="51"/>
    <row r="93" ht="15.75" customHeight="1" s="51"/>
    <row r="94" ht="15.75" customHeight="1" s="51"/>
    <row r="95" ht="15.75" customHeight="1" s="51"/>
    <row r="96" ht="15.75" customHeight="1" s="51"/>
    <row r="97" ht="15.75" customHeight="1" s="51"/>
    <row r="98" ht="15.75" customHeight="1" s="51"/>
    <row r="99" ht="15.75" customHeight="1" s="51"/>
    <row r="100" ht="15.75" customHeight="1" s="51"/>
    <row r="101" ht="15.75" customHeight="1" s="51"/>
    <row r="102" ht="15.75" customHeight="1" s="51"/>
    <row r="103" ht="15.75" customHeight="1" s="51"/>
    <row r="104" ht="15.75" customHeight="1" s="51"/>
    <row r="105" ht="15.75" customHeight="1" s="51"/>
    <row r="106" ht="15.75" customHeight="1" s="51"/>
    <row r="107" ht="15.75" customHeight="1" s="51"/>
    <row r="108" ht="15.75" customHeight="1" s="51"/>
    <row r="109" ht="15.75" customHeight="1" s="51"/>
    <row r="110" ht="15.75" customHeight="1" s="51"/>
    <row r="111" ht="15.75" customHeight="1" s="51"/>
    <row r="112" ht="15.75" customHeight="1" s="51"/>
    <row r="113" ht="15.75" customHeight="1" s="51"/>
    <row r="114" ht="15.75" customHeight="1" s="51"/>
    <row r="115" ht="15.75" customHeight="1" s="51"/>
    <row r="116" ht="15.75" customHeight="1" s="51"/>
    <row r="117" ht="15.75" customHeight="1" s="51"/>
    <row r="118" ht="15.75" customHeight="1" s="51"/>
    <row r="119" ht="15.75" customHeight="1" s="51"/>
    <row r="120" ht="15.75" customHeight="1" s="51"/>
    <row r="121" ht="15.75" customHeight="1" s="51"/>
    <row r="122" ht="15.75" customHeight="1" s="51"/>
    <row r="123" ht="15.75" customHeight="1" s="51"/>
    <row r="124" ht="15.75" customHeight="1" s="51"/>
    <row r="125" ht="15.75" customHeight="1" s="51"/>
    <row r="126" ht="15.75" customHeight="1" s="51"/>
    <row r="127" ht="15.75" customHeight="1" s="51"/>
    <row r="128" ht="15.75" customHeight="1" s="51"/>
    <row r="129" ht="15.75" customHeight="1" s="51"/>
    <row r="130" ht="15.75" customHeight="1" s="51"/>
    <row r="131" ht="15.75" customHeight="1" s="51"/>
    <row r="132" ht="15.75" customHeight="1" s="51"/>
    <row r="133" ht="15.75" customHeight="1" s="51"/>
    <row r="134" ht="15.75" customHeight="1" s="51"/>
    <row r="135" ht="15.75" customHeight="1" s="51"/>
    <row r="136" ht="15.75" customHeight="1" s="51"/>
    <row r="137" ht="15.75" customHeight="1" s="51"/>
    <row r="138" ht="15.75" customHeight="1" s="51"/>
    <row r="139" ht="15.75" customHeight="1" s="51"/>
    <row r="140" ht="15.75" customHeight="1" s="51"/>
    <row r="141" ht="15.75" customHeight="1" s="51"/>
    <row r="142" ht="15.75" customHeight="1" s="51"/>
    <row r="143" ht="15.75" customHeight="1" s="51"/>
    <row r="144" ht="15.75" customHeight="1" s="51"/>
    <row r="145" ht="15.75" customHeight="1" s="51"/>
    <row r="146" ht="15.75" customHeight="1" s="51"/>
    <row r="147" ht="15.75" customHeight="1" s="51"/>
    <row r="148" ht="15.75" customHeight="1" s="51"/>
    <row r="149" ht="15.75" customHeight="1" s="51"/>
    <row r="150" ht="15.75" customHeight="1" s="51"/>
    <row r="151" ht="15.75" customHeight="1" s="51"/>
    <row r="152" ht="15.75" customHeight="1" s="51"/>
    <row r="153" ht="15.75" customHeight="1" s="51"/>
    <row r="154" ht="15.75" customHeight="1" s="51"/>
    <row r="155" ht="15.75" customHeight="1" s="51"/>
    <row r="156" ht="15.75" customHeight="1" s="51"/>
    <row r="157" ht="15.75" customHeight="1" s="51"/>
    <row r="158" ht="15.75" customHeight="1" s="51"/>
    <row r="159" ht="15.75" customHeight="1" s="51"/>
    <row r="160" ht="15.75" customHeight="1" s="51"/>
    <row r="161" ht="15.75" customHeight="1" s="51"/>
    <row r="162" ht="15.75" customHeight="1" s="51"/>
    <row r="163" ht="15.75" customHeight="1" s="51"/>
    <row r="164" ht="15.75" customHeight="1" s="51"/>
    <row r="165" ht="15.75" customHeight="1" s="51"/>
    <row r="166" ht="15.75" customHeight="1" s="51"/>
    <row r="167" ht="15.75" customHeight="1" s="51"/>
    <row r="168" ht="15.75" customHeight="1" s="51"/>
    <row r="169" ht="15.75" customHeight="1" s="51"/>
    <row r="170" ht="15.75" customHeight="1" s="51"/>
    <row r="171" ht="15.75" customHeight="1" s="51"/>
    <row r="172" ht="15.75" customHeight="1" s="51"/>
    <row r="173" ht="15.75" customHeight="1" s="51"/>
    <row r="174" ht="15.75" customHeight="1" s="51"/>
    <row r="175" ht="15.75" customHeight="1" s="51"/>
    <row r="176" ht="15.75" customHeight="1" s="51"/>
    <row r="177" ht="15.75" customHeight="1" s="51"/>
    <row r="178" ht="15.75" customHeight="1" s="51"/>
    <row r="179" ht="15.75" customHeight="1" s="51"/>
    <row r="180" ht="15.75" customHeight="1" s="51"/>
    <row r="181" ht="15.75" customHeight="1" s="51"/>
    <row r="182" ht="15.75" customHeight="1" s="51"/>
    <row r="183" ht="15.75" customHeight="1" s="51"/>
    <row r="184" ht="15.75" customHeight="1" s="51"/>
    <row r="185" ht="15.75" customHeight="1" s="51"/>
    <row r="186" ht="15.75" customHeight="1" s="51"/>
    <row r="187" ht="15.75" customHeight="1" s="51"/>
    <row r="188" ht="15.75" customHeight="1" s="51"/>
    <row r="189" ht="15.75" customHeight="1" s="51"/>
    <row r="190" ht="15.75" customHeight="1" s="51"/>
    <row r="191" ht="15.75" customHeight="1" s="51"/>
    <row r="192" ht="15.75" customHeight="1" s="51"/>
    <row r="193" ht="15.75" customHeight="1" s="51"/>
    <row r="194" ht="15.75" customHeight="1" s="51"/>
    <row r="195" ht="15.75" customHeight="1" s="51"/>
    <row r="196" ht="15.75" customHeight="1" s="51"/>
    <row r="197" ht="15.75" customHeight="1" s="51"/>
    <row r="198" ht="15.75" customHeight="1" s="51"/>
    <row r="199" ht="15.75" customHeight="1" s="51"/>
    <row r="200" ht="15.75" customHeight="1" s="51"/>
    <row r="201" ht="15.75" customHeight="1" s="51"/>
    <row r="202" ht="15.75" customHeight="1" s="51"/>
    <row r="203" ht="15.75" customHeight="1" s="51"/>
    <row r="204" ht="15.75" customHeight="1" s="51"/>
    <row r="205" ht="15.75" customHeight="1" s="51"/>
    <row r="206" ht="15.75" customHeight="1" s="51"/>
    <row r="207" ht="15.75" customHeight="1" s="51"/>
    <row r="208" ht="15.75" customHeight="1" s="51"/>
    <row r="209" ht="15.75" customHeight="1" s="51"/>
    <row r="210" ht="15.75" customHeight="1" s="51"/>
    <row r="211" ht="15.75" customHeight="1" s="51"/>
    <row r="212" ht="15.75" customHeight="1" s="51"/>
    <row r="213" ht="15.75" customHeight="1" s="51"/>
    <row r="214" ht="15.75" customHeight="1" s="51"/>
    <row r="215" ht="15.75" customHeight="1" s="51"/>
    <row r="216" ht="15.75" customHeight="1" s="51"/>
    <row r="217" ht="15.75" customHeight="1" s="51"/>
    <row r="218" ht="15.75" customHeight="1" s="51"/>
    <row r="219" ht="15.75" customHeight="1" s="51"/>
    <row r="220" ht="15.75" customHeight="1" s="51"/>
    <row r="221" ht="15.75" customHeight="1" s="51"/>
    <row r="222" ht="15.75" customHeight="1" s="51"/>
    <row r="223" ht="15.75" customHeight="1" s="51"/>
    <row r="224" ht="15.75" customHeight="1" s="51"/>
    <row r="225" ht="15.75" customHeight="1" s="51"/>
    <row r="226" ht="15.75" customHeight="1" s="51"/>
    <row r="227" ht="15.75" customHeight="1" s="51"/>
    <row r="228" ht="15.75" customHeight="1" s="51"/>
    <row r="229" ht="15.75" customHeight="1" s="51"/>
    <row r="230" ht="15.75" customHeight="1" s="51"/>
    <row r="231" ht="15.75" customHeight="1" s="51"/>
    <row r="232" ht="15.75" customHeight="1" s="51"/>
    <row r="233" ht="15.75" customHeight="1" s="51"/>
    <row r="234" ht="15.75" customHeight="1" s="51"/>
    <row r="235" ht="15.75" customHeight="1" s="51"/>
    <row r="236" ht="15.75" customHeight="1" s="51"/>
    <row r="237" ht="15.75" customHeight="1" s="51"/>
    <row r="238" ht="15.75" customHeight="1" s="51"/>
    <row r="239" ht="15.75" customHeight="1" s="51"/>
    <row r="240" ht="15.75" customHeight="1" s="51"/>
    <row r="241" ht="15.75" customHeight="1" s="51"/>
    <row r="242" ht="15.75" customHeight="1" s="51"/>
    <row r="243" ht="15.75" customHeight="1" s="51"/>
    <row r="244" ht="15.75" customHeight="1" s="51"/>
    <row r="245" ht="15.75" customHeight="1" s="51"/>
    <row r="246" ht="15.75" customHeight="1" s="51"/>
    <row r="247" ht="15.75" customHeight="1" s="51"/>
    <row r="248" ht="15.75" customHeight="1" s="51"/>
    <row r="249" ht="15.75" customHeight="1" s="51"/>
    <row r="250" ht="15.75" customHeight="1" s="51"/>
    <row r="251" ht="15.75" customHeight="1" s="51"/>
    <row r="252" ht="15.75" customHeight="1" s="51"/>
    <row r="253" ht="15.75" customHeight="1" s="51"/>
    <row r="254" ht="15.75" customHeight="1" s="51"/>
    <row r="255" ht="15.75" customHeight="1" s="51"/>
    <row r="256" ht="15.75" customHeight="1" s="51"/>
    <row r="257" ht="15.75" customHeight="1" s="51"/>
    <row r="258" ht="15.75" customHeight="1" s="51"/>
    <row r="259" ht="15.75" customHeight="1" s="51"/>
    <row r="260" ht="15.75" customHeight="1" s="51"/>
    <row r="261" ht="15.75" customHeight="1" s="51"/>
    <row r="262" ht="15.75" customHeight="1" s="51"/>
    <row r="263" ht="15.75" customHeight="1" s="51"/>
    <row r="264" ht="15.75" customHeight="1" s="51"/>
    <row r="265" ht="15.75" customHeight="1" s="51"/>
    <row r="266" ht="15.75" customHeight="1" s="51"/>
    <row r="267" ht="15.75" customHeight="1" s="51"/>
    <row r="268" ht="15.75" customHeight="1" s="51"/>
    <row r="269" ht="15.75" customHeight="1" s="51"/>
    <row r="270" ht="15.75" customHeight="1" s="51"/>
    <row r="271" ht="15.75" customHeight="1" s="51"/>
    <row r="272" ht="15.75" customHeight="1" s="51"/>
    <row r="273" ht="15.75" customHeight="1" s="51"/>
    <row r="274" ht="15.75" customHeight="1" s="51"/>
    <row r="275" ht="15.75" customHeight="1" s="51"/>
    <row r="276" ht="15.75" customHeight="1" s="51"/>
    <row r="277" ht="15.75" customHeight="1" s="51"/>
    <row r="278" ht="15.75" customHeight="1" s="51"/>
    <row r="279" ht="15.75" customHeight="1" s="51"/>
    <row r="280" ht="15.75" customHeight="1" s="51"/>
    <row r="281" ht="15.75" customHeight="1" s="51"/>
    <row r="282" ht="15.75" customHeight="1" s="51"/>
    <row r="283" ht="15.75" customHeight="1" s="51"/>
    <row r="284" ht="15.75" customHeight="1" s="51"/>
    <row r="285" ht="15.75" customHeight="1" s="51"/>
    <row r="286" ht="15.75" customHeight="1" s="51"/>
    <row r="287" ht="15.75" customHeight="1" s="51"/>
    <row r="288" ht="15.75" customHeight="1" s="51"/>
    <row r="289" ht="15.75" customHeight="1" s="51"/>
    <row r="290" ht="15.75" customHeight="1" s="51"/>
    <row r="291" ht="15.75" customHeight="1" s="51"/>
    <row r="292" ht="15.75" customHeight="1" s="51"/>
    <row r="293" ht="15.75" customHeight="1" s="51"/>
    <row r="294" ht="15.75" customHeight="1" s="51"/>
    <row r="295" ht="15.75" customHeight="1" s="51"/>
    <row r="296" ht="15.75" customHeight="1" s="51"/>
    <row r="297" ht="15.75" customHeight="1" s="51"/>
    <row r="298" ht="15.75" customHeight="1" s="51"/>
    <row r="299" ht="15.75" customHeight="1" s="51"/>
    <row r="300" ht="15.75" customHeight="1" s="51"/>
    <row r="301" ht="15.75" customHeight="1" s="51"/>
    <row r="302" ht="15.75" customHeight="1" s="51"/>
    <row r="303" ht="15.75" customHeight="1" s="51"/>
    <row r="304" ht="15.75" customHeight="1" s="51"/>
    <row r="305" ht="15.75" customHeight="1" s="51"/>
    <row r="306" ht="15.75" customHeight="1" s="51"/>
    <row r="307" ht="15.75" customHeight="1" s="51"/>
    <row r="308" ht="15.75" customHeight="1" s="51"/>
    <row r="309" ht="15.75" customHeight="1" s="51"/>
    <row r="310" ht="15.75" customHeight="1" s="51"/>
    <row r="311" ht="15.75" customHeight="1" s="51"/>
    <row r="312" ht="15.75" customHeight="1" s="51"/>
    <row r="313" ht="15.75" customHeight="1" s="51"/>
    <row r="314" ht="15.75" customHeight="1" s="51"/>
    <row r="315" ht="15.75" customHeight="1" s="51"/>
    <row r="316" ht="15.75" customHeight="1" s="51"/>
    <row r="317" ht="15.75" customHeight="1" s="51"/>
    <row r="318" ht="15.75" customHeight="1" s="51"/>
    <row r="319" ht="15.75" customHeight="1" s="51"/>
    <row r="320" ht="15.75" customHeight="1" s="51"/>
    <row r="321" ht="15.75" customHeight="1" s="51"/>
    <row r="322" ht="15.75" customHeight="1" s="51"/>
    <row r="323" ht="15.75" customHeight="1" s="51"/>
    <row r="324" ht="15.75" customHeight="1" s="51"/>
    <row r="325" ht="15.75" customHeight="1" s="51"/>
    <row r="326" ht="15.75" customHeight="1" s="51"/>
    <row r="327" ht="15.75" customHeight="1" s="51"/>
    <row r="328" ht="15.75" customHeight="1" s="51"/>
    <row r="329" ht="15.75" customHeight="1" s="51"/>
    <row r="330" ht="15.75" customHeight="1" s="51"/>
    <row r="331" ht="15.75" customHeight="1" s="51"/>
    <row r="332" ht="15.75" customHeight="1" s="51"/>
    <row r="333" ht="15.75" customHeight="1" s="51"/>
    <row r="334" ht="15.75" customHeight="1" s="51"/>
    <row r="335" ht="15.75" customHeight="1" s="51"/>
    <row r="336" ht="15.75" customHeight="1" s="51"/>
    <row r="337" ht="15.75" customHeight="1" s="51"/>
    <row r="338" ht="15.75" customHeight="1" s="51"/>
    <row r="339" ht="15.75" customHeight="1" s="51"/>
    <row r="340" ht="15.75" customHeight="1" s="51"/>
    <row r="341" ht="15.75" customHeight="1" s="51"/>
    <row r="342" ht="15.75" customHeight="1" s="51"/>
    <row r="343" ht="15.75" customHeight="1" s="51"/>
    <row r="344" ht="15.75" customHeight="1" s="51"/>
    <row r="345" ht="15.75" customHeight="1" s="51"/>
    <row r="346" ht="15.75" customHeight="1" s="51"/>
    <row r="347" ht="15.75" customHeight="1" s="51"/>
    <row r="348" ht="15.75" customHeight="1" s="51"/>
    <row r="349" ht="15.75" customHeight="1" s="51"/>
    <row r="350" ht="15.75" customHeight="1" s="51"/>
    <row r="351" ht="15.75" customHeight="1" s="51"/>
    <row r="352" ht="15.75" customHeight="1" s="51"/>
    <row r="353" ht="15.75" customHeight="1" s="51"/>
    <row r="354" ht="15.75" customHeight="1" s="51"/>
    <row r="355" ht="15.75" customHeight="1" s="51"/>
    <row r="356" ht="15.75" customHeight="1" s="51"/>
    <row r="357" ht="15.75" customHeight="1" s="51"/>
    <row r="358" ht="15.75" customHeight="1" s="51"/>
    <row r="359" ht="15.75" customHeight="1" s="51"/>
    <row r="360" ht="15.75" customHeight="1" s="51"/>
    <row r="361" ht="15.75" customHeight="1" s="51"/>
    <row r="362" ht="15.75" customHeight="1" s="51"/>
    <row r="363" ht="15.75" customHeight="1" s="51"/>
    <row r="364" ht="15.75" customHeight="1" s="51"/>
    <row r="365" ht="15.75" customHeight="1" s="51"/>
    <row r="366" ht="15.75" customHeight="1" s="51"/>
    <row r="367" ht="15.75" customHeight="1" s="51"/>
    <row r="368" ht="15.75" customHeight="1" s="51"/>
    <row r="369" ht="15.75" customHeight="1" s="51"/>
    <row r="370" ht="15.75" customHeight="1" s="51"/>
    <row r="371" ht="15.75" customHeight="1" s="51"/>
    <row r="372" ht="15.75" customHeight="1" s="51"/>
    <row r="373" ht="15.75" customHeight="1" s="51"/>
    <row r="374" ht="15.75" customHeight="1" s="51"/>
    <row r="375" ht="15.75" customHeight="1" s="51"/>
    <row r="376" ht="15.75" customHeight="1" s="51"/>
    <row r="377" ht="15.75" customHeight="1" s="51"/>
    <row r="378" ht="15.75" customHeight="1" s="51"/>
    <row r="379" ht="15.75" customHeight="1" s="51"/>
    <row r="380" ht="15.75" customHeight="1" s="51"/>
    <row r="381" ht="15.75" customHeight="1" s="51"/>
    <row r="382" ht="15.75" customHeight="1" s="51"/>
    <row r="383" ht="15.75" customHeight="1" s="51"/>
    <row r="384" ht="15.75" customHeight="1" s="51"/>
    <row r="385" ht="15.75" customHeight="1" s="51"/>
    <row r="386" ht="15.75" customHeight="1" s="51"/>
    <row r="387" ht="15.75" customHeight="1" s="51"/>
    <row r="388" ht="15.75" customHeight="1" s="51"/>
    <row r="389" ht="15.75" customHeight="1" s="51"/>
    <row r="390" ht="15.75" customHeight="1" s="51"/>
    <row r="391" ht="15.75" customHeight="1" s="51"/>
    <row r="392" ht="15.75" customHeight="1" s="51"/>
    <row r="393" ht="15.75" customHeight="1" s="51"/>
    <row r="394" ht="15.75" customHeight="1" s="51"/>
    <row r="395" ht="15.75" customHeight="1" s="51"/>
    <row r="396" ht="15.75" customHeight="1" s="51"/>
    <row r="397" ht="15.75" customHeight="1" s="51"/>
    <row r="398" ht="15.75" customHeight="1" s="51"/>
    <row r="399" ht="15.75" customHeight="1" s="51"/>
    <row r="400" ht="15.75" customHeight="1" s="51"/>
    <row r="401" ht="15.75" customHeight="1" s="51"/>
    <row r="402" ht="15.75" customHeight="1" s="51"/>
    <row r="403" ht="15.75" customHeight="1" s="51"/>
    <row r="404" ht="15.75" customHeight="1" s="51"/>
    <row r="405" ht="15.75" customHeight="1" s="51"/>
    <row r="406" ht="15.75" customHeight="1" s="51"/>
    <row r="407" ht="15.75" customHeight="1" s="51"/>
    <row r="408" ht="15.75" customHeight="1" s="51"/>
    <row r="409" ht="15.75" customHeight="1" s="51"/>
    <row r="410" ht="15.75" customHeight="1" s="51"/>
    <row r="411" ht="15.75" customHeight="1" s="51"/>
    <row r="412" ht="15.75" customHeight="1" s="51"/>
    <row r="413" ht="15.75" customHeight="1" s="51"/>
    <row r="414" ht="15.75" customHeight="1" s="51"/>
    <row r="415" ht="15.75" customHeight="1" s="51"/>
    <row r="416" ht="15.75" customHeight="1" s="51"/>
    <row r="417" ht="15.75" customHeight="1" s="51"/>
    <row r="418" ht="15.75" customHeight="1" s="51"/>
    <row r="419" ht="15.75" customHeight="1" s="51"/>
    <row r="420" ht="15.75" customHeight="1" s="51"/>
    <row r="421" ht="15.75" customHeight="1" s="51"/>
    <row r="422" ht="15.75" customHeight="1" s="51"/>
    <row r="423" ht="15.75" customHeight="1" s="51"/>
    <row r="424" ht="15.75" customHeight="1" s="51"/>
    <row r="425" ht="15.75" customHeight="1" s="51"/>
    <row r="426" ht="15.75" customHeight="1" s="51"/>
    <row r="427" ht="15.75" customHeight="1" s="51"/>
    <row r="428" ht="15.75" customHeight="1" s="51"/>
    <row r="429" ht="15.75" customHeight="1" s="51"/>
    <row r="430" ht="15.75" customHeight="1" s="51"/>
    <row r="431" ht="15.75" customHeight="1" s="51"/>
    <row r="432" ht="15.75" customHeight="1" s="51"/>
    <row r="433" ht="15.75" customHeight="1" s="51"/>
    <row r="434" ht="15.75" customHeight="1" s="51"/>
    <row r="435" ht="15.75" customHeight="1" s="51"/>
    <row r="436" ht="15.75" customHeight="1" s="51"/>
    <row r="437" ht="15.75" customHeight="1" s="51"/>
    <row r="438" ht="15.75" customHeight="1" s="51"/>
    <row r="439" ht="15.75" customHeight="1" s="51"/>
    <row r="440" ht="15.75" customHeight="1" s="51"/>
    <row r="441" ht="15.75" customHeight="1" s="51"/>
    <row r="442" ht="15.75" customHeight="1" s="51"/>
    <row r="443" ht="15.75" customHeight="1" s="51"/>
    <row r="444" ht="15.75" customHeight="1" s="51"/>
    <row r="445" ht="15.75" customHeight="1" s="51"/>
    <row r="446" ht="15.75" customHeight="1" s="51"/>
    <row r="447" ht="15.75" customHeight="1" s="51"/>
    <row r="448" ht="15.75" customHeight="1" s="51"/>
    <row r="449" ht="15.75" customHeight="1" s="51"/>
    <row r="450" ht="15.75" customHeight="1" s="51"/>
    <row r="451" ht="15.75" customHeight="1" s="51"/>
    <row r="452" ht="15.75" customHeight="1" s="51"/>
    <row r="453" ht="15.75" customHeight="1" s="51"/>
    <row r="454" ht="15.75" customHeight="1" s="51"/>
    <row r="455" ht="15.75" customHeight="1" s="51"/>
    <row r="456" ht="15.75" customHeight="1" s="51"/>
    <row r="457" ht="15.75" customHeight="1" s="51"/>
    <row r="458" ht="15.75" customHeight="1" s="51"/>
    <row r="459" ht="15.75" customHeight="1" s="51"/>
    <row r="460" ht="15.75" customHeight="1" s="51"/>
    <row r="461" ht="15.75" customHeight="1" s="51"/>
    <row r="462" ht="15.75" customHeight="1" s="51"/>
    <row r="463" ht="15.75" customHeight="1" s="51"/>
    <row r="464" ht="15.75" customHeight="1" s="51"/>
    <row r="465" ht="15.75" customHeight="1" s="51"/>
    <row r="466" ht="15.75" customHeight="1" s="51"/>
    <row r="467" ht="15.75" customHeight="1" s="51"/>
    <row r="468" ht="15.75" customHeight="1" s="51"/>
    <row r="469" ht="15.75" customHeight="1" s="51"/>
    <row r="470" ht="15.75" customHeight="1" s="51"/>
    <row r="471" ht="15.75" customHeight="1" s="51"/>
    <row r="472" ht="15.75" customHeight="1" s="51"/>
    <row r="473" ht="15.75" customHeight="1" s="51"/>
    <row r="474" ht="15.75" customHeight="1" s="51"/>
    <row r="475" ht="15.75" customHeight="1" s="51"/>
    <row r="476" ht="15.75" customHeight="1" s="51"/>
    <row r="477" ht="15.75" customHeight="1" s="51"/>
    <row r="478" ht="15.75" customHeight="1" s="51"/>
    <row r="479" ht="15.75" customHeight="1" s="51"/>
    <row r="480" ht="15.75" customHeight="1" s="51"/>
    <row r="481" ht="15.75" customHeight="1" s="51"/>
    <row r="482" ht="15.75" customHeight="1" s="51"/>
    <row r="483" ht="15.75" customHeight="1" s="51"/>
    <row r="484" ht="15.75" customHeight="1" s="51"/>
    <row r="485" ht="15.75" customHeight="1" s="51"/>
    <row r="486" ht="15.75" customHeight="1" s="51"/>
    <row r="487" ht="15.75" customHeight="1" s="51"/>
    <row r="488" ht="15.75" customHeight="1" s="51"/>
    <row r="489" ht="15.75" customHeight="1" s="51"/>
    <row r="490" ht="15.75" customHeight="1" s="51"/>
    <row r="491" ht="15.75" customHeight="1" s="51"/>
    <row r="492" ht="15.75" customHeight="1" s="51"/>
    <row r="493" ht="15.75" customHeight="1" s="51"/>
    <row r="494" ht="15.75" customHeight="1" s="51"/>
    <row r="495" ht="15.75" customHeight="1" s="51"/>
    <row r="496" ht="15.75" customHeight="1" s="51"/>
    <row r="497" ht="15.75" customHeight="1" s="51"/>
    <row r="498" ht="15.75" customHeight="1" s="51"/>
    <row r="499" ht="15.75" customHeight="1" s="51"/>
    <row r="500" ht="15.75" customHeight="1" s="51"/>
    <row r="501" ht="15.75" customHeight="1" s="51"/>
    <row r="502" ht="15.75" customHeight="1" s="51"/>
    <row r="503" ht="15.75" customHeight="1" s="51"/>
    <row r="504" ht="15.75" customHeight="1" s="51"/>
    <row r="505" ht="15.75" customHeight="1" s="51"/>
    <row r="506" ht="15.75" customHeight="1" s="51"/>
    <row r="507" ht="15.75" customHeight="1" s="51"/>
    <row r="508" ht="15.75" customHeight="1" s="51"/>
    <row r="509" ht="15.75" customHeight="1" s="51"/>
    <row r="510" ht="15.75" customHeight="1" s="51"/>
    <row r="511" ht="15.75" customHeight="1" s="51"/>
    <row r="512" ht="15.75" customHeight="1" s="51"/>
    <row r="513" ht="15.75" customHeight="1" s="51"/>
    <row r="514" ht="15.75" customHeight="1" s="51"/>
    <row r="515" ht="15.75" customHeight="1" s="51"/>
    <row r="516" ht="15.75" customHeight="1" s="51"/>
    <row r="517" ht="15.75" customHeight="1" s="51"/>
    <row r="518" ht="15.75" customHeight="1" s="51"/>
    <row r="519" ht="15.75" customHeight="1" s="51"/>
    <row r="520" ht="15.75" customHeight="1" s="51"/>
    <row r="521" ht="15.75" customHeight="1" s="51"/>
    <row r="522" ht="15.75" customHeight="1" s="51"/>
    <row r="523" ht="15.75" customHeight="1" s="51"/>
    <row r="524" ht="15.75" customHeight="1" s="51"/>
    <row r="525" ht="15.75" customHeight="1" s="51"/>
    <row r="526" ht="15.75" customHeight="1" s="51"/>
    <row r="527" ht="15.75" customHeight="1" s="51"/>
    <row r="528" ht="15.75" customHeight="1" s="51"/>
    <row r="529" ht="15.75" customHeight="1" s="51"/>
    <row r="530" ht="15.75" customHeight="1" s="51"/>
    <row r="531" ht="15.75" customHeight="1" s="51"/>
    <row r="532" ht="15.75" customHeight="1" s="51"/>
    <row r="533" ht="15.75" customHeight="1" s="51"/>
    <row r="534" ht="15.75" customHeight="1" s="51"/>
    <row r="535" ht="15.75" customHeight="1" s="51"/>
    <row r="536" ht="15.75" customHeight="1" s="51"/>
    <row r="537" ht="15.75" customHeight="1" s="51"/>
    <row r="538" ht="15.75" customHeight="1" s="51"/>
    <row r="539" ht="15.75" customHeight="1" s="51"/>
    <row r="540" ht="15.75" customHeight="1" s="51"/>
    <row r="541" ht="15.75" customHeight="1" s="51"/>
    <row r="542" ht="15.75" customHeight="1" s="51"/>
    <row r="543" ht="15.75" customHeight="1" s="51"/>
    <row r="544" ht="15.75" customHeight="1" s="51"/>
    <row r="545" ht="15.75" customHeight="1" s="51"/>
    <row r="546" ht="15.75" customHeight="1" s="51"/>
    <row r="547" ht="15.75" customHeight="1" s="51"/>
    <row r="548" ht="15.75" customHeight="1" s="51"/>
    <row r="549" ht="15.75" customHeight="1" s="51"/>
    <row r="550" ht="15.75" customHeight="1" s="51"/>
    <row r="551" ht="15.75" customHeight="1" s="51"/>
    <row r="552" ht="15.75" customHeight="1" s="51"/>
    <row r="553" ht="15.75" customHeight="1" s="51"/>
    <row r="554" ht="15.75" customHeight="1" s="51"/>
    <row r="555" ht="15.75" customHeight="1" s="51"/>
    <row r="556" ht="15.75" customHeight="1" s="51"/>
    <row r="557" ht="15.75" customHeight="1" s="51"/>
    <row r="558" ht="15.75" customHeight="1" s="51"/>
    <row r="559" ht="15.75" customHeight="1" s="51"/>
    <row r="560" ht="15.75" customHeight="1" s="51"/>
    <row r="561" ht="15.75" customHeight="1" s="51"/>
    <row r="562" ht="15.75" customHeight="1" s="51"/>
    <row r="563" ht="15.75" customHeight="1" s="51"/>
    <row r="564" ht="15.75" customHeight="1" s="51"/>
    <row r="565" ht="15.75" customHeight="1" s="51"/>
    <row r="566" ht="15.75" customHeight="1" s="51"/>
    <row r="567" ht="15.75" customHeight="1" s="51"/>
    <row r="568" ht="15.75" customHeight="1" s="51"/>
    <row r="569" ht="15.75" customHeight="1" s="51"/>
    <row r="570" ht="15.75" customHeight="1" s="51"/>
    <row r="571" ht="15.75" customHeight="1" s="51"/>
    <row r="572" ht="15.75" customHeight="1" s="51"/>
    <row r="573" ht="15.75" customHeight="1" s="51"/>
    <row r="574" ht="15.75" customHeight="1" s="51"/>
    <row r="575" ht="15.75" customHeight="1" s="51"/>
    <row r="576" ht="15.75" customHeight="1" s="51"/>
    <row r="577" ht="15.75" customHeight="1" s="51"/>
    <row r="578" ht="15.75" customHeight="1" s="51"/>
    <row r="579" ht="15.75" customHeight="1" s="51"/>
    <row r="580" ht="15.75" customHeight="1" s="51"/>
    <row r="581" ht="15.75" customHeight="1" s="51"/>
    <row r="582" ht="15.75" customHeight="1" s="51"/>
    <row r="583" ht="15.75" customHeight="1" s="51"/>
    <row r="584" ht="15.75" customHeight="1" s="51"/>
    <row r="585" ht="15.75" customHeight="1" s="51"/>
    <row r="586" ht="15.75" customHeight="1" s="51"/>
    <row r="587" ht="15.75" customHeight="1" s="51"/>
    <row r="588" ht="15.75" customHeight="1" s="51"/>
    <row r="589" ht="15.75" customHeight="1" s="51"/>
    <row r="590" ht="15.75" customHeight="1" s="51"/>
    <row r="591" ht="15.75" customHeight="1" s="51"/>
    <row r="592" ht="15.75" customHeight="1" s="51"/>
    <row r="593" ht="15.75" customHeight="1" s="51"/>
    <row r="594" ht="15.75" customHeight="1" s="51"/>
    <row r="595" ht="15.75" customHeight="1" s="51"/>
    <row r="596" ht="15.75" customHeight="1" s="51"/>
    <row r="597" ht="15.75" customHeight="1" s="51"/>
    <row r="598" ht="15.75" customHeight="1" s="51"/>
    <row r="599" ht="15.75" customHeight="1" s="51"/>
    <row r="600" ht="15.75" customHeight="1" s="51"/>
    <row r="601" ht="15.75" customHeight="1" s="51"/>
    <row r="602" ht="15.75" customHeight="1" s="51"/>
    <row r="603" ht="15.75" customHeight="1" s="51"/>
    <row r="604" ht="15.75" customHeight="1" s="51"/>
    <row r="605" ht="15.75" customHeight="1" s="51"/>
    <row r="606" ht="15.75" customHeight="1" s="51"/>
    <row r="607" ht="15.75" customHeight="1" s="51"/>
    <row r="608" ht="15.75" customHeight="1" s="51"/>
    <row r="609" ht="15.75" customHeight="1" s="51"/>
    <row r="610" ht="15.75" customHeight="1" s="51"/>
    <row r="611" ht="15.75" customHeight="1" s="51"/>
    <row r="612" ht="15.75" customHeight="1" s="51"/>
    <row r="613" ht="15.75" customHeight="1" s="51"/>
    <row r="614" ht="15.75" customHeight="1" s="51"/>
    <row r="615" ht="15.75" customHeight="1" s="51"/>
    <row r="616" ht="15.75" customHeight="1" s="51"/>
    <row r="617" ht="15.75" customHeight="1" s="51"/>
    <row r="618" ht="15.75" customHeight="1" s="51"/>
    <row r="619" ht="15.75" customHeight="1" s="51"/>
    <row r="620" ht="15.75" customHeight="1" s="51"/>
    <row r="621" ht="15.75" customHeight="1" s="51"/>
    <row r="622" ht="15.75" customHeight="1" s="51"/>
    <row r="623" ht="15.75" customHeight="1" s="51"/>
    <row r="624" ht="15.75" customHeight="1" s="51"/>
    <row r="625" ht="15.75" customHeight="1" s="51"/>
    <row r="626" ht="15.75" customHeight="1" s="51"/>
    <row r="627" ht="15.75" customHeight="1" s="51"/>
    <row r="628" ht="15.75" customHeight="1" s="51"/>
    <row r="629" ht="15.75" customHeight="1" s="51"/>
    <row r="630" ht="15.75" customHeight="1" s="51"/>
    <row r="631" ht="15.75" customHeight="1" s="51"/>
    <row r="632" ht="15.75" customHeight="1" s="51"/>
    <row r="633" ht="15.75" customHeight="1" s="51"/>
    <row r="634" ht="15.75" customHeight="1" s="51"/>
    <row r="635" ht="15.75" customHeight="1" s="51"/>
    <row r="636" ht="15.75" customHeight="1" s="51"/>
    <row r="637" ht="15.75" customHeight="1" s="51"/>
    <row r="638" ht="15.75" customHeight="1" s="51"/>
    <row r="639" ht="15.75" customHeight="1" s="51"/>
    <row r="640" ht="15.75" customHeight="1" s="51"/>
    <row r="641" ht="15.75" customHeight="1" s="51"/>
    <row r="642" ht="15.75" customHeight="1" s="51"/>
    <row r="643" ht="15.75" customHeight="1" s="51"/>
    <row r="644" ht="15.75" customHeight="1" s="51"/>
    <row r="645" ht="15.75" customHeight="1" s="51"/>
    <row r="646" ht="15.75" customHeight="1" s="51"/>
    <row r="647" ht="15.75" customHeight="1" s="51"/>
    <row r="648" ht="15.75" customHeight="1" s="51"/>
    <row r="649" ht="15.75" customHeight="1" s="51"/>
    <row r="650" ht="15.75" customHeight="1" s="51"/>
    <row r="651" ht="15.75" customHeight="1" s="51"/>
    <row r="652" ht="15.75" customHeight="1" s="51"/>
    <row r="653" ht="15.75" customHeight="1" s="51"/>
    <row r="654" ht="15.75" customHeight="1" s="51"/>
    <row r="655" ht="15.75" customHeight="1" s="51"/>
    <row r="656" ht="15.75" customHeight="1" s="51"/>
    <row r="657" ht="15.75" customHeight="1" s="51"/>
    <row r="658" ht="15.75" customHeight="1" s="51"/>
    <row r="659" ht="15.75" customHeight="1" s="51"/>
    <row r="660" ht="15.75" customHeight="1" s="51"/>
    <row r="661" ht="15.75" customHeight="1" s="51"/>
    <row r="662" ht="15.75" customHeight="1" s="51"/>
    <row r="663" ht="15.75" customHeight="1" s="51"/>
    <row r="664" ht="15.75" customHeight="1" s="51"/>
    <row r="665" ht="15.75" customHeight="1" s="51"/>
    <row r="666" ht="15.75" customHeight="1" s="51"/>
    <row r="667" ht="15.75" customHeight="1" s="51"/>
    <row r="668" ht="15.75" customHeight="1" s="51"/>
    <row r="669" ht="15.75" customHeight="1" s="51"/>
    <row r="670" ht="15.75" customHeight="1" s="51"/>
    <row r="671" ht="15.75" customHeight="1" s="51"/>
    <row r="672" ht="15.75" customHeight="1" s="51"/>
    <row r="673" ht="15.75" customHeight="1" s="51"/>
    <row r="674" ht="15.75" customHeight="1" s="51"/>
    <row r="675" ht="15.75" customHeight="1" s="51"/>
    <row r="676" ht="15.75" customHeight="1" s="51"/>
    <row r="677" ht="15.75" customHeight="1" s="51"/>
    <row r="678" ht="15.75" customHeight="1" s="51"/>
    <row r="679" ht="15.75" customHeight="1" s="51"/>
    <row r="680" ht="15.75" customHeight="1" s="51"/>
    <row r="681" ht="15.75" customHeight="1" s="51"/>
    <row r="682" ht="15.75" customHeight="1" s="51"/>
    <row r="683" ht="15.75" customHeight="1" s="51"/>
    <row r="684" ht="15.75" customHeight="1" s="51"/>
    <row r="685" ht="15.75" customHeight="1" s="51"/>
    <row r="686" ht="15.75" customHeight="1" s="51"/>
    <row r="687" ht="15.75" customHeight="1" s="51"/>
    <row r="688" ht="15.75" customHeight="1" s="51"/>
    <row r="689" ht="15.75" customHeight="1" s="51"/>
    <row r="690" ht="15.75" customHeight="1" s="51"/>
    <row r="691" ht="15.75" customHeight="1" s="51"/>
    <row r="692" ht="15.75" customHeight="1" s="51"/>
    <row r="693" ht="15.75" customHeight="1" s="51"/>
    <row r="694" ht="15.75" customHeight="1" s="51"/>
    <row r="695" ht="15.75" customHeight="1" s="51"/>
    <row r="696" ht="15.75" customHeight="1" s="51"/>
    <row r="697" ht="15.75" customHeight="1" s="51"/>
    <row r="698" ht="15.75" customHeight="1" s="51"/>
    <row r="699" ht="15.75" customHeight="1" s="51"/>
    <row r="700" ht="15.75" customHeight="1" s="51"/>
    <row r="701" ht="15.75" customHeight="1" s="51"/>
    <row r="702" ht="15.75" customHeight="1" s="51"/>
    <row r="703" ht="15.75" customHeight="1" s="51"/>
    <row r="704" ht="15.75" customHeight="1" s="51"/>
    <row r="705" ht="15.75" customHeight="1" s="51"/>
    <row r="706" ht="15.75" customHeight="1" s="51"/>
    <row r="707" ht="15.75" customHeight="1" s="51"/>
    <row r="708" ht="15.75" customHeight="1" s="51"/>
    <row r="709" ht="15.75" customHeight="1" s="51"/>
    <row r="710" ht="15.75" customHeight="1" s="51"/>
    <row r="711" ht="15.75" customHeight="1" s="51"/>
    <row r="712" ht="15.75" customHeight="1" s="51"/>
    <row r="713" ht="15.75" customHeight="1" s="51"/>
    <row r="714" ht="15.75" customHeight="1" s="51"/>
    <row r="715" ht="15.75" customHeight="1" s="51"/>
    <row r="716" ht="15.75" customHeight="1" s="51"/>
    <row r="717" ht="15.75" customHeight="1" s="51"/>
    <row r="718" ht="15.75" customHeight="1" s="51"/>
    <row r="719" ht="15.75" customHeight="1" s="51"/>
    <row r="720" ht="15.75" customHeight="1" s="51"/>
    <row r="721" ht="15.75" customHeight="1" s="51"/>
    <row r="722" ht="15.75" customHeight="1" s="51"/>
    <row r="723" ht="15.75" customHeight="1" s="51"/>
    <row r="724" ht="15.75" customHeight="1" s="51"/>
    <row r="725" ht="15.75" customHeight="1" s="51"/>
    <row r="726" ht="15.75" customHeight="1" s="51"/>
    <row r="727" ht="15.75" customHeight="1" s="51"/>
    <row r="728" ht="15.75" customHeight="1" s="51"/>
    <row r="729" ht="15.75" customHeight="1" s="51"/>
    <row r="730" ht="15.75" customHeight="1" s="51"/>
    <row r="731" ht="15.75" customHeight="1" s="51"/>
    <row r="732" ht="15.75" customHeight="1" s="51"/>
    <row r="733" ht="15.75" customHeight="1" s="51"/>
    <row r="734" ht="15.75" customHeight="1" s="51"/>
    <row r="735" ht="15.75" customHeight="1" s="51"/>
    <row r="736" ht="15.75" customHeight="1" s="51"/>
    <row r="737" ht="15.75" customHeight="1" s="51"/>
    <row r="738" ht="15.75" customHeight="1" s="51"/>
    <row r="739" ht="15.75" customHeight="1" s="51"/>
    <row r="740" ht="15.75" customHeight="1" s="51"/>
    <row r="741" ht="15.75" customHeight="1" s="51"/>
    <row r="742" ht="15.75" customHeight="1" s="51"/>
    <row r="743" ht="15.75" customHeight="1" s="51"/>
    <row r="744" ht="15.75" customHeight="1" s="51"/>
    <row r="745" ht="15.75" customHeight="1" s="51"/>
    <row r="746" ht="15.75" customHeight="1" s="51"/>
    <row r="747" ht="15.75" customHeight="1" s="51"/>
    <row r="748" ht="15.75" customHeight="1" s="51"/>
    <row r="749" ht="15.75" customHeight="1" s="51"/>
    <row r="750" ht="15.75" customHeight="1" s="51"/>
    <row r="751" ht="15.75" customHeight="1" s="51"/>
    <row r="752" ht="15.75" customHeight="1" s="51"/>
    <row r="753" ht="15.75" customHeight="1" s="51"/>
    <row r="754" ht="15.75" customHeight="1" s="51"/>
    <row r="755" ht="15.75" customHeight="1" s="51"/>
    <row r="756" ht="15.75" customHeight="1" s="51"/>
    <row r="757" ht="15.75" customHeight="1" s="51"/>
    <row r="758" ht="15.75" customHeight="1" s="51"/>
    <row r="759" ht="15.75" customHeight="1" s="51"/>
    <row r="760" ht="15.75" customHeight="1" s="51"/>
    <row r="761" ht="15.75" customHeight="1" s="51"/>
    <row r="762" ht="15.75" customHeight="1" s="51"/>
    <row r="763" ht="15.75" customHeight="1" s="51"/>
    <row r="764" ht="15.75" customHeight="1" s="51"/>
    <row r="765" ht="15.75" customHeight="1" s="51"/>
    <row r="766" ht="15.75" customHeight="1" s="51"/>
    <row r="767" ht="15.75" customHeight="1" s="51"/>
    <row r="768" ht="15.75" customHeight="1" s="51"/>
    <row r="769" ht="15.75" customHeight="1" s="51"/>
    <row r="770" ht="15.75" customHeight="1" s="51"/>
    <row r="771" ht="15.75" customHeight="1" s="51"/>
    <row r="772" ht="15.75" customHeight="1" s="51"/>
    <row r="773" ht="15.75" customHeight="1" s="51"/>
    <row r="774" ht="15.75" customHeight="1" s="51"/>
    <row r="775" ht="15.75" customHeight="1" s="51"/>
    <row r="776" ht="15.75" customHeight="1" s="51"/>
    <row r="777" ht="15.75" customHeight="1" s="51"/>
    <row r="778" ht="15.75" customHeight="1" s="51"/>
    <row r="779" ht="15.75" customHeight="1" s="51"/>
    <row r="780" ht="15.75" customHeight="1" s="51"/>
    <row r="781" ht="15.75" customHeight="1" s="51"/>
    <row r="782" ht="15.75" customHeight="1" s="51"/>
    <row r="783" ht="15.75" customHeight="1" s="51"/>
    <row r="784" ht="15.75" customHeight="1" s="51"/>
    <row r="785" ht="15.75" customHeight="1" s="51"/>
    <row r="786" ht="15.75" customHeight="1" s="51"/>
    <row r="787" ht="15.75" customHeight="1" s="51"/>
    <row r="788" ht="15.75" customHeight="1" s="51"/>
    <row r="789" ht="15.75" customHeight="1" s="51"/>
    <row r="790" ht="15.75" customHeight="1" s="51"/>
    <row r="791" ht="15.75" customHeight="1" s="51"/>
    <row r="792" ht="15.75" customHeight="1" s="51"/>
    <row r="793" ht="15.75" customHeight="1" s="51"/>
    <row r="794" ht="15.75" customHeight="1" s="51"/>
    <row r="795" ht="15.75" customHeight="1" s="51"/>
    <row r="796" ht="15.75" customHeight="1" s="51"/>
    <row r="797" ht="15.75" customHeight="1" s="51"/>
    <row r="798" ht="15.75" customHeight="1" s="51"/>
    <row r="799" ht="15.75" customHeight="1" s="51"/>
    <row r="800" ht="15.75" customHeight="1" s="51"/>
    <row r="801" ht="15.75" customHeight="1" s="51"/>
    <row r="802" ht="15.75" customHeight="1" s="51"/>
    <row r="803" ht="15.75" customHeight="1" s="51"/>
    <row r="804" ht="15.75" customHeight="1" s="51"/>
    <row r="805" ht="15.75" customHeight="1" s="51"/>
    <row r="806" ht="15.75" customHeight="1" s="51"/>
    <row r="807" ht="15.75" customHeight="1" s="51"/>
    <row r="808" ht="15.75" customHeight="1" s="51"/>
    <row r="809" ht="15.75" customHeight="1" s="51"/>
    <row r="810" ht="15.75" customHeight="1" s="51"/>
    <row r="811" ht="15.75" customHeight="1" s="51"/>
    <row r="812" ht="15.75" customHeight="1" s="51"/>
    <row r="813" ht="15.75" customHeight="1" s="51"/>
    <row r="814" ht="15.75" customHeight="1" s="51"/>
    <row r="815" ht="15.75" customHeight="1" s="51"/>
    <row r="816" ht="15.75" customHeight="1" s="51"/>
    <row r="817" ht="15.75" customHeight="1" s="51"/>
    <row r="818" ht="15.75" customHeight="1" s="51"/>
    <row r="819" ht="15.75" customHeight="1" s="51"/>
    <row r="820" ht="15.75" customHeight="1" s="51"/>
    <row r="821" ht="15.75" customHeight="1" s="51"/>
    <row r="822" ht="15.75" customHeight="1" s="51"/>
    <row r="823" ht="15.75" customHeight="1" s="51"/>
    <row r="824" ht="15.75" customHeight="1" s="51"/>
    <row r="825" ht="15.75" customHeight="1" s="51"/>
    <row r="826" ht="15.75" customHeight="1" s="51"/>
    <row r="827" ht="15.75" customHeight="1" s="51"/>
    <row r="828" ht="15.75" customHeight="1" s="51"/>
    <row r="829" ht="15.75" customHeight="1" s="51"/>
    <row r="830" ht="15.75" customHeight="1" s="51"/>
    <row r="831" ht="15.75" customHeight="1" s="51"/>
    <row r="832" ht="15.75" customHeight="1" s="51"/>
    <row r="833" ht="15.75" customHeight="1" s="51"/>
    <row r="834" ht="15.75" customHeight="1" s="51"/>
    <row r="835" ht="15.75" customHeight="1" s="51"/>
    <row r="836" ht="15.75" customHeight="1" s="51"/>
    <row r="837" ht="15.75" customHeight="1" s="51"/>
    <row r="838" ht="15.75" customHeight="1" s="51"/>
    <row r="839" ht="15.75" customHeight="1" s="51"/>
    <row r="840" ht="15.75" customHeight="1" s="51"/>
    <row r="841" ht="15.75" customHeight="1" s="51"/>
    <row r="842" ht="15.75" customHeight="1" s="51"/>
    <row r="843" ht="15.75" customHeight="1" s="51"/>
    <row r="844" ht="15.75" customHeight="1" s="51"/>
    <row r="845" ht="15.75" customHeight="1" s="51"/>
    <row r="846" ht="15.75" customHeight="1" s="51"/>
    <row r="847" ht="15.75" customHeight="1" s="51"/>
    <row r="848" ht="15.75" customHeight="1" s="51"/>
    <row r="849" ht="15.75" customHeight="1" s="51"/>
    <row r="850" ht="15.75" customHeight="1" s="51"/>
    <row r="851" ht="15.75" customHeight="1" s="51"/>
    <row r="852" ht="15.75" customHeight="1" s="51"/>
    <row r="853" ht="15.75" customHeight="1" s="51"/>
    <row r="854" ht="15.75" customHeight="1" s="51"/>
    <row r="855" ht="15.75" customHeight="1" s="51"/>
    <row r="856" ht="15.75" customHeight="1" s="51"/>
    <row r="857" ht="15.75" customHeight="1" s="51"/>
    <row r="858" ht="15.75" customHeight="1" s="51"/>
    <row r="859" ht="15.75" customHeight="1" s="51"/>
    <row r="860" ht="15.75" customHeight="1" s="51"/>
    <row r="861" ht="15.75" customHeight="1" s="51"/>
    <row r="862" ht="15.75" customHeight="1" s="51"/>
    <row r="863" ht="15.75" customHeight="1" s="51"/>
    <row r="864" ht="15.75" customHeight="1" s="51"/>
    <row r="865" ht="15.75" customHeight="1" s="51"/>
    <row r="866" ht="15.75" customHeight="1" s="51"/>
    <row r="867" ht="15.75" customHeight="1" s="51"/>
    <row r="868" ht="15.75" customHeight="1" s="51"/>
    <row r="869" ht="15.75" customHeight="1" s="51"/>
    <row r="870" ht="15.75" customHeight="1" s="51"/>
    <row r="871" ht="15.75" customHeight="1" s="51"/>
    <row r="872" ht="15.75" customHeight="1" s="51"/>
    <row r="873" ht="15.75" customHeight="1" s="51"/>
    <row r="874" ht="15.75" customHeight="1" s="51"/>
    <row r="875" ht="15.75" customHeight="1" s="51"/>
    <row r="876" ht="15.75" customHeight="1" s="51"/>
    <row r="877" ht="15.75" customHeight="1" s="51"/>
    <row r="878" ht="15.75" customHeight="1" s="51"/>
    <row r="879" ht="15.75" customHeight="1" s="51"/>
    <row r="880" ht="15.75" customHeight="1" s="51"/>
    <row r="881" ht="15.75" customHeight="1" s="51"/>
    <row r="882" ht="15.75" customHeight="1" s="51"/>
    <row r="883" ht="15.75" customHeight="1" s="51"/>
    <row r="884" ht="15.75" customHeight="1" s="51"/>
    <row r="885" ht="15.75" customHeight="1" s="51"/>
    <row r="886" ht="15.75" customHeight="1" s="51"/>
    <row r="887" ht="15.75" customHeight="1" s="51"/>
    <row r="888" ht="15.75" customHeight="1" s="51"/>
    <row r="889" ht="15.75" customHeight="1" s="51"/>
    <row r="890" ht="15.75" customHeight="1" s="51"/>
    <row r="891" ht="15.75" customHeight="1" s="51"/>
    <row r="892" ht="15.75" customHeight="1" s="51"/>
    <row r="893" ht="15.75" customHeight="1" s="51"/>
    <row r="894" ht="15.75" customHeight="1" s="51"/>
    <row r="895" ht="15.75" customHeight="1" s="51"/>
    <row r="896" ht="15.75" customHeight="1" s="51"/>
    <row r="897" ht="15.75" customHeight="1" s="51"/>
    <row r="898" ht="15.75" customHeight="1" s="51"/>
    <row r="899" ht="15.75" customHeight="1" s="51"/>
    <row r="900" ht="15.75" customHeight="1" s="51"/>
    <row r="901" ht="15.75" customHeight="1" s="51"/>
    <row r="902" ht="15.75" customHeight="1" s="51"/>
    <row r="903" ht="15.75" customHeight="1" s="51"/>
    <row r="904" ht="15.75" customHeight="1" s="51"/>
    <row r="905" ht="15.75" customHeight="1" s="51"/>
    <row r="906" ht="15.75" customHeight="1" s="51"/>
    <row r="907" ht="15.75" customHeight="1" s="51"/>
    <row r="908" ht="15.75" customHeight="1" s="51"/>
    <row r="909" ht="15.75" customHeight="1" s="51"/>
    <row r="910" ht="15.75" customHeight="1" s="51"/>
    <row r="911" ht="15.75" customHeight="1" s="51"/>
    <row r="912" ht="15.75" customHeight="1" s="51"/>
    <row r="913" ht="15.75" customHeight="1" s="51"/>
    <row r="914" ht="15.75" customHeight="1" s="51"/>
    <row r="915" ht="15.75" customHeight="1" s="51"/>
    <row r="916" ht="15.75" customHeight="1" s="51"/>
    <row r="917" ht="15.75" customHeight="1" s="51"/>
    <row r="918" ht="15.75" customHeight="1" s="51"/>
    <row r="919" ht="15.75" customHeight="1" s="51"/>
    <row r="920" ht="15.75" customHeight="1" s="51"/>
    <row r="921" ht="15.75" customHeight="1" s="51"/>
    <row r="922" ht="15.75" customHeight="1" s="51"/>
    <row r="923" ht="15.75" customHeight="1" s="51"/>
    <row r="924" ht="15.75" customHeight="1" s="51"/>
    <row r="925" ht="15.75" customHeight="1" s="51"/>
    <row r="926" ht="15.75" customHeight="1" s="51"/>
    <row r="927" ht="15.75" customHeight="1" s="51"/>
    <row r="928" ht="15.75" customHeight="1" s="51"/>
    <row r="929" ht="15.75" customHeight="1" s="51"/>
    <row r="930" ht="15.75" customHeight="1" s="51"/>
    <row r="931" ht="15.75" customHeight="1" s="51"/>
    <row r="932" ht="15.75" customHeight="1" s="51"/>
    <row r="933" ht="15.75" customHeight="1" s="51"/>
    <row r="934" ht="15.75" customHeight="1" s="51"/>
    <row r="935" ht="15.75" customHeight="1" s="51"/>
    <row r="936" ht="15.75" customHeight="1" s="51"/>
    <row r="937" ht="15.75" customHeight="1" s="51"/>
    <row r="938" ht="15.75" customHeight="1" s="51"/>
    <row r="939" ht="15.75" customHeight="1" s="51"/>
    <row r="940" ht="15.75" customHeight="1" s="51"/>
    <row r="941" ht="15.75" customHeight="1" s="51"/>
    <row r="942" ht="15.75" customHeight="1" s="51"/>
    <row r="943" ht="15.75" customHeight="1" s="51"/>
    <row r="944" ht="15.75" customHeight="1" s="51"/>
    <row r="945" ht="15.75" customHeight="1" s="51"/>
    <row r="946" ht="15.75" customHeight="1" s="51"/>
    <row r="947" ht="15.75" customHeight="1" s="51"/>
    <row r="948" ht="15.75" customHeight="1" s="51"/>
    <row r="949" ht="15.75" customHeight="1" s="51"/>
    <row r="950" ht="15.75" customHeight="1" s="51"/>
    <row r="951" ht="15.75" customHeight="1" s="51"/>
    <row r="952" ht="15.75" customHeight="1" s="51"/>
    <row r="953" ht="15.75" customHeight="1" s="51"/>
    <row r="954" ht="15.75" customHeight="1" s="51"/>
    <row r="955" ht="15.75" customHeight="1" s="51"/>
    <row r="956" ht="15.75" customHeight="1" s="51"/>
    <row r="957" ht="15.75" customHeight="1" s="51"/>
    <row r="958" ht="15.75" customHeight="1" s="51"/>
    <row r="959" ht="15.75" customHeight="1" s="51"/>
    <row r="960" ht="15.75" customHeight="1" s="51"/>
    <row r="961" ht="15.75" customHeight="1" s="51"/>
    <row r="962" ht="15.75" customHeight="1" s="51"/>
    <row r="963" ht="15.75" customHeight="1" s="51"/>
    <row r="964" ht="15.75" customHeight="1" s="51"/>
    <row r="965" ht="15.75" customHeight="1" s="51"/>
    <row r="966" ht="15.75" customHeight="1" s="51"/>
    <row r="967" ht="15.75" customHeight="1" s="51"/>
    <row r="968" ht="15.75" customHeight="1" s="51"/>
    <row r="969" ht="15.75" customHeight="1" s="51"/>
    <row r="970" ht="15.75" customHeight="1" s="51"/>
    <row r="971" ht="15.75" customHeight="1" s="51"/>
    <row r="972" ht="15.75" customHeight="1" s="51"/>
    <row r="973" ht="15.75" customHeight="1" s="51"/>
    <row r="974" ht="15.75" customHeight="1" s="51"/>
    <row r="975" ht="15.75" customHeight="1" s="51"/>
    <row r="976" ht="15.75" customHeight="1" s="51"/>
    <row r="977" ht="15.75" customHeight="1" s="51"/>
    <row r="978" ht="15.75" customHeight="1" s="51"/>
    <row r="979" ht="15.75" customHeight="1" s="51"/>
    <row r="980" ht="15.75" customHeight="1" s="51"/>
    <row r="981" ht="15.75" customHeight="1" s="51"/>
    <row r="982" ht="15.75" customHeight="1" s="51"/>
    <row r="983" ht="15.75" customHeight="1" s="51"/>
    <row r="984" ht="15.75" customHeight="1" s="51"/>
    <row r="985" ht="15.75" customHeight="1" s="51"/>
    <row r="986" ht="15.75" customHeight="1" s="51"/>
    <row r="987" ht="15.75" customHeight="1" s="51"/>
    <row r="988" ht="15.75" customHeight="1" s="51"/>
    <row r="989" ht="15.75" customHeight="1" s="51"/>
    <row r="990" ht="15.75" customHeight="1" s="51"/>
    <row r="991" ht="15.75" customHeight="1" s="51"/>
    <row r="992" ht="15.75" customHeight="1" s="51"/>
    <row r="993" ht="15.75" customHeight="1" s="51"/>
    <row r="994" ht="15.75" customHeight="1" s="51"/>
    <row r="995" ht="15.75" customHeight="1" s="51"/>
    <row r="996" ht="15.75" customHeight="1" s="51"/>
    <row r="997" ht="15.75" customHeight="1" s="51"/>
    <row r="998" ht="15.75" customHeight="1" s="51"/>
    <row r="999" ht="15.75" customHeight="1" s="51"/>
    <row r="1000" ht="15.75" customHeight="1" s="51"/>
  </sheetData>
  <mergeCells count="5">
    <mergeCell ref="A1:G1"/>
    <mergeCell ref="A36:F36"/>
    <mergeCell ref="A2:G2"/>
    <mergeCell ref="A34:F34"/>
    <mergeCell ref="A35:F35"/>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4" customWidth="1" style="51" min="1" max="1"/>
    <col width="46" customWidth="1" style="51" min="2" max="2"/>
    <col width="90" customWidth="1" style="51" min="3" max="3"/>
  </cols>
  <sheetData>
    <row r="1">
      <c r="A1" s="54" t="inlineStr">
        <is>
          <t>OCCC CODE LEGEND</t>
        </is>
      </c>
    </row>
    <row r="2">
      <c r="A2" s="55" t="inlineStr">
        <is>
          <t>Occupancy Classification Codes -- assigned in this workbook from each property's Property Type / Use (Property Master tab). No such code existed in the source documents; rename/remap here if your organization uses a different OCCC scheme.</t>
        </is>
      </c>
    </row>
    <row r="4">
      <c r="A4" s="56" t="inlineStr">
        <is>
          <t>OCCC Code</t>
        </is>
      </c>
      <c r="B4" s="56" t="inlineStr">
        <is>
          <t>Description</t>
        </is>
      </c>
      <c r="C4" s="56" t="inlineStr">
        <is>
          <t>Properties</t>
        </is>
      </c>
    </row>
    <row r="5">
      <c r="A5" s="57" t="inlineStr">
        <is>
          <t>COM-MT</t>
        </is>
      </c>
      <c r="B5" s="57" t="inlineStr">
        <is>
          <t>Commercial (multi-tenant industrial)</t>
        </is>
      </c>
      <c r="C5" s="57" t="inlineStr">
        <is>
          <t>Broadview</t>
        </is>
      </c>
    </row>
    <row r="6">
      <c r="A6" s="57" t="inlineStr">
        <is>
          <t>IND-2U</t>
        </is>
      </c>
      <c r="B6" s="57" t="inlineStr">
        <is>
          <t>Industrial - 2-unit (multi-tenant)</t>
        </is>
      </c>
      <c r="C6" s="57" t="inlineStr">
        <is>
          <t>5970 Marion Drive</t>
        </is>
      </c>
    </row>
    <row r="7">
      <c r="A7" s="57" t="inlineStr">
        <is>
          <t>IND-AMZN</t>
        </is>
      </c>
      <c r="B7" s="57" t="inlineStr">
        <is>
          <t>Industrial - Amazon fulfillment / logistics</t>
        </is>
      </c>
      <c r="C7" s="57" t="inlineStr">
        <is>
          <t>DEN3 - Bull Crossing, DEN7, DEN2 - PR Park 70</t>
        </is>
      </c>
    </row>
    <row r="8">
      <c r="A8" s="57" t="inlineStr">
        <is>
          <t>IND-DIST</t>
        </is>
      </c>
      <c r="B8" s="57" t="inlineStr">
        <is>
          <t>Industrial - Distribution</t>
        </is>
      </c>
      <c r="C8" s="57" t="inlineStr">
        <is>
          <t>(7194) CO-Aurora, 2780 N. Tower Road (parcel 1 of 2), 2780 N. Tower Road (parcel 2 of 2)</t>
        </is>
      </c>
    </row>
    <row r="9">
      <c r="A9" s="57" t="inlineStr">
        <is>
          <t>IND-FLEX</t>
        </is>
      </c>
      <c r="B9" s="57" t="inlineStr">
        <is>
          <t>Industrial / Flex (multi-tenant)</t>
        </is>
      </c>
      <c r="C9" s="57" t="inlineStr">
        <is>
          <t>Washington Business Park</t>
        </is>
      </c>
    </row>
    <row r="10">
      <c r="A10" s="57" t="inlineStr">
        <is>
          <t>IND-MFG</t>
        </is>
      </c>
      <c r="B10" s="57" t="inlineStr">
        <is>
          <t>Industrial - Manufacturing / Food Processing</t>
        </is>
      </c>
      <c r="C10" s="57" t="inlineStr">
        <is>
          <t>TempTee Brand Steaks, TrusTile Doors</t>
        </is>
      </c>
    </row>
    <row r="11">
      <c r="A11" s="57" t="inlineStr">
        <is>
          <t>IND-WH</t>
        </is>
      </c>
      <c r="B11" s="57" t="inlineStr">
        <is>
          <t>Industrial - Warehouse</t>
        </is>
      </c>
      <c r="C11" s="57" t="inlineStr">
        <is>
          <t>7205 Gilpin Way, SGS - Pennsylvania Industrial, 6770 E. 56th Ave, Majestic Commercenter Bldg 12, Lovett 76 Logistics Center, Majestic Commercenter Bldg 11, Denali Building 1, Denali Building 2, Denali Building 3, Broadway Logistics Center, Majestic Commercenter Bldg 15, Majestic Commercenter Bldg 29, Majestic Commercenter Bldg 26, Home Depot Denver, 22100 E 26th Ave (ASB), Majestic Commercenter Bldg 24, Majestic Commercenter Bldg 22, Shamrock Foods</t>
        </is>
      </c>
    </row>
  </sheetData>
  <autoFilter ref="A4:C11"/>
  <mergeCells count="2">
    <mergeCell ref="A1:C1"/>
    <mergeCell ref="A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3"/>
  <sheetViews>
    <sheetView workbookViewId="0">
      <pane xSplit="4" ySplit="4" topLeftCell="E5" activePane="bottomRight" state="frozen"/>
      <selection pane="topRight" activeCell="E1" sqref="E1"/>
      <selection pane="bottomLeft" activeCell="A5" sqref="A5"/>
      <selection pane="bottomRight" activeCell="E5" sqref="E5"/>
    </sheetView>
  </sheetViews>
  <sheetFormatPr baseColWidth="8" defaultColWidth="14.43" defaultRowHeight="15" customHeight="1"/>
  <cols>
    <col width="12" customWidth="1" style="51" min="1" max="1"/>
    <col width="18" customWidth="1" style="51" min="2" max="3"/>
    <col width="38.43" customWidth="1" style="51" min="4" max="4"/>
    <col width="22" customWidth="1" style="51" min="5" max="5"/>
    <col width="10" customWidth="1" style="51" min="6" max="6"/>
    <col width="5" customWidth="1" style="51" min="7" max="7"/>
    <col width="13" customWidth="1" style="51" min="8" max="8"/>
    <col width="9" customWidth="1" style="51" min="9" max="9"/>
    <col width="26" customWidth="1" style="51" min="10" max="12"/>
    <col width="16" customWidth="1" style="51" min="13" max="13"/>
    <col width="11" customWidth="1" style="51" min="14" max="16"/>
    <col width="12" customWidth="1" style="51" min="17" max="17"/>
    <col width="10" customWidth="1" style="51" min="18" max="19"/>
    <col width="18" customWidth="1" style="51" min="20" max="21"/>
    <col width="14" customWidth="1" style="51" min="22" max="22"/>
    <col width="18" customWidth="1" style="51" min="23" max="23"/>
    <col width="22" customWidth="1" style="51" min="24" max="24"/>
    <col width="26" customWidth="1" style="51" min="25" max="25"/>
    <col width="9" customWidth="1" style="51" min="26" max="26"/>
    <col width="12" customWidth="1" style="51" min="27" max="27"/>
  </cols>
  <sheetData>
    <row r="1" ht="25.5" customHeight="1" s="51">
      <c r="A1" s="52" t="inlineStr">
        <is>
          <t>PROPERTY MASTER</t>
        </is>
      </c>
    </row>
    <row r="2" ht="13.5" customHeight="1" s="51">
      <c r="A2" s="53" t="inlineStr">
        <is>
          <t>One row per subject property — identity, physical characteristics &amp; valuation summary</t>
        </is>
      </c>
    </row>
    <row r="4" ht="42" customHeight="1" s="51">
      <c r="A4" s="6" t="inlineStr">
        <is>
          <t>Property ID</t>
        </is>
      </c>
      <c r="B4" s="6" t="inlineStr">
        <is>
          <t>Account / Schedule #</t>
        </is>
      </c>
      <c r="C4" s="6" t="inlineStr">
        <is>
          <t>Parcel / Alt #</t>
        </is>
      </c>
      <c r="D4" s="6" t="inlineStr">
        <is>
          <t>Property Name</t>
        </is>
      </c>
      <c r="E4" s="6" t="inlineStr">
        <is>
          <t>Address</t>
        </is>
      </c>
      <c r="F4" s="6" t="inlineStr">
        <is>
          <t>City</t>
        </is>
      </c>
      <c r="G4" s="6" t="inlineStr">
        <is>
          <t>ST</t>
        </is>
      </c>
      <c r="H4" s="6" t="inlineStr">
        <is>
          <t>ZIP</t>
        </is>
      </c>
      <c r="I4" s="6" t="inlineStr">
        <is>
          <t>County</t>
        </is>
      </c>
      <c r="J4" s="6" t="inlineStr">
        <is>
          <t>Owner / Client</t>
        </is>
      </c>
      <c r="K4" s="6" t="inlineStr">
        <is>
          <t>Assessee (Tax Roll)</t>
        </is>
      </c>
      <c r="L4" s="6" t="inlineStr">
        <is>
          <t>Property Type / Use</t>
        </is>
      </c>
      <c r="M4" s="6" t="inlineStr">
        <is>
          <t>Tenancy</t>
        </is>
      </c>
      <c r="N4" s="6" t="inlineStr">
        <is>
          <t>Site (Acres)</t>
        </is>
      </c>
      <c r="O4" s="6" t="inlineStr">
        <is>
          <t>Site (SF)</t>
        </is>
      </c>
      <c r="P4" s="6" t="inlineStr">
        <is>
          <t>GBA (SF)</t>
        </is>
      </c>
      <c r="Q4" s="6" t="inlineStr">
        <is>
          <t>NRA / NLA (SF)</t>
        </is>
      </c>
      <c r="R4" s="6" t="inlineStr">
        <is>
          <t>Year Built</t>
        </is>
      </c>
      <c r="S4" s="6" t="inlineStr">
        <is>
          <t>Land:Bldg</t>
        </is>
      </c>
      <c r="T4" s="6" t="inlineStr">
        <is>
          <t>Occupancy</t>
        </is>
      </c>
      <c r="U4" s="6" t="inlineStr">
        <is>
          <t>Latest Assessor / County Value</t>
        </is>
      </c>
      <c r="V4" s="6" t="inlineStr">
        <is>
          <t>Assessment/Tax Yr</t>
        </is>
      </c>
      <c r="W4" s="6" t="inlineStr">
        <is>
          <t>Taxpayer / Petitioner Opinion</t>
        </is>
      </c>
      <c r="X4" s="6" t="inlineStr">
        <is>
          <t>Managed By</t>
        </is>
      </c>
      <c r="Y4" s="6" t="inlineStr">
        <is>
          <t>Source File</t>
        </is>
      </c>
      <c r="Z4" s="9" t="inlineStr">
        <is>
          <t>Batch</t>
        </is>
      </c>
      <c r="AA4" s="9" t="inlineStr">
        <is>
          <t>OCCC Code</t>
        </is>
      </c>
    </row>
    <row r="5">
      <c r="A5" s="12" t="inlineStr">
        <is>
          <t>R0178308</t>
        </is>
      </c>
      <c r="B5" s="12" t="inlineStr">
        <is>
          <t>R0178308</t>
        </is>
      </c>
      <c r="C5" s="12" t="inlineStr">
        <is>
          <t>R0178308</t>
        </is>
      </c>
      <c r="D5" s="12" t="inlineStr">
        <is>
          <t>7205 Gilpin Way</t>
        </is>
      </c>
      <c r="E5" s="12" t="inlineStr">
        <is>
          <t>7205 Gilpin Way</t>
        </is>
      </c>
      <c r="F5" s="12" t="inlineStr">
        <is>
          <t>Denver</t>
        </is>
      </c>
      <c r="G5" s="11" t="inlineStr">
        <is>
          <t>CO</t>
        </is>
      </c>
      <c r="H5" s="12" t="inlineStr">
        <is>
          <t>80229</t>
        </is>
      </c>
      <c r="I5" s="12" t="inlineStr">
        <is>
          <t>Adams</t>
        </is>
      </c>
      <c r="J5" s="12" t="inlineStr">
        <is>
          <t>Center Land Properties</t>
        </is>
      </c>
      <c r="K5" s="12" t="inlineStr">
        <is>
          <t>North Side Gardens LLC</t>
        </is>
      </c>
      <c r="L5" s="12" t="inlineStr">
        <is>
          <t>Industrial - Warehouse</t>
        </is>
      </c>
      <c r="M5" s="12" t="inlineStr">
        <is>
          <t>Single (proforma)</t>
        </is>
      </c>
      <c r="N5" s="16" t="n">
        <v>3.33</v>
      </c>
      <c r="O5" s="16" t="n">
        <v>145055</v>
      </c>
      <c r="P5" s="12" t="n"/>
      <c r="Q5" s="16" t="n">
        <v>34228</v>
      </c>
      <c r="R5" s="12" t="n">
        <v>2013</v>
      </c>
      <c r="S5" s="12" t="inlineStr">
        <is>
          <t>4.24:1</t>
        </is>
      </c>
      <c r="T5" s="12" t="inlineStr">
        <is>
          <t>100% (proforma)</t>
        </is>
      </c>
      <c r="U5" s="14" t="n">
        <v>5150325</v>
      </c>
      <c r="V5" s="11" t="inlineStr">
        <is>
          <t>2025</t>
        </is>
      </c>
      <c r="W5" s="14" t="n">
        <v>4832500</v>
      </c>
      <c r="X5" s="12" t="inlineStr">
        <is>
          <t>—</t>
        </is>
      </c>
      <c r="Y5" s="12" t="inlineStr">
        <is>
          <t>R0178308.pdf</t>
        </is>
      </c>
      <c r="AA5" t="inlineStr">
        <is>
          <t>IND-WH</t>
        </is>
      </c>
    </row>
    <row r="6">
      <c r="A6" s="12" t="inlineStr">
        <is>
          <t>R0169133</t>
        </is>
      </c>
      <c r="B6" s="12" t="inlineStr">
        <is>
          <t>R0169133</t>
        </is>
      </c>
      <c r="C6" s="12" t="inlineStr">
        <is>
          <t>R0169133</t>
        </is>
      </c>
      <c r="D6" s="12" t="inlineStr">
        <is>
          <t>(7194) CO-Aurora</t>
        </is>
      </c>
      <c r="E6" s="12" t="inlineStr">
        <is>
          <t>17608 E. 24th Drive</t>
        </is>
      </c>
      <c r="F6" s="12" t="inlineStr">
        <is>
          <t>Aurora</t>
        </is>
      </c>
      <c r="G6" s="11" t="inlineStr">
        <is>
          <t>CO</t>
        </is>
      </c>
      <c r="H6" s="12" t="inlineStr">
        <is>
          <t>80011</t>
        </is>
      </c>
      <c r="I6" s="12" t="inlineStr">
        <is>
          <t>Adams</t>
        </is>
      </c>
      <c r="J6" s="12" t="inlineStr">
        <is>
          <t>ABC Supply Co., Inc.</t>
        </is>
      </c>
      <c r="K6" s="12" t="inlineStr">
        <is>
          <t>ABC Supply Co., Inc.</t>
        </is>
      </c>
      <c r="L6" s="12" t="inlineStr">
        <is>
          <t>Industrial - Distribution</t>
        </is>
      </c>
      <c r="M6" s="12" t="inlineStr">
        <is>
          <t>Single (proforma)</t>
        </is>
      </c>
      <c r="N6" s="16" t="n">
        <v>3.4</v>
      </c>
      <c r="O6" s="16" t="n">
        <v>148104</v>
      </c>
      <c r="P6" s="12" t="n"/>
      <c r="Q6" s="16" t="n">
        <v>20910</v>
      </c>
      <c r="R6" s="12" t="n">
        <v>2006</v>
      </c>
      <c r="S6" s="12" t="inlineStr">
        <is>
          <t>7.08:1</t>
        </is>
      </c>
      <c r="T6" s="12" t="inlineStr">
        <is>
          <t>(as of 06/30/2024)</t>
        </is>
      </c>
      <c r="U6" s="14" t="n">
        <v>3408546</v>
      </c>
      <c r="V6" s="11" t="inlineStr">
        <is>
          <t>2025</t>
        </is>
      </c>
      <c r="W6" s="14" t="n">
        <v>3050000</v>
      </c>
      <c r="X6" s="12" t="inlineStr">
        <is>
          <t>—</t>
        </is>
      </c>
      <c r="Y6" s="12" t="inlineStr">
        <is>
          <t>R0169133.pdf</t>
        </is>
      </c>
      <c r="AA6" t="inlineStr">
        <is>
          <t>IND-DIST</t>
        </is>
      </c>
    </row>
    <row r="7">
      <c r="A7" s="12" t="inlineStr">
        <is>
          <t>R0103792</t>
        </is>
      </c>
      <c r="B7" s="12" t="inlineStr">
        <is>
          <t>R0103792</t>
        </is>
      </c>
      <c r="C7" s="12" t="inlineStr">
        <is>
          <t>0182511406001</t>
        </is>
      </c>
      <c r="D7" s="12" t="inlineStr">
        <is>
          <t>TempTee Brand Steaks</t>
        </is>
      </c>
      <c r="E7" s="12" t="inlineStr">
        <is>
          <t>2011 E 58th Ave</t>
        </is>
      </c>
      <c r="F7" s="12" t="inlineStr">
        <is>
          <t>Denver</t>
        </is>
      </c>
      <c r="G7" s="11" t="inlineStr">
        <is>
          <t>CO</t>
        </is>
      </c>
      <c r="H7" s="12" t="inlineStr">
        <is>
          <t>80216-1517</t>
        </is>
      </c>
      <c r="I7" s="12" t="inlineStr">
        <is>
          <t>Adams</t>
        </is>
      </c>
      <c r="J7" s="12" t="inlineStr">
        <is>
          <t>TempTee Brand Steaks Inc</t>
        </is>
      </c>
      <c r="K7" s="12" t="inlineStr">
        <is>
          <t>TempTee Brand Steaks Inc</t>
        </is>
      </c>
      <c r="L7" s="12" t="inlineStr">
        <is>
          <t>Industrial - Mfg / Food Processing</t>
        </is>
      </c>
      <c r="M7" s="12" t="inlineStr">
        <is>
          <t>Owner-occupied</t>
        </is>
      </c>
      <c r="N7" s="12" t="n"/>
      <c r="O7" s="12" t="n"/>
      <c r="P7" s="12" t="n"/>
      <c r="Q7" s="16" t="n">
        <v>17000</v>
      </c>
      <c r="R7" s="12" t="n"/>
      <c r="S7" s="12" t="inlineStr">
        <is>
          <t>—</t>
        </is>
      </c>
      <c r="T7" s="12" t="inlineStr">
        <is>
          <t>100% Owner-Occupied</t>
        </is>
      </c>
      <c r="U7" s="12" t="n"/>
      <c r="V7" s="11" t="inlineStr">
        <is>
          <t>2025</t>
        </is>
      </c>
      <c r="W7" s="12" t="inlineStr">
        <is>
          <t>—</t>
        </is>
      </c>
      <c r="X7" s="12" t="inlineStr">
        <is>
          <t>—</t>
        </is>
      </c>
      <c r="Y7" s="12" t="inlineStr">
        <is>
          <t>R0103792.pdf</t>
        </is>
      </c>
      <c r="AA7" t="inlineStr">
        <is>
          <t>IND-MFG</t>
        </is>
      </c>
    </row>
    <row r="8">
      <c r="A8" s="12" t="inlineStr">
        <is>
          <t>5970 Marion</t>
        </is>
      </c>
      <c r="B8" s="12" t="inlineStr">
        <is>
          <t>(none)</t>
        </is>
      </c>
      <c r="C8" s="12" t="inlineStr">
        <is>
          <t>0182511303018</t>
        </is>
      </c>
      <c r="D8" s="12" t="inlineStr">
        <is>
          <t>5970 Marion Drive</t>
        </is>
      </c>
      <c r="E8" s="12" t="inlineStr">
        <is>
          <t>5970 Marion Drive</t>
        </is>
      </c>
      <c r="F8" s="12" t="inlineStr">
        <is>
          <t>Denver</t>
        </is>
      </c>
      <c r="G8" s="11" t="inlineStr">
        <is>
          <t>CO</t>
        </is>
      </c>
      <c r="H8" s="12" t="inlineStr">
        <is>
          <t>80216 (est.)</t>
        </is>
      </c>
      <c r="I8" s="12" t="inlineStr">
        <is>
          <t>Adams</t>
        </is>
      </c>
      <c r="J8" s="12" t="inlineStr">
        <is>
          <t>Ankur Kumar (owner)</t>
        </is>
      </c>
      <c r="K8" s="12" t="inlineStr">
        <is>
          <t>—</t>
        </is>
      </c>
      <c r="L8" s="12" t="inlineStr">
        <is>
          <t>Industrial - 2-unit</t>
        </is>
      </c>
      <c r="M8" s="12" t="inlineStr">
        <is>
          <t>Multi (2 units)</t>
        </is>
      </c>
      <c r="N8" s="12" t="n"/>
      <c r="O8" s="12" t="n"/>
      <c r="P8" s="12" t="n"/>
      <c r="Q8" s="16" t="n">
        <v>14400</v>
      </c>
      <c r="R8" s="12" t="n"/>
      <c r="S8" s="12" t="inlineStr">
        <is>
          <t>—</t>
        </is>
      </c>
      <c r="T8" s="12" t="inlineStr">
        <is>
          <t>100% (2 units leased)</t>
        </is>
      </c>
      <c r="U8" s="14" t="n">
        <v>2527915</v>
      </c>
      <c r="V8" s="11" t="inlineStr">
        <is>
          <t>2025 (assigned)</t>
        </is>
      </c>
      <c r="W8" s="12" t="inlineStr">
        <is>
          <t>—</t>
        </is>
      </c>
      <c r="X8" s="12" t="inlineStr">
        <is>
          <t>Deerwoods Management LLC</t>
        </is>
      </c>
      <c r="Y8" s="12" t="inlineStr">
        <is>
          <t>5970 Marion P&amp;L/CF/xlsx</t>
        </is>
      </c>
      <c r="AA8" t="inlineStr">
        <is>
          <t>IND-2U</t>
        </is>
      </c>
    </row>
    <row r="9">
      <c r="A9" s="12" t="inlineStr">
        <is>
          <t>R0103767</t>
        </is>
      </c>
      <c r="B9" s="12" t="inlineStr">
        <is>
          <t>R0103767</t>
        </is>
      </c>
      <c r="C9" s="12" t="inlineStr">
        <is>
          <t>R0103767</t>
        </is>
      </c>
      <c r="D9" s="12" t="inlineStr">
        <is>
          <t>Washington Business Park</t>
        </is>
      </c>
      <c r="E9" s="12" t="inlineStr">
        <is>
          <t>5650 Washington St</t>
        </is>
      </c>
      <c r="F9" s="12" t="inlineStr">
        <is>
          <t>Denver</t>
        </is>
      </c>
      <c r="G9" s="11" t="inlineStr">
        <is>
          <t>CO</t>
        </is>
      </c>
      <c r="H9" s="12" t="inlineStr">
        <is>
          <t>80216 (est.)</t>
        </is>
      </c>
      <c r="I9" s="12" t="inlineStr">
        <is>
          <t>Adams</t>
        </is>
      </c>
      <c r="J9" s="12" t="inlineStr">
        <is>
          <t>Washington Business Park Property LLC</t>
        </is>
      </c>
      <c r="K9" s="12" t="inlineStr">
        <is>
          <t>Washington Business Park Property LLC</t>
        </is>
      </c>
      <c r="L9" s="12" t="inlineStr">
        <is>
          <t>Industrial / Flex (multi-tenant)</t>
        </is>
      </c>
      <c r="M9" s="12" t="inlineStr">
        <is>
          <t>Multi-tenant</t>
        </is>
      </c>
      <c r="N9" s="16" t="n">
        <v>2.31</v>
      </c>
      <c r="O9" s="16" t="n">
        <v>100754</v>
      </c>
      <c r="P9" s="16" t="n">
        <v>35577</v>
      </c>
      <c r="Q9" s="16" t="n">
        <v>34442</v>
      </c>
      <c r="R9" s="12" t="n">
        <v>1988</v>
      </c>
      <c r="S9" s="12" t="inlineStr">
        <is>
          <t>2.83:1</t>
        </is>
      </c>
      <c r="T9" s="12" t="inlineStr">
        <is>
          <t>Multi-tenant (7% vac. assumed)</t>
        </is>
      </c>
      <c r="U9" s="12" t="n"/>
      <c r="V9" s="11" t="inlineStr">
        <is>
          <t>2025</t>
        </is>
      </c>
      <c r="W9" s="12" t="inlineStr">
        <is>
          <t>See appraisal (value in embedded image)</t>
        </is>
      </c>
      <c r="X9" s="12" t="inlineStr">
        <is>
          <t>Owner: Bryan Sperry</t>
        </is>
      </c>
      <c r="Y9" s="12" t="inlineStr">
        <is>
          <t>5650_Washington_St.docx</t>
        </is>
      </c>
      <c r="AA9" t="inlineStr">
        <is>
          <t>IND-FLEX</t>
        </is>
      </c>
    </row>
    <row r="10">
      <c r="A10" s="12" t="inlineStr">
        <is>
          <t>R0024442</t>
        </is>
      </c>
      <c r="B10" s="12" t="inlineStr">
        <is>
          <t>R0024442</t>
        </is>
      </c>
      <c r="C10" s="12" t="inlineStr">
        <is>
          <t>R0024442</t>
        </is>
      </c>
      <c r="D10" s="12" t="inlineStr">
        <is>
          <t>SGS - Pennsylvania Industrial</t>
        </is>
      </c>
      <c r="E10" s="12" t="inlineStr">
        <is>
          <t>12260 Pennsylvania St</t>
        </is>
      </c>
      <c r="F10" s="12" t="inlineStr">
        <is>
          <t>Thornton</t>
        </is>
      </c>
      <c r="G10" s="11" t="inlineStr">
        <is>
          <t>CO</t>
        </is>
      </c>
      <c r="H10" s="12" t="inlineStr">
        <is>
          <t>80241 (est.)</t>
        </is>
      </c>
      <c r="I10" s="12" t="inlineStr">
        <is>
          <t>Adams</t>
        </is>
      </c>
      <c r="J10" s="12" t="inlineStr">
        <is>
          <t>Trinity Real Estate</t>
        </is>
      </c>
      <c r="K10" s="12" t="inlineStr">
        <is>
          <t>Snyder Family Trust Et Al</t>
        </is>
      </c>
      <c r="L10" s="12" t="inlineStr">
        <is>
          <t>Industrial - Warehouse</t>
        </is>
      </c>
      <c r="M10" s="12" t="inlineStr">
        <is>
          <t>Single-tenant</t>
        </is>
      </c>
      <c r="N10" s="16" t="n">
        <v>1</v>
      </c>
      <c r="O10" s="12" t="n"/>
      <c r="P10" s="12" t="n"/>
      <c r="Q10" s="16" t="n">
        <v>23729</v>
      </c>
      <c r="R10" s="12" t="n">
        <v>1984</v>
      </c>
      <c r="S10" s="12" t="inlineStr">
        <is>
          <t>—</t>
        </is>
      </c>
      <c r="T10" s="12" t="inlineStr">
        <is>
          <t>(leased; rent $9.50/sf NNN 1/1/24)</t>
        </is>
      </c>
      <c r="U10" s="14" t="n">
        <v>3876387</v>
      </c>
      <c r="V10" s="11" t="inlineStr">
        <is>
          <t>2025</t>
        </is>
      </c>
      <c r="W10" s="14" t="n">
        <v>2837000</v>
      </c>
      <c r="X10" s="12" t="inlineStr">
        <is>
          <t>—</t>
        </is>
      </c>
      <c r="Y10" s="12" t="inlineStr">
        <is>
          <t>R0024442.pdf</t>
        </is>
      </c>
      <c r="AA10" t="inlineStr">
        <is>
          <t>IND-WH</t>
        </is>
      </c>
    </row>
    <row r="11">
      <c r="A11" s="12" t="inlineStr">
        <is>
          <t>R0002819</t>
        </is>
      </c>
      <c r="B11" s="12" t="inlineStr">
        <is>
          <t>R0002819</t>
        </is>
      </c>
      <c r="C11" s="12" t="inlineStr">
        <is>
          <t>01569-06-3-13-002</t>
        </is>
      </c>
      <c r="D11" s="12" t="inlineStr">
        <is>
          <t>Broadview</t>
        </is>
      </c>
      <c r="E11" s="12" t="inlineStr">
        <is>
          <t>125 Bridge St</t>
        </is>
      </c>
      <c r="F11" s="12" t="inlineStr">
        <is>
          <t>Brighton</t>
        </is>
      </c>
      <c r="G11" s="11" t="inlineStr">
        <is>
          <t>CO</t>
        </is>
      </c>
      <c r="H11" s="12" t="inlineStr">
        <is>
          <t>80602</t>
        </is>
      </c>
      <c r="I11" s="12" t="inlineStr">
        <is>
          <t>Adams</t>
        </is>
      </c>
      <c r="J11" s="12" t="inlineStr">
        <is>
          <t>Broadview LLC</t>
        </is>
      </c>
      <c r="K11" s="12" t="inlineStr">
        <is>
          <t>Broadview LLC</t>
        </is>
      </c>
      <c r="L11" s="12" t="inlineStr">
        <is>
          <t>Commercial (multi-tenant industrial)</t>
        </is>
      </c>
      <c r="M11" s="12" t="inlineStr">
        <is>
          <t>Multi-tenant</t>
        </is>
      </c>
      <c r="N11" s="12" t="n"/>
      <c r="O11" s="12" t="n"/>
      <c r="P11" s="12" t="n"/>
      <c r="Q11" s="12" t="n"/>
      <c r="R11" s="12" t="n"/>
      <c r="S11" s="12" t="inlineStr">
        <is>
          <t>—</t>
        </is>
      </c>
      <c r="T11" s="12" t="inlineStr">
        <is>
          <t>Mostly leased (1-2 units vacant)</t>
        </is>
      </c>
      <c r="U11" s="12" t="n"/>
      <c r="V11" s="11" t="inlineStr">
        <is>
          <t>—</t>
        </is>
      </c>
      <c r="W11" s="12" t="inlineStr">
        <is>
          <t>—</t>
        </is>
      </c>
      <c r="X11" s="12" t="inlineStr">
        <is>
          <t>—</t>
        </is>
      </c>
      <c r="Y11" s="12" t="inlineStr">
        <is>
          <t>R0002819.pdf</t>
        </is>
      </c>
      <c r="AA11" t="inlineStr">
        <is>
          <t>COM-MT</t>
        </is>
      </c>
    </row>
    <row r="12">
      <c r="A12" s="12" t="inlineStr">
        <is>
          <t>R0092302</t>
        </is>
      </c>
      <c r="B12" s="12" t="inlineStr">
        <is>
          <t>R0092302</t>
        </is>
      </c>
      <c r="C12" s="12" t="inlineStr">
        <is>
          <t>R0092302</t>
        </is>
      </c>
      <c r="D12" s="12" t="inlineStr">
        <is>
          <t>6770 E. 56th Ave</t>
        </is>
      </c>
      <c r="E12" s="12" t="inlineStr">
        <is>
          <t>6770 E. 56th Ave</t>
        </is>
      </c>
      <c r="F12" s="12" t="inlineStr">
        <is>
          <t>Aurora</t>
        </is>
      </c>
      <c r="G12" s="11" t="inlineStr">
        <is>
          <t>CO</t>
        </is>
      </c>
      <c r="H12" s="12" t="inlineStr">
        <is>
          <t>80022 (est.)</t>
        </is>
      </c>
      <c r="I12" s="12" t="inlineStr">
        <is>
          <t>Adams</t>
        </is>
      </c>
      <c r="J12" s="12" t="inlineStr">
        <is>
          <t>56th Ave. J Investments LLC et al</t>
        </is>
      </c>
      <c r="K12" s="12" t="inlineStr">
        <is>
          <t>56th Ave. J Investments LLC et al</t>
        </is>
      </c>
      <c r="L12" s="12" t="inlineStr">
        <is>
          <t>Industrial - Warehouse</t>
        </is>
      </c>
      <c r="M12" s="12" t="inlineStr">
        <is>
          <t>Single-tenant</t>
        </is>
      </c>
      <c r="N12" s="12" t="n"/>
      <c r="O12" s="16" t="n">
        <v>29620</v>
      </c>
      <c r="P12" s="16" t="n">
        <v>9652</v>
      </c>
      <c r="Q12" s="16" t="n">
        <v>9652</v>
      </c>
      <c r="R12" s="12" t="n">
        <v>1973</v>
      </c>
      <c r="S12" s="12" t="inlineStr">
        <is>
          <t>3.0:1</t>
        </is>
      </c>
      <c r="T12" s="12" t="inlineStr">
        <is>
          <t>95% (proforma)</t>
        </is>
      </c>
      <c r="U12" s="14" t="n">
        <v>1815434</v>
      </c>
      <c r="V12" s="11" t="inlineStr">
        <is>
          <t>2026</t>
        </is>
      </c>
      <c r="W12" s="14" t="n">
        <v>1493032</v>
      </c>
      <c r="X12" s="12" t="inlineStr">
        <is>
          <t>—</t>
        </is>
      </c>
      <c r="Y12" s="12" t="inlineStr">
        <is>
          <t>R0092302.pdf</t>
        </is>
      </c>
      <c r="AA12" t="inlineStr">
        <is>
          <t>IND-WH</t>
        </is>
      </c>
    </row>
    <row r="13">
      <c r="A13" s="17" t="inlineStr">
        <is>
          <t>R0218284</t>
        </is>
      </c>
      <c r="B13" s="17" t="inlineStr">
        <is>
          <t>R0218284</t>
        </is>
      </c>
      <c r="C13" s="17" t="inlineStr">
        <is>
          <t>R0218284</t>
        </is>
      </c>
      <c r="D13" s="17" t="inlineStr">
        <is>
          <t>Majestic Commercenter Bldg 12</t>
        </is>
      </c>
      <c r="E13" s="17" t="inlineStr">
        <is>
          <t>20600 E. 35th Drive</t>
        </is>
      </c>
      <c r="F13" s="17" t="inlineStr">
        <is>
          <t>Denver</t>
        </is>
      </c>
      <c r="G13" s="17" t="inlineStr">
        <is>
          <t>CO</t>
        </is>
      </c>
      <c r="H13" s="17" t="inlineStr">
        <is>
          <t>80238 (est.)</t>
        </is>
      </c>
      <c r="I13" s="17" t="inlineStr">
        <is>
          <t>Adams</t>
        </is>
      </c>
      <c r="J13" s="17" t="inlineStr">
        <is>
          <t>Majestic Realty Co. (Maj Commercenter Ph 1)</t>
        </is>
      </c>
      <c r="K13" s="17" t="inlineStr">
        <is>
          <t>—</t>
        </is>
      </c>
      <c r="L13" s="17" t="inlineStr">
        <is>
          <t>Industrial - Warehouse</t>
        </is>
      </c>
      <c r="M13" s="17" t="inlineStr">
        <is>
          <t>Multi-tenant (proforma)</t>
        </is>
      </c>
      <c r="N13" s="17" t="n"/>
      <c r="O13" s="17" t="n"/>
      <c r="P13" s="30" t="n">
        <v>461580</v>
      </c>
      <c r="Q13" s="30" t="n">
        <v>461580</v>
      </c>
      <c r="R13" s="17" t="n">
        <v>2023</v>
      </c>
      <c r="S13" s="17" t="inlineStr">
        <is>
          <t>—</t>
        </is>
      </c>
      <c r="T13" s="17" t="inlineStr">
        <is>
          <t>0% (100% vacant at DOV)</t>
        </is>
      </c>
      <c r="U13" s="17" t="n"/>
      <c r="V13" s="17" t="inlineStr">
        <is>
          <t>2026</t>
        </is>
      </c>
      <c r="W13" s="19" t="n">
        <v>23875600</v>
      </c>
      <c r="X13" s="17" t="inlineStr">
        <is>
          <t>—</t>
        </is>
      </c>
      <c r="Y13" s="17" t="inlineStr">
        <is>
          <t>R0218284.pdf</t>
        </is>
      </c>
      <c r="Z13" s="18" t="inlineStr">
        <is>
          <t>584</t>
        </is>
      </c>
      <c r="AA13" s="18" t="inlineStr">
        <is>
          <t>IND-WH</t>
        </is>
      </c>
    </row>
    <row r="14">
      <c r="A14" s="17" t="inlineStr">
        <is>
          <t>R0213058</t>
        </is>
      </c>
      <c r="B14" s="17" t="inlineStr">
        <is>
          <t>R0213058</t>
        </is>
      </c>
      <c r="C14" s="17" t="inlineStr">
        <is>
          <t>R0213058</t>
        </is>
      </c>
      <c r="D14" s="17" t="inlineStr">
        <is>
          <t>Lovett 76 Logistics Center</t>
        </is>
      </c>
      <c r="E14" s="17" t="inlineStr">
        <is>
          <t>6196 E Bridge St</t>
        </is>
      </c>
      <c r="F14" s="17" t="inlineStr">
        <is>
          <t>Brighton</t>
        </is>
      </c>
      <c r="G14" s="17" t="inlineStr">
        <is>
          <t>CO</t>
        </is>
      </c>
      <c r="H14" s="17" t="inlineStr">
        <is>
          <t>80603</t>
        </is>
      </c>
      <c r="I14" s="17" t="inlineStr">
        <is>
          <t>Adams</t>
        </is>
      </c>
      <c r="J14" s="17" t="inlineStr">
        <is>
          <t>Lovett Industrial, LLC</t>
        </is>
      </c>
      <c r="K14" s="17" t="inlineStr">
        <is>
          <t>Lovett Industrial, LLC</t>
        </is>
      </c>
      <c r="L14" s="17" t="inlineStr">
        <is>
          <t>Industrial - Warehouse</t>
        </is>
      </c>
      <c r="M14" s="17" t="inlineStr">
        <is>
          <t>Single (proforma)</t>
        </is>
      </c>
      <c r="N14" s="31" t="n">
        <v>41.808</v>
      </c>
      <c r="O14" s="30" t="n">
        <v>1821156</v>
      </c>
      <c r="P14" s="30" t="n">
        <v>614010</v>
      </c>
      <c r="Q14" s="30" t="n">
        <v>614010</v>
      </c>
      <c r="R14" s="17" t="n">
        <v>2023</v>
      </c>
      <c r="S14" s="17" t="inlineStr">
        <is>
          <t>2.97:1</t>
        </is>
      </c>
      <c r="T14" s="17" t="inlineStr">
        <is>
          <t>—</t>
        </is>
      </c>
      <c r="U14" s="19" t="n">
        <v>70695025</v>
      </c>
      <c r="V14" s="17" t="inlineStr">
        <is>
          <t>2025</t>
        </is>
      </c>
      <c r="W14" s="19" t="n">
        <v>45408400</v>
      </c>
      <c r="X14" s="17" t="inlineStr">
        <is>
          <t>—</t>
        </is>
      </c>
      <c r="Y14" s="17" t="inlineStr">
        <is>
          <t>R0213058.pdf</t>
        </is>
      </c>
      <c r="Z14" s="18" t="inlineStr">
        <is>
          <t>584</t>
        </is>
      </c>
      <c r="AA14" s="18" t="inlineStr">
        <is>
          <t>IND-WH</t>
        </is>
      </c>
    </row>
    <row r="15">
      <c r="A15" s="17" t="inlineStr">
        <is>
          <t>R0218283</t>
        </is>
      </c>
      <c r="B15" s="17" t="inlineStr">
        <is>
          <t>R0218283</t>
        </is>
      </c>
      <c r="C15" s="17" t="inlineStr">
        <is>
          <t>R0218283</t>
        </is>
      </c>
      <c r="D15" s="17" t="inlineStr">
        <is>
          <t>Majestic Commercenter Bldg 11</t>
        </is>
      </c>
      <c r="E15" s="17" t="inlineStr">
        <is>
          <t>20310 E. 35th Drive</t>
        </is>
      </c>
      <c r="F15" s="17" t="inlineStr">
        <is>
          <t>Denver</t>
        </is>
      </c>
      <c r="G15" s="17" t="inlineStr">
        <is>
          <t>CO</t>
        </is>
      </c>
      <c r="H15" s="17" t="inlineStr">
        <is>
          <t>80238 (est.)</t>
        </is>
      </c>
      <c r="I15" s="17" t="inlineStr">
        <is>
          <t>Adams</t>
        </is>
      </c>
      <c r="J15" s="17" t="inlineStr">
        <is>
          <t>Majestic Realty Co. (Maj Commercenter Ph 1)</t>
        </is>
      </c>
      <c r="K15" s="17" t="inlineStr">
        <is>
          <t>—</t>
        </is>
      </c>
      <c r="L15" s="17" t="inlineStr">
        <is>
          <t>Industrial - Warehouse</t>
        </is>
      </c>
      <c r="M15" s="17" t="inlineStr">
        <is>
          <t>Multi-tenant (proforma)</t>
        </is>
      </c>
      <c r="N15" s="17" t="n"/>
      <c r="O15" s="17" t="n"/>
      <c r="P15" s="30" t="n">
        <v>244920</v>
      </c>
      <c r="Q15" s="30" t="n">
        <v>244920</v>
      </c>
      <c r="R15" s="17" t="n">
        <v>2023</v>
      </c>
      <c r="S15" s="17" t="inlineStr">
        <is>
          <t>—</t>
        </is>
      </c>
      <c r="T15" s="17" t="inlineStr">
        <is>
          <t>0% (100% vacant at DOV)</t>
        </is>
      </c>
      <c r="U15" s="17" t="n"/>
      <c r="V15" s="17" t="inlineStr">
        <is>
          <t>2026</t>
        </is>
      </c>
      <c r="W15" s="19" t="n">
        <v>12668600</v>
      </c>
      <c r="X15" s="17" t="inlineStr">
        <is>
          <t>—</t>
        </is>
      </c>
      <c r="Y15" s="17" t="inlineStr">
        <is>
          <t>R0218283.pdf</t>
        </is>
      </c>
      <c r="Z15" s="18" t="inlineStr">
        <is>
          <t>584</t>
        </is>
      </c>
      <c r="AA15" s="18" t="inlineStr">
        <is>
          <t>IND-WH</t>
        </is>
      </c>
    </row>
    <row r="16">
      <c r="A16" s="17" t="inlineStr">
        <is>
          <t>R0218172</t>
        </is>
      </c>
      <c r="B16" s="17" t="inlineStr">
        <is>
          <t>R0218172</t>
        </is>
      </c>
      <c r="C16" s="17" t="inlineStr">
        <is>
          <t>R0218172</t>
        </is>
      </c>
      <c r="D16" s="17" t="inlineStr">
        <is>
          <t>Denali Building 1</t>
        </is>
      </c>
      <c r="E16" s="17" t="inlineStr">
        <is>
          <t>Denali Buildings 1-3 (Bldg 1)</t>
        </is>
      </c>
      <c r="F16" s="17" t="inlineStr">
        <is>
          <t>Adams County</t>
        </is>
      </c>
      <c r="G16" s="17" t="inlineStr">
        <is>
          <t>CO</t>
        </is>
      </c>
      <c r="H16" s="17" t="inlineStr">
        <is>
          <t>—</t>
        </is>
      </c>
      <c r="I16" s="17" t="inlineStr">
        <is>
          <t>Adams</t>
        </is>
      </c>
      <c r="J16" s="17" t="inlineStr">
        <is>
          <t>—</t>
        </is>
      </c>
      <c r="K16" s="17" t="inlineStr">
        <is>
          <t>—</t>
        </is>
      </c>
      <c r="L16" s="17" t="inlineStr">
        <is>
          <t>Industrial - Warehouse</t>
        </is>
      </c>
      <c r="M16" s="17" t="inlineStr">
        <is>
          <t>Multi-tenant (proforma)</t>
        </is>
      </c>
      <c r="N16" s="17" t="n"/>
      <c r="O16" s="17" t="n"/>
      <c r="P16" s="30" t="n">
        <v>353350</v>
      </c>
      <c r="Q16" s="30" t="n">
        <v>353350</v>
      </c>
      <c r="R16" s="17" t="n">
        <v>2024</v>
      </c>
      <c r="S16" s="17" t="inlineStr">
        <is>
          <t>—</t>
        </is>
      </c>
      <c r="T16" s="17" t="inlineStr">
        <is>
          <t>0% (100% vacant at DOV)</t>
        </is>
      </c>
      <c r="U16" s="19" t="n">
        <v>40319703</v>
      </c>
      <c r="V16" s="17" t="inlineStr">
        <is>
          <t>2025</t>
        </is>
      </c>
      <c r="W16" s="19" t="n">
        <v>16841375</v>
      </c>
      <c r="X16" s="17" t="inlineStr">
        <is>
          <t>—</t>
        </is>
      </c>
      <c r="Y16" s="17" t="inlineStr">
        <is>
          <t>R0218172.pdf</t>
        </is>
      </c>
      <c r="Z16" s="18" t="inlineStr">
        <is>
          <t>584</t>
        </is>
      </c>
      <c r="AA16" s="18" t="inlineStr">
        <is>
          <t>IND-WH</t>
        </is>
      </c>
    </row>
    <row r="17">
      <c r="A17" s="17" t="inlineStr">
        <is>
          <t>R0218173</t>
        </is>
      </c>
      <c r="B17" s="17" t="inlineStr">
        <is>
          <t>R0218173</t>
        </is>
      </c>
      <c r="C17" s="17" t="inlineStr">
        <is>
          <t>R0218173</t>
        </is>
      </c>
      <c r="D17" s="17" t="inlineStr">
        <is>
          <t>Denali Building 2</t>
        </is>
      </c>
      <c r="E17" s="17" t="inlineStr">
        <is>
          <t>Denali Buildings 1-3 (Bldg 2)</t>
        </is>
      </c>
      <c r="F17" s="17" t="inlineStr">
        <is>
          <t>Adams County</t>
        </is>
      </c>
      <c r="G17" s="17" t="inlineStr">
        <is>
          <t>CO</t>
        </is>
      </c>
      <c r="H17" s="17" t="inlineStr">
        <is>
          <t>—</t>
        </is>
      </c>
      <c r="I17" s="17" t="inlineStr">
        <is>
          <t>Adams</t>
        </is>
      </c>
      <c r="J17" s="17" t="inlineStr">
        <is>
          <t>—</t>
        </is>
      </c>
      <c r="K17" s="17" t="inlineStr">
        <is>
          <t>—</t>
        </is>
      </c>
      <c r="L17" s="17" t="inlineStr">
        <is>
          <t>Industrial - Warehouse</t>
        </is>
      </c>
      <c r="M17" s="17" t="inlineStr">
        <is>
          <t>Multi-tenant (proforma)</t>
        </is>
      </c>
      <c r="N17" s="17" t="n"/>
      <c r="O17" s="17" t="n"/>
      <c r="P17" s="30" t="n">
        <v>205800</v>
      </c>
      <c r="Q17" s="30" t="n">
        <v>205800</v>
      </c>
      <c r="R17" s="17" t="n">
        <v>2024</v>
      </c>
      <c r="S17" s="17" t="inlineStr">
        <is>
          <t>—</t>
        </is>
      </c>
      <c r="T17" s="17" t="inlineStr">
        <is>
          <t>0% (100% vacant at DOV)</t>
        </is>
      </c>
      <c r="U17" s="19" t="n">
        <v>22901099</v>
      </c>
      <c r="V17" s="17" t="inlineStr">
        <is>
          <t>2025</t>
        </is>
      </c>
      <c r="W17" s="19" t="n">
        <v>9808844</v>
      </c>
      <c r="X17" s="17" t="inlineStr">
        <is>
          <t>—</t>
        </is>
      </c>
      <c r="Y17" s="17" t="inlineStr">
        <is>
          <t>R0218172.pdf</t>
        </is>
      </c>
      <c r="Z17" s="18" t="inlineStr">
        <is>
          <t>584</t>
        </is>
      </c>
      <c r="AA17" s="18" t="inlineStr">
        <is>
          <t>IND-WH</t>
        </is>
      </c>
    </row>
    <row r="18">
      <c r="A18" s="17" t="inlineStr">
        <is>
          <t>R0218174</t>
        </is>
      </c>
      <c r="B18" s="17" t="inlineStr">
        <is>
          <t>R0218174</t>
        </is>
      </c>
      <c r="C18" s="17" t="inlineStr">
        <is>
          <t>R0218174</t>
        </is>
      </c>
      <c r="D18" s="17" t="inlineStr">
        <is>
          <t>Denali Building 3</t>
        </is>
      </c>
      <c r="E18" s="17" t="inlineStr">
        <is>
          <t>Denali Buildings 1-3 (Bldg 3)</t>
        </is>
      </c>
      <c r="F18" s="17" t="inlineStr">
        <is>
          <t>Adams County</t>
        </is>
      </c>
      <c r="G18" s="17" t="inlineStr">
        <is>
          <t>CO</t>
        </is>
      </c>
      <c r="H18" s="17" t="inlineStr">
        <is>
          <t>—</t>
        </is>
      </c>
      <c r="I18" s="17" t="inlineStr">
        <is>
          <t>Adams</t>
        </is>
      </c>
      <c r="J18" s="17" t="inlineStr">
        <is>
          <t>—</t>
        </is>
      </c>
      <c r="K18" s="17" t="inlineStr">
        <is>
          <t>—</t>
        </is>
      </c>
      <c r="L18" s="17" t="inlineStr">
        <is>
          <t>Industrial - Warehouse</t>
        </is>
      </c>
      <c r="M18" s="17" t="inlineStr">
        <is>
          <t>Multi-tenant (proforma)</t>
        </is>
      </c>
      <c r="N18" s="17" t="n"/>
      <c r="O18" s="17" t="n"/>
      <c r="P18" s="30" t="n">
        <v>201250</v>
      </c>
      <c r="Q18" s="30" t="n">
        <v>201250</v>
      </c>
      <c r="R18" s="17" t="n">
        <v>2024</v>
      </c>
      <c r="S18" s="17" t="inlineStr">
        <is>
          <t>—</t>
        </is>
      </c>
      <c r="T18" s="17" t="inlineStr">
        <is>
          <t>0% (100% vacant at DOV)</t>
        </is>
      </c>
      <c r="U18" s="19" t="n">
        <v>22610267</v>
      </c>
      <c r="V18" s="17" t="inlineStr">
        <is>
          <t>2025</t>
        </is>
      </c>
      <c r="W18" s="19" t="n">
        <v>9591982</v>
      </c>
      <c r="X18" s="17" t="inlineStr">
        <is>
          <t>—</t>
        </is>
      </c>
      <c r="Y18" s="17" t="inlineStr">
        <is>
          <t>R0218172.pdf</t>
        </is>
      </c>
      <c r="Z18" s="18" t="inlineStr">
        <is>
          <t>584</t>
        </is>
      </c>
      <c r="AA18" s="18" t="inlineStr">
        <is>
          <t>IND-WH</t>
        </is>
      </c>
    </row>
    <row r="19">
      <c r="A19" s="17" t="inlineStr">
        <is>
          <t>R0212546</t>
        </is>
      </c>
      <c r="B19" s="17" t="inlineStr">
        <is>
          <t>R0212546</t>
        </is>
      </c>
      <c r="C19" s="17" t="inlineStr">
        <is>
          <t>R0212546</t>
        </is>
      </c>
      <c r="D19" s="17" t="inlineStr">
        <is>
          <t>2780 N. Tower Road (parcel 1 of 2)</t>
        </is>
      </c>
      <c r="E19" s="17" t="inlineStr">
        <is>
          <t>2780 N. Tower Road</t>
        </is>
      </c>
      <c r="F19" s="17" t="inlineStr">
        <is>
          <t>Aurora</t>
        </is>
      </c>
      <c r="G19" s="17" t="inlineStr">
        <is>
          <t>CO</t>
        </is>
      </c>
      <c r="H19" s="17" t="inlineStr">
        <is>
          <t>80019 (est.)</t>
        </is>
      </c>
      <c r="I19" s="17" t="inlineStr">
        <is>
          <t>Adams</t>
        </is>
      </c>
      <c r="J19" s="17" t="inlineStr">
        <is>
          <t>2780 North Tower Road, LLC</t>
        </is>
      </c>
      <c r="K19" s="17" t="inlineStr">
        <is>
          <t>2780 North Tower Road, LLC</t>
        </is>
      </c>
      <c r="L19" s="17" t="inlineStr">
        <is>
          <t>Industrial - Distribution (single tenant)</t>
        </is>
      </c>
      <c r="M19" s="17" t="inlineStr">
        <is>
          <t>Single-tenant</t>
        </is>
      </c>
      <c r="N19" s="17" t="n"/>
      <c r="O19" s="17" t="n"/>
      <c r="P19" s="30" t="n">
        <v>386000</v>
      </c>
      <c r="Q19" s="30" t="n">
        <v>386000</v>
      </c>
      <c r="R19" s="17" t="n">
        <v>1983</v>
      </c>
      <c r="S19" s="17" t="inlineStr">
        <is>
          <t>—</t>
        </is>
      </c>
      <c r="T19" s="17" t="inlineStr">
        <is>
          <t>100%</t>
        </is>
      </c>
      <c r="U19" s="17" t="n"/>
      <c r="V19" s="17" t="inlineStr">
        <is>
          <t>2026</t>
        </is>
      </c>
      <c r="W19" s="19" t="n">
        <v>29030400</v>
      </c>
      <c r="X19" s="17" t="inlineStr">
        <is>
          <t>—</t>
        </is>
      </c>
      <c r="Y19" s="17" t="inlineStr">
        <is>
          <t>R0212546.pdf</t>
        </is>
      </c>
      <c r="Z19" s="18" t="inlineStr">
        <is>
          <t>584</t>
        </is>
      </c>
      <c r="AA19" s="18" t="inlineStr">
        <is>
          <t>IND-DIST</t>
        </is>
      </c>
    </row>
    <row r="20">
      <c r="A20" s="17" t="inlineStr">
        <is>
          <t>R0212547</t>
        </is>
      </c>
      <c r="B20" s="17" t="inlineStr">
        <is>
          <t>R0212547</t>
        </is>
      </c>
      <c r="C20" s="17" t="inlineStr">
        <is>
          <t>R0212547</t>
        </is>
      </c>
      <c r="D20" s="17" t="inlineStr">
        <is>
          <t>2780 N. Tower Road (parcel 2 of 2)</t>
        </is>
      </c>
      <c r="E20" s="17" t="inlineStr">
        <is>
          <t>2780 N. Tower Road</t>
        </is>
      </c>
      <c r="F20" s="17" t="inlineStr">
        <is>
          <t>Aurora</t>
        </is>
      </c>
      <c r="G20" s="17" t="inlineStr">
        <is>
          <t>CO</t>
        </is>
      </c>
      <c r="H20" s="17" t="inlineStr">
        <is>
          <t>80019 (est.)</t>
        </is>
      </c>
      <c r="I20" s="17" t="inlineStr">
        <is>
          <t>Adams</t>
        </is>
      </c>
      <c r="J20" s="17" t="inlineStr">
        <is>
          <t>2780 North Tower Road, LLC</t>
        </is>
      </c>
      <c r="K20" s="17" t="inlineStr">
        <is>
          <t>2780 North Tower Road, LLC</t>
        </is>
      </c>
      <c r="L20" s="17" t="inlineStr">
        <is>
          <t>Industrial - Distribution (single tenant)</t>
        </is>
      </c>
      <c r="M20" s="17" t="inlineStr">
        <is>
          <t>Single-tenant</t>
        </is>
      </c>
      <c r="N20" s="17" t="n"/>
      <c r="O20" s="17" t="n"/>
      <c r="P20" s="17" t="n"/>
      <c r="Q20" s="17" t="n"/>
      <c r="R20" s="17" t="n">
        <v>1983</v>
      </c>
      <c r="S20" s="17" t="inlineStr">
        <is>
          <t>—</t>
        </is>
      </c>
      <c r="T20" s="17" t="inlineStr">
        <is>
          <t>100%</t>
        </is>
      </c>
      <c r="U20" s="17" t="n"/>
      <c r="V20" s="17" t="inlineStr">
        <is>
          <t>2026</t>
        </is>
      </c>
      <c r="W20" s="17" t="n"/>
      <c r="X20" s="17" t="inlineStr">
        <is>
          <t>—</t>
        </is>
      </c>
      <c r="Y20" s="17" t="inlineStr">
        <is>
          <t>R0212546.pdf</t>
        </is>
      </c>
      <c r="Z20" s="18" t="inlineStr">
        <is>
          <t>584</t>
        </is>
      </c>
      <c r="AA20" s="18" t="inlineStr">
        <is>
          <t>IND-DIST</t>
        </is>
      </c>
    </row>
    <row r="21" ht="15.75" customHeight="1" s="51">
      <c r="A21" s="17" t="inlineStr">
        <is>
          <t>R0198564</t>
        </is>
      </c>
      <c r="B21" s="17" t="inlineStr">
        <is>
          <t>R0198564</t>
        </is>
      </c>
      <c r="C21" s="17" t="inlineStr">
        <is>
          <t>0182502202030</t>
        </is>
      </c>
      <c r="D21" s="17" t="inlineStr">
        <is>
          <t>TrusTile Doors</t>
        </is>
      </c>
      <c r="E21" s="17" t="inlineStr">
        <is>
          <t>1111 E 71st Ave</t>
        </is>
      </c>
      <c r="F21" s="17" t="inlineStr">
        <is>
          <t>Denver</t>
        </is>
      </c>
      <c r="G21" s="17" t="inlineStr">
        <is>
          <t>CO</t>
        </is>
      </c>
      <c r="H21" s="17" t="inlineStr">
        <is>
          <t>80229</t>
        </is>
      </c>
      <c r="I21" s="17" t="inlineStr">
        <is>
          <t>Adams</t>
        </is>
      </c>
      <c r="J21" s="17" t="inlineStr">
        <is>
          <t>TrusTile Doors LLC</t>
        </is>
      </c>
      <c r="K21" s="17" t="inlineStr">
        <is>
          <t>TrusTile Doors LLC</t>
        </is>
      </c>
      <c r="L21" s="17" t="inlineStr">
        <is>
          <t>Industrial - Manufacturing (doors)</t>
        </is>
      </c>
      <c r="M21" s="17" t="inlineStr">
        <is>
          <t>Owner-occupied</t>
        </is>
      </c>
      <c r="N21" s="17" t="n"/>
      <c r="O21" s="17" t="n"/>
      <c r="P21" s="17">
        <f>269219+8650</f>
        <v/>
      </c>
      <c r="Q21" s="17" t="n"/>
      <c r="R21" s="17" t="n"/>
      <c r="S21" s="17" t="inlineStr">
        <is>
          <t>—</t>
        </is>
      </c>
      <c r="T21" s="17" t="inlineStr">
        <is>
          <t>100% Owner-Occupied</t>
        </is>
      </c>
      <c r="U21" s="17" t="n"/>
      <c r="V21" s="17" t="inlineStr">
        <is>
          <t>2025</t>
        </is>
      </c>
      <c r="W21" s="17" t="inlineStr">
        <is>
          <t>—</t>
        </is>
      </c>
      <c r="X21" s="17" t="inlineStr">
        <is>
          <t>—</t>
        </is>
      </c>
      <c r="Y21" s="17" t="inlineStr">
        <is>
          <t>R0198564.pdf</t>
        </is>
      </c>
      <c r="Z21" s="18" t="inlineStr">
        <is>
          <t>584</t>
        </is>
      </c>
      <c r="AA21" s="18" t="inlineStr">
        <is>
          <t>IND-MFG</t>
        </is>
      </c>
    </row>
    <row r="22" ht="15.75" customHeight="1" s="51">
      <c r="A22" s="17" t="inlineStr">
        <is>
          <t>R0217136</t>
        </is>
      </c>
      <c r="B22" s="17" t="inlineStr">
        <is>
          <t>R0217136</t>
        </is>
      </c>
      <c r="C22" s="17" t="inlineStr">
        <is>
          <t>R0217136</t>
        </is>
      </c>
      <c r="D22" s="17" t="inlineStr">
        <is>
          <t>Broadway Logistics Center</t>
        </is>
      </c>
      <c r="E22" s="17" t="inlineStr">
        <is>
          <t>6795 Broadway St</t>
        </is>
      </c>
      <c r="F22" s="17" t="inlineStr">
        <is>
          <t>Denver</t>
        </is>
      </c>
      <c r="G22" s="17" t="inlineStr">
        <is>
          <t>CO</t>
        </is>
      </c>
      <c r="H22" s="17" t="inlineStr">
        <is>
          <t>80221</t>
        </is>
      </c>
      <c r="I22" s="17" t="inlineStr">
        <is>
          <t>Adams</t>
        </is>
      </c>
      <c r="J22" s="17" t="inlineStr">
        <is>
          <t>Lovett Industrial, LLC</t>
        </is>
      </c>
      <c r="K22" s="17" t="inlineStr">
        <is>
          <t>Lovett Industrial, LLC</t>
        </is>
      </c>
      <c r="L22" s="17" t="inlineStr">
        <is>
          <t>Industrial - Warehouse</t>
        </is>
      </c>
      <c r="M22" s="17" t="inlineStr">
        <is>
          <t>Multi-tenant (proforma; actual 100% vacant)</t>
        </is>
      </c>
      <c r="N22" s="31" t="n">
        <v>12.184</v>
      </c>
      <c r="O22" s="30" t="n">
        <v>530735</v>
      </c>
      <c r="P22" s="30" t="n">
        <v>201025</v>
      </c>
      <c r="Q22" s="30" t="n">
        <v>201025</v>
      </c>
      <c r="R22" s="17" t="n">
        <v>2023</v>
      </c>
      <c r="S22" s="17" t="inlineStr">
        <is>
          <t>2.64:1</t>
        </is>
      </c>
      <c r="T22" s="17" t="inlineStr">
        <is>
          <t>0% (rent roll 100% vacant, 2 units)</t>
        </is>
      </c>
      <c r="U22" s="19" t="n">
        <v>25207046</v>
      </c>
      <c r="V22" s="17" t="inlineStr">
        <is>
          <t>2025</t>
        </is>
      </c>
      <c r="W22" s="19" t="n">
        <v>14866600</v>
      </c>
      <c r="X22" s="17" t="inlineStr">
        <is>
          <t>—</t>
        </is>
      </c>
      <c r="Y22" s="17" t="inlineStr">
        <is>
          <t>R0217136.pdf</t>
        </is>
      </c>
      <c r="Z22" s="18" t="inlineStr">
        <is>
          <t>584</t>
        </is>
      </c>
      <c r="AA22" s="18" t="inlineStr">
        <is>
          <t>IND-WH</t>
        </is>
      </c>
    </row>
    <row r="23" ht="15.75" customHeight="1" s="51">
      <c r="A23" s="17" t="inlineStr">
        <is>
          <t>R0198789</t>
        </is>
      </c>
      <c r="B23" s="17" t="inlineStr">
        <is>
          <t>R0198789-Lease</t>
        </is>
      </c>
      <c r="C23" s="17" t="inlineStr">
        <is>
          <t>R0198789</t>
        </is>
      </c>
      <c r="D23" s="17" t="inlineStr">
        <is>
          <t>DEN3 - Bull Crossing</t>
        </is>
      </c>
      <c r="E23" s="17" t="inlineStr">
        <is>
          <t>14601 Grant Street</t>
        </is>
      </c>
      <c r="F23" s="17" t="inlineStr">
        <is>
          <t>Thornton</t>
        </is>
      </c>
      <c r="G23" s="17" t="inlineStr">
        <is>
          <t>CO</t>
        </is>
      </c>
      <c r="H23" s="17" t="inlineStr">
        <is>
          <t>80023</t>
        </is>
      </c>
      <c r="I23" s="17" t="inlineStr">
        <is>
          <t>Adams</t>
        </is>
      </c>
      <c r="J23" s="17" t="inlineStr">
        <is>
          <t>144 Bull Crossing Associates LLC</t>
        </is>
      </c>
      <c r="K23" s="17" t="inlineStr">
        <is>
          <t>Amazon.com Services LLC (leasehold)</t>
        </is>
      </c>
      <c r="L23" s="17" t="inlineStr">
        <is>
          <t>Industrial - AR Sortable (Amazon fulfillment)</t>
        </is>
      </c>
      <c r="M23" s="17" t="inlineStr">
        <is>
          <t>Single-tenant (Amazon, NNN)</t>
        </is>
      </c>
      <c r="N23" s="31" t="n">
        <v>61.97</v>
      </c>
      <c r="O23" s="30" t="n">
        <v>2699403</v>
      </c>
      <c r="P23" s="30" t="n">
        <v>857400</v>
      </c>
      <c r="Q23" s="30" t="n">
        <v>857400</v>
      </c>
      <c r="R23" s="17" t="n">
        <v>2018</v>
      </c>
      <c r="S23" s="17" t="inlineStr">
        <is>
          <t>—</t>
        </is>
      </c>
      <c r="T23" s="17" t="inlineStr">
        <is>
          <t>100%</t>
        </is>
      </c>
      <c r="U23" s="19" t="n">
        <v>91498458</v>
      </c>
      <c r="V23" s="17" t="inlineStr">
        <is>
          <t>2025</t>
        </is>
      </c>
      <c r="W23" s="19" t="n">
        <v>73627000</v>
      </c>
      <c r="X23" s="17" t="inlineStr">
        <is>
          <t>—</t>
        </is>
      </c>
      <c r="Y23" s="17" t="inlineStr">
        <is>
          <t>R0198789.pdf</t>
        </is>
      </c>
      <c r="Z23" s="18" t="inlineStr">
        <is>
          <t>584</t>
        </is>
      </c>
      <c r="AA23" s="18" t="inlineStr">
        <is>
          <t>IND-AMZN</t>
        </is>
      </c>
    </row>
    <row r="24" ht="15.75" customHeight="1" s="51">
      <c r="A24" s="17" t="inlineStr">
        <is>
          <t>R0198530</t>
        </is>
      </c>
      <c r="B24" s="17" t="inlineStr">
        <is>
          <t>R0198530</t>
        </is>
      </c>
      <c r="C24" s="17" t="inlineStr">
        <is>
          <t>R0198530</t>
        </is>
      </c>
      <c r="D24" s="17" t="inlineStr">
        <is>
          <t>DEN7</t>
        </is>
      </c>
      <c r="E24" s="17" t="inlineStr">
        <is>
          <t>22300 E 26th Avenue</t>
        </is>
      </c>
      <c r="F24" s="17" t="inlineStr">
        <is>
          <t>Aurora</t>
        </is>
      </c>
      <c r="G24" s="17" t="inlineStr">
        <is>
          <t>CO</t>
        </is>
      </c>
      <c r="H24" s="17" t="inlineStr">
        <is>
          <t>80019</t>
        </is>
      </c>
      <c r="I24" s="17" t="inlineStr">
        <is>
          <t>Adams</t>
        </is>
      </c>
      <c r="J24" s="17" t="inlineStr">
        <is>
          <t>FR Aurora Commerce Center Phase I LLC (First Industrial Realty Trust)</t>
        </is>
      </c>
      <c r="K24" s="17" t="inlineStr">
        <is>
          <t>Amazon.com Services LLC (leasehold)</t>
        </is>
      </c>
      <c r="L24" s="17" t="inlineStr">
        <is>
          <t>Warehouse (Amazon fulfillment)</t>
        </is>
      </c>
      <c r="M24" s="17" t="inlineStr">
        <is>
          <t>Single-tenant (Amazon, NNN)</t>
        </is>
      </c>
      <c r="N24" s="31" t="n">
        <v>33.81</v>
      </c>
      <c r="O24" s="30" t="n">
        <v>1472955</v>
      </c>
      <c r="P24" s="30" t="n">
        <v>555840</v>
      </c>
      <c r="Q24" s="30" t="n">
        <v>555840</v>
      </c>
      <c r="R24" s="17" t="n">
        <v>2019</v>
      </c>
      <c r="S24" s="17" t="inlineStr">
        <is>
          <t>—</t>
        </is>
      </c>
      <c r="T24" s="17" t="inlineStr">
        <is>
          <t>100%</t>
        </is>
      </c>
      <c r="U24" s="19" t="n">
        <v>58528163</v>
      </c>
      <c r="V24" s="17" t="inlineStr">
        <is>
          <t>2025</t>
        </is>
      </c>
      <c r="W24" s="19" t="n">
        <v>41529000</v>
      </c>
      <c r="X24" s="17" t="inlineStr">
        <is>
          <t>—</t>
        </is>
      </c>
      <c r="Y24" s="17" t="inlineStr">
        <is>
          <t>R0198530.pdf</t>
        </is>
      </c>
      <c r="Z24" s="18" t="inlineStr">
        <is>
          <t>584</t>
        </is>
      </c>
      <c r="AA24" s="18" t="inlineStr">
        <is>
          <t>IND-AMZN</t>
        </is>
      </c>
    </row>
    <row r="25" ht="15.75" customHeight="1" s="51">
      <c r="A25" s="17" t="inlineStr">
        <is>
          <t>R0193588</t>
        </is>
      </c>
      <c r="B25" s="17" t="inlineStr">
        <is>
          <t>R0193588</t>
        </is>
      </c>
      <c r="C25" s="17" t="inlineStr">
        <is>
          <t>R0193588</t>
        </is>
      </c>
      <c r="D25" s="17" t="inlineStr">
        <is>
          <t>Majestic Commercenter Bldg 15</t>
        </is>
      </c>
      <c r="E25" s="17" t="inlineStr">
        <is>
          <t>2889 Himalaya Road</t>
        </is>
      </c>
      <c r="F25" s="17" t="inlineStr">
        <is>
          <t>Adams County</t>
        </is>
      </c>
      <c r="G25" s="17" t="inlineStr">
        <is>
          <t>CO</t>
        </is>
      </c>
      <c r="H25" s="17" t="inlineStr">
        <is>
          <t>—</t>
        </is>
      </c>
      <c r="I25" s="17" t="inlineStr">
        <is>
          <t>Adams</t>
        </is>
      </c>
      <c r="J25" s="17" t="inlineStr">
        <is>
          <t>Maj Commercenter Bldg 15, LLC</t>
        </is>
      </c>
      <c r="K25" s="17" t="inlineStr">
        <is>
          <t>Maj Commercenter Bldg 15, LLC</t>
        </is>
      </c>
      <c r="L25" s="17" t="inlineStr">
        <is>
          <t>Industrial - Warehouse</t>
        </is>
      </c>
      <c r="M25" s="17" t="inlineStr">
        <is>
          <t>Single-tenant</t>
        </is>
      </c>
      <c r="N25" s="17" t="n"/>
      <c r="O25" s="17" t="n"/>
      <c r="P25" s="30" t="n">
        <v>702491</v>
      </c>
      <c r="Q25" s="30" t="n">
        <v>702491</v>
      </c>
      <c r="R25" s="17" t="n">
        <v>2019</v>
      </c>
      <c r="S25" s="17" t="inlineStr">
        <is>
          <t>—</t>
        </is>
      </c>
      <c r="T25" s="17" t="inlineStr">
        <is>
          <t>100%</t>
        </is>
      </c>
      <c r="U25" s="17" t="n"/>
      <c r="V25" s="17" t="inlineStr">
        <is>
          <t>2026</t>
        </is>
      </c>
      <c r="W25" s="19" t="n">
        <v>49199700</v>
      </c>
      <c r="X25" s="17" t="inlineStr">
        <is>
          <t>—</t>
        </is>
      </c>
      <c r="Y25" s="17" t="inlineStr">
        <is>
          <t>R0193588.pdf</t>
        </is>
      </c>
      <c r="Z25" s="18" t="inlineStr">
        <is>
          <t>584</t>
        </is>
      </c>
      <c r="AA25" s="18" t="inlineStr">
        <is>
          <t>IND-WH</t>
        </is>
      </c>
    </row>
    <row r="26" ht="15.75" customHeight="1" s="51">
      <c r="A26" s="17" t="inlineStr">
        <is>
          <t>R0191292</t>
        </is>
      </c>
      <c r="B26" s="17" t="inlineStr">
        <is>
          <t>R0191292</t>
        </is>
      </c>
      <c r="C26" s="17" t="inlineStr">
        <is>
          <t>R0191292</t>
        </is>
      </c>
      <c r="D26" s="17" t="inlineStr">
        <is>
          <t>DEN2 - PR Park 70</t>
        </is>
      </c>
      <c r="E26" s="17" t="inlineStr">
        <is>
          <t>22205 E 19th Avenue</t>
        </is>
      </c>
      <c r="F26" s="17" t="inlineStr">
        <is>
          <t>Aurora</t>
        </is>
      </c>
      <c r="G26" s="17" t="inlineStr">
        <is>
          <t>CO</t>
        </is>
      </c>
      <c r="H26" s="17" t="inlineStr">
        <is>
          <t>80019</t>
        </is>
      </c>
      <c r="I26" s="17" t="inlineStr">
        <is>
          <t>Adams</t>
        </is>
      </c>
      <c r="J26" s="17" t="inlineStr">
        <is>
          <t>PRISA LHC LLC dba Park 70 Building Venture 11 LLC (PGIM)</t>
        </is>
      </c>
      <c r="K26" s="17" t="inlineStr">
        <is>
          <t>Amazon.com Services LLC (leasehold)</t>
        </is>
      </c>
      <c r="L26" s="17" t="inlineStr">
        <is>
          <t>Traditional Non-Sortable (Amazon fulfillment)</t>
        </is>
      </c>
      <c r="M26" s="17" t="inlineStr">
        <is>
          <t>Single-tenant (Amazon, NNN)</t>
        </is>
      </c>
      <c r="N26" s="31" t="n">
        <v>69.40000000000001</v>
      </c>
      <c r="O26" s="30" t="n">
        <v>3023064</v>
      </c>
      <c r="P26" s="30" t="n">
        <v>1016116</v>
      </c>
      <c r="Q26" s="30" t="n">
        <v>1016116</v>
      </c>
      <c r="R26" s="17" t="n">
        <v>2017</v>
      </c>
      <c r="S26" s="17" t="inlineStr">
        <is>
          <t>—</t>
        </is>
      </c>
      <c r="T26" s="17" t="inlineStr">
        <is>
          <t>100%</t>
        </is>
      </c>
      <c r="U26" s="19" t="n">
        <v>91704470</v>
      </c>
      <c r="V26" s="17" t="inlineStr">
        <is>
          <t>2025</t>
        </is>
      </c>
      <c r="W26" s="19" t="n">
        <v>76761000</v>
      </c>
      <c r="X26" s="17" t="inlineStr">
        <is>
          <t>—</t>
        </is>
      </c>
      <c r="Y26" s="17" t="inlineStr">
        <is>
          <t>R0191292.pdf</t>
        </is>
      </c>
      <c r="Z26" s="18" t="inlineStr">
        <is>
          <t>584</t>
        </is>
      </c>
      <c r="AA26" s="18" t="inlineStr">
        <is>
          <t>IND-AMZN</t>
        </is>
      </c>
    </row>
    <row r="27" ht="15.75" customHeight="1" s="51">
      <c r="A27" s="17" t="inlineStr">
        <is>
          <t>R0187866</t>
        </is>
      </c>
      <c r="B27" s="17" t="inlineStr">
        <is>
          <t>R0187866</t>
        </is>
      </c>
      <c r="C27" s="17" t="inlineStr">
        <is>
          <t>R0187866</t>
        </is>
      </c>
      <c r="D27" s="17" t="inlineStr">
        <is>
          <t>Majestic Commercenter Bldg 29</t>
        </is>
      </c>
      <c r="E27" s="17" t="inlineStr">
        <is>
          <t>19799 E. 36th Drive</t>
        </is>
      </c>
      <c r="F27" s="17" t="inlineStr">
        <is>
          <t>Adams County</t>
        </is>
      </c>
      <c r="G27" s="17" t="inlineStr">
        <is>
          <t>CO</t>
        </is>
      </c>
      <c r="H27" s="17" t="inlineStr">
        <is>
          <t>—</t>
        </is>
      </c>
      <c r="I27" s="17" t="inlineStr">
        <is>
          <t>Adams</t>
        </is>
      </c>
      <c r="J27" s="17" t="inlineStr">
        <is>
          <t>Maj Commercenter Bldg 29 LLC</t>
        </is>
      </c>
      <c r="K27" s="17" t="inlineStr">
        <is>
          <t>Maj Commercenter Bldg 29 LLC</t>
        </is>
      </c>
      <c r="L27" s="17" t="inlineStr">
        <is>
          <t>Industrial - Warehouse</t>
        </is>
      </c>
      <c r="M27" s="17" t="inlineStr">
        <is>
          <t>Multi-tenant</t>
        </is>
      </c>
      <c r="N27" s="17" t="n"/>
      <c r="O27" s="17" t="n"/>
      <c r="P27" s="30" t="n">
        <v>452400</v>
      </c>
      <c r="Q27" s="30" t="n">
        <v>452400</v>
      </c>
      <c r="R27" s="17" t="n">
        <v>2015</v>
      </c>
      <c r="S27" s="17" t="inlineStr">
        <is>
          <t>—</t>
        </is>
      </c>
      <c r="T27" s="17" t="inlineStr">
        <is>
          <t>100%</t>
        </is>
      </c>
      <c r="U27" s="17" t="n"/>
      <c r="V27" s="17" t="inlineStr">
        <is>
          <t>2026</t>
        </is>
      </c>
      <c r="W27" s="19" t="n">
        <v>31684300</v>
      </c>
      <c r="X27" s="17" t="inlineStr">
        <is>
          <t>—</t>
        </is>
      </c>
      <c r="Y27" s="17" t="inlineStr">
        <is>
          <t>R0187866.pdf</t>
        </is>
      </c>
      <c r="Z27" s="18" t="inlineStr">
        <is>
          <t>584</t>
        </is>
      </c>
      <c r="AA27" s="18" t="inlineStr">
        <is>
          <t>IND-WH</t>
        </is>
      </c>
    </row>
    <row r="28" ht="15.75" customHeight="1" s="51">
      <c r="A28" s="17" t="inlineStr">
        <is>
          <t>R0172868</t>
        </is>
      </c>
      <c r="B28" s="17" t="inlineStr">
        <is>
          <t>R0172868</t>
        </is>
      </c>
      <c r="C28" s="17" t="inlineStr">
        <is>
          <t>R0172868</t>
        </is>
      </c>
      <c r="D28" s="17" t="inlineStr">
        <is>
          <t>Majestic Commercenter Bldg 26</t>
        </is>
      </c>
      <c r="E28" s="17" t="inlineStr">
        <is>
          <t>19755 E. 35th Drive</t>
        </is>
      </c>
      <c r="F28" s="17" t="inlineStr">
        <is>
          <t>Adams County</t>
        </is>
      </c>
      <c r="G28" s="17" t="inlineStr">
        <is>
          <t>CO</t>
        </is>
      </c>
      <c r="H28" s="17" t="inlineStr">
        <is>
          <t>—</t>
        </is>
      </c>
      <c r="I28" s="17" t="inlineStr">
        <is>
          <t>Adams</t>
        </is>
      </c>
      <c r="J28" s="17" t="inlineStr">
        <is>
          <t>Commercenter #26 LLC</t>
        </is>
      </c>
      <c r="K28" s="17" t="inlineStr">
        <is>
          <t>Commercenter #26 LLC</t>
        </is>
      </c>
      <c r="L28" s="17" t="inlineStr">
        <is>
          <t>Industrial - Warehouse</t>
        </is>
      </c>
      <c r="M28" s="17" t="inlineStr">
        <is>
          <t>Single-tenant</t>
        </is>
      </c>
      <c r="N28" s="17" t="n"/>
      <c r="O28" s="17" t="n"/>
      <c r="P28" s="30" t="n">
        <v>200000</v>
      </c>
      <c r="Q28" s="30" t="n">
        <v>200000</v>
      </c>
      <c r="R28" s="17" t="n">
        <v>2007</v>
      </c>
      <c r="S28" s="17" t="inlineStr">
        <is>
          <t>—</t>
        </is>
      </c>
      <c r="T28" s="17" t="inlineStr">
        <is>
          <t>100%</t>
        </is>
      </c>
      <c r="U28" s="17" t="n"/>
      <c r="V28" s="17" t="inlineStr">
        <is>
          <t>2026</t>
        </is>
      </c>
      <c r="W28" s="19" t="n">
        <v>14007200</v>
      </c>
      <c r="X28" s="17" t="inlineStr">
        <is>
          <t>—</t>
        </is>
      </c>
      <c r="Y28" s="17" t="inlineStr">
        <is>
          <t>R0172868.pdf</t>
        </is>
      </c>
      <c r="Z28" s="18" t="inlineStr">
        <is>
          <t>584</t>
        </is>
      </c>
      <c r="AA28" s="18" t="inlineStr">
        <is>
          <t>IND-WH</t>
        </is>
      </c>
    </row>
    <row r="29" ht="15.75" customHeight="1" s="51">
      <c r="A29" s="17" t="inlineStr">
        <is>
          <t>R0180551</t>
        </is>
      </c>
      <c r="B29" s="17" t="inlineStr">
        <is>
          <t>R0180551</t>
        </is>
      </c>
      <c r="C29" s="17" t="inlineStr">
        <is>
          <t>R0180551</t>
        </is>
      </c>
      <c r="D29" s="17" t="inlineStr">
        <is>
          <t>Home Depot Denver</t>
        </is>
      </c>
      <c r="E29" s="17" t="inlineStr">
        <is>
          <t>1953 Gun Club Rd</t>
        </is>
      </c>
      <c r="F29" s="17" t="inlineStr">
        <is>
          <t>Aurora</t>
        </is>
      </c>
      <c r="G29" s="17" t="inlineStr">
        <is>
          <t>CO</t>
        </is>
      </c>
      <c r="H29" s="17" t="inlineStr">
        <is>
          <t>80019</t>
        </is>
      </c>
      <c r="I29" s="17" t="inlineStr">
        <is>
          <t>Adams</t>
        </is>
      </c>
      <c r="J29" s="17" t="inlineStr">
        <is>
          <t>Cherry Owner III LLC (Alpha Industrial Properties)</t>
        </is>
      </c>
      <c r="K29" s="17" t="inlineStr">
        <is>
          <t>Cherry Owner III LLC</t>
        </is>
      </c>
      <c r="L29" s="17" t="inlineStr">
        <is>
          <t>Industrial - Warehouse</t>
        </is>
      </c>
      <c r="M29" s="17" t="inlineStr">
        <is>
          <t>Single-tenant (Home Depot, NNN)</t>
        </is>
      </c>
      <c r="N29" s="31" t="n">
        <v>17.224</v>
      </c>
      <c r="O29" s="30" t="n">
        <v>750277</v>
      </c>
      <c r="P29" s="30" t="n">
        <v>220000</v>
      </c>
      <c r="Q29" s="30" t="n">
        <v>220000</v>
      </c>
      <c r="R29" s="17" t="n">
        <v>2012</v>
      </c>
      <c r="S29" s="17" t="inlineStr">
        <is>
          <t>3.41:1</t>
        </is>
      </c>
      <c r="T29" s="17" t="inlineStr">
        <is>
          <t>100%</t>
        </is>
      </c>
      <c r="U29" s="19" t="n">
        <v>36400834</v>
      </c>
      <c r="V29" s="17" t="inlineStr">
        <is>
          <t>2025</t>
        </is>
      </c>
      <c r="W29" s="19" t="n">
        <v>16062800</v>
      </c>
      <c r="X29" s="17" t="inlineStr">
        <is>
          <t>—</t>
        </is>
      </c>
      <c r="Y29" s="17" t="inlineStr">
        <is>
          <t>R0180551.pdf</t>
        </is>
      </c>
      <c r="Z29" s="18" t="inlineStr">
        <is>
          <t>584</t>
        </is>
      </c>
      <c r="AA29" s="18" t="inlineStr">
        <is>
          <t>IND-WH</t>
        </is>
      </c>
    </row>
    <row r="30" ht="15.75" customHeight="1" s="51">
      <c r="A30" s="17" t="inlineStr">
        <is>
          <t>R0172848</t>
        </is>
      </c>
      <c r="B30" s="17" t="inlineStr">
        <is>
          <t>R0172848</t>
        </is>
      </c>
      <c r="C30" s="17" t="inlineStr">
        <is>
          <t>R0172848</t>
        </is>
      </c>
      <c r="D30" s="17" t="inlineStr">
        <is>
          <t>22100 E 26th Ave (ASB)</t>
        </is>
      </c>
      <c r="E30" s="17" t="inlineStr">
        <is>
          <t>22100 E 26th Ave</t>
        </is>
      </c>
      <c r="F30" s="17" t="inlineStr">
        <is>
          <t>Aurora</t>
        </is>
      </c>
      <c r="G30" s="17" t="inlineStr">
        <is>
          <t>CO</t>
        </is>
      </c>
      <c r="H30" s="17" t="inlineStr">
        <is>
          <t>—</t>
        </is>
      </c>
      <c r="I30" s="17" t="inlineStr">
        <is>
          <t>Adams</t>
        </is>
      </c>
      <c r="J30" s="17" t="inlineStr">
        <is>
          <t>22100 E 26th Owner LLC (ASB Real Estate)</t>
        </is>
      </c>
      <c r="K30" s="17" t="inlineStr">
        <is>
          <t>22100 E 26th Owner LLC</t>
        </is>
      </c>
      <c r="L30" s="17" t="inlineStr">
        <is>
          <t>Industrial</t>
        </is>
      </c>
      <c r="M30" s="17" t="inlineStr">
        <is>
          <t>Multi-tenant (28% occupied at DOV)</t>
        </is>
      </c>
      <c r="N30" s="31" t="n">
        <v>22.18</v>
      </c>
      <c r="O30" s="17" t="n"/>
      <c r="P30" s="30" t="n">
        <v>406959</v>
      </c>
      <c r="Q30" s="30" t="n">
        <v>406959</v>
      </c>
      <c r="R30" s="17" t="n">
        <v>2007</v>
      </c>
      <c r="S30" s="17" t="inlineStr">
        <is>
          <t>—</t>
        </is>
      </c>
      <c r="T30" s="17" t="inlineStr">
        <is>
          <t>28% (6/30/2024)</t>
        </is>
      </c>
      <c r="U30" s="19" t="n">
        <v>43077347</v>
      </c>
      <c r="V30" s="17" t="inlineStr">
        <is>
          <t>2025</t>
        </is>
      </c>
      <c r="W30" s="19" t="n">
        <v>31001000</v>
      </c>
      <c r="X30" s="17" t="inlineStr">
        <is>
          <t>—</t>
        </is>
      </c>
      <c r="Y30" s="17" t="inlineStr">
        <is>
          <t>R0172848.pdf</t>
        </is>
      </c>
      <c r="Z30" s="18" t="inlineStr">
        <is>
          <t>584</t>
        </is>
      </c>
      <c r="AA30" s="18" t="inlineStr">
        <is>
          <t>IND-WH</t>
        </is>
      </c>
    </row>
    <row r="31" ht="15.75" customHeight="1" s="51">
      <c r="A31" s="17" t="inlineStr">
        <is>
          <t>R0172865</t>
        </is>
      </c>
      <c r="B31" s="17" t="inlineStr">
        <is>
          <t>R0172865</t>
        </is>
      </c>
      <c r="C31" s="17" t="inlineStr">
        <is>
          <t>R0172865</t>
        </is>
      </c>
      <c r="D31" s="17" t="inlineStr">
        <is>
          <t>Majestic Commercenter Bldg 24</t>
        </is>
      </c>
      <c r="E31" s="17" t="inlineStr">
        <is>
          <t>3500 N. Windsor Drive</t>
        </is>
      </c>
      <c r="F31" s="17" t="inlineStr">
        <is>
          <t>Adams County</t>
        </is>
      </c>
      <c r="G31" s="17" t="inlineStr">
        <is>
          <t>CO</t>
        </is>
      </c>
      <c r="H31" s="17" t="inlineStr">
        <is>
          <t>—</t>
        </is>
      </c>
      <c r="I31" s="17" t="inlineStr">
        <is>
          <t>Adams</t>
        </is>
      </c>
      <c r="J31" s="17" t="inlineStr">
        <is>
          <t>Commercenter #24 LLC</t>
        </is>
      </c>
      <c r="K31" s="17" t="inlineStr">
        <is>
          <t>Commercenter #24 LLC</t>
        </is>
      </c>
      <c r="L31" s="17" t="inlineStr">
        <is>
          <t>Industrial - Warehouse</t>
        </is>
      </c>
      <c r="M31" s="17" t="inlineStr">
        <is>
          <t>Multi-tenant</t>
        </is>
      </c>
      <c r="N31" s="17" t="n"/>
      <c r="O31" s="17" t="n"/>
      <c r="P31" s="30" t="n">
        <v>215030</v>
      </c>
      <c r="Q31" s="30" t="n">
        <v>215030</v>
      </c>
      <c r="R31" s="17" t="n">
        <v>2008</v>
      </c>
      <c r="S31" s="17" t="inlineStr">
        <is>
          <t>—</t>
        </is>
      </c>
      <c r="T31" s="17" t="inlineStr">
        <is>
          <t>100%</t>
        </is>
      </c>
      <c r="U31" s="17" t="n"/>
      <c r="V31" s="17" t="inlineStr">
        <is>
          <t>2026</t>
        </is>
      </c>
      <c r="W31" s="19" t="n">
        <v>15059900</v>
      </c>
      <c r="X31" s="17" t="inlineStr">
        <is>
          <t>—</t>
        </is>
      </c>
      <c r="Y31" s="17" t="inlineStr">
        <is>
          <t>R0172865.pdf</t>
        </is>
      </c>
      <c r="Z31" s="18" t="inlineStr">
        <is>
          <t>584</t>
        </is>
      </c>
      <c r="AA31" s="18" t="inlineStr">
        <is>
          <t>IND-WH</t>
        </is>
      </c>
    </row>
    <row r="32" ht="15.75" customHeight="1" s="51">
      <c r="A32" s="17" t="inlineStr">
        <is>
          <t>R0132030</t>
        </is>
      </c>
      <c r="B32" s="17" t="inlineStr">
        <is>
          <t>R0132030</t>
        </is>
      </c>
      <c r="C32" s="17" t="inlineStr">
        <is>
          <t>R0132030</t>
        </is>
      </c>
      <c r="D32" s="17" t="inlineStr">
        <is>
          <t>Majestic Commercenter Bldg 22</t>
        </is>
      </c>
      <c r="E32" s="17" t="inlineStr">
        <is>
          <t>3543 N. Windsor Drive</t>
        </is>
      </c>
      <c r="F32" s="17" t="inlineStr">
        <is>
          <t>Adams County</t>
        </is>
      </c>
      <c r="G32" s="17" t="inlineStr">
        <is>
          <t>CO</t>
        </is>
      </c>
      <c r="H32" s="17" t="inlineStr">
        <is>
          <t>—</t>
        </is>
      </c>
      <c r="I32" s="17" t="inlineStr">
        <is>
          <t>Adams</t>
        </is>
      </c>
      <c r="J32" s="17" t="inlineStr">
        <is>
          <t>Commercenter #22 LLC</t>
        </is>
      </c>
      <c r="K32" s="17" t="inlineStr">
        <is>
          <t>Commercenter #22 LLC</t>
        </is>
      </c>
      <c r="L32" s="17" t="inlineStr">
        <is>
          <t>Industrial - Warehouse</t>
        </is>
      </c>
      <c r="M32" s="17" t="inlineStr">
        <is>
          <t>Multi-tenant</t>
        </is>
      </c>
      <c r="N32" s="17" t="n"/>
      <c r="O32" s="17" t="n"/>
      <c r="P32" s="30" t="n">
        <v>200090</v>
      </c>
      <c r="Q32" s="30" t="n">
        <v>200090</v>
      </c>
      <c r="R32" s="17" t="n">
        <v>2001</v>
      </c>
      <c r="S32" s="17" t="inlineStr">
        <is>
          <t>—</t>
        </is>
      </c>
      <c r="T32" s="17" t="inlineStr">
        <is>
          <t>75%</t>
        </is>
      </c>
      <c r="U32" s="17" t="n"/>
      <c r="V32" s="17" t="inlineStr">
        <is>
          <t>2026</t>
        </is>
      </c>
      <c r="W32" s="19" t="n">
        <v>13402900</v>
      </c>
      <c r="X32" s="17" t="inlineStr">
        <is>
          <t>—</t>
        </is>
      </c>
      <c r="Y32" s="17" t="inlineStr">
        <is>
          <t>R0132030.pdf</t>
        </is>
      </c>
      <c r="Z32" s="18" t="inlineStr">
        <is>
          <t>584</t>
        </is>
      </c>
      <c r="AA32" s="18" t="inlineStr">
        <is>
          <t>IND-WH</t>
        </is>
      </c>
    </row>
    <row r="33" ht="15.75" customHeight="1" s="51">
      <c r="A33" s="17" t="inlineStr">
        <is>
          <t>R0092655</t>
        </is>
      </c>
      <c r="B33" s="17" t="inlineStr">
        <is>
          <t>R0092655</t>
        </is>
      </c>
      <c r="C33" s="17" t="inlineStr">
        <is>
          <t>0182317300025</t>
        </is>
      </c>
      <c r="D33" s="17" t="inlineStr">
        <is>
          <t>Shamrock Foods</t>
        </is>
      </c>
      <c r="E33" s="17" t="inlineStr">
        <is>
          <t>5199 Ivy St</t>
        </is>
      </c>
      <c r="F33" s="17" t="inlineStr">
        <is>
          <t>Commerce City</t>
        </is>
      </c>
      <c r="G33" s="17" t="inlineStr">
        <is>
          <t>CO</t>
        </is>
      </c>
      <c r="H33" s="17" t="inlineStr">
        <is>
          <t>—</t>
        </is>
      </c>
      <c r="I33" s="17" t="inlineStr">
        <is>
          <t>Adams</t>
        </is>
      </c>
      <c r="J33" s="17" t="inlineStr">
        <is>
          <t>Shamrock Foods Company</t>
        </is>
      </c>
      <c r="K33" s="17" t="inlineStr">
        <is>
          <t>Shamrock Foods Company</t>
        </is>
      </c>
      <c r="L33" s="17" t="inlineStr">
        <is>
          <t>Warehouse</t>
        </is>
      </c>
      <c r="M33" s="17" t="inlineStr">
        <is>
          <t>Owner-occupied</t>
        </is>
      </c>
      <c r="N33" s="31" t="n">
        <v>21.96</v>
      </c>
      <c r="O33" s="17" t="n"/>
      <c r="P33" s="30" t="n">
        <v>329903</v>
      </c>
      <c r="Q33" s="30" t="n">
        <v>329903</v>
      </c>
      <c r="R33" s="17" t="n">
        <v>1983</v>
      </c>
      <c r="S33" s="17" t="inlineStr">
        <is>
          <t>—</t>
        </is>
      </c>
      <c r="T33" s="17" t="inlineStr">
        <is>
          <t>100% Owner-Occupied</t>
        </is>
      </c>
      <c r="U33" s="19" t="n">
        <v>36703938</v>
      </c>
      <c r="V33" s="17" t="inlineStr">
        <is>
          <t>2025</t>
        </is>
      </c>
      <c r="W33" s="19" t="n">
        <v>24502171</v>
      </c>
      <c r="X33" s="17" t="inlineStr">
        <is>
          <t>—</t>
        </is>
      </c>
      <c r="Y33" s="17" t="inlineStr">
        <is>
          <t>R0092655.pdf</t>
        </is>
      </c>
      <c r="Z33" s="18" t="inlineStr">
        <is>
          <t>584</t>
        </is>
      </c>
      <c r="AA33" s="18" t="inlineStr">
        <is>
          <t>IND-WH</t>
        </is>
      </c>
    </row>
    <row r="34" ht="15.75" customHeight="1" s="51"/>
    <row r="35" ht="15.75" customHeight="1" s="51"/>
    <row r="36" ht="15.75" customHeight="1" s="51"/>
    <row r="37" ht="15.75" customHeight="1" s="51"/>
    <row r="38" ht="15.75" customHeight="1" s="51"/>
    <row r="39" ht="15.75" customHeight="1" s="51"/>
    <row r="40" ht="15.75" customHeight="1" s="51"/>
    <row r="41" ht="15.75" customHeight="1" s="51"/>
    <row r="42" ht="15.75" customHeight="1" s="51"/>
    <row r="43" ht="15.75" customHeight="1" s="51"/>
    <row r="44" ht="15.75" customHeight="1" s="51"/>
    <row r="45" ht="15.75" customHeight="1" s="51"/>
    <row r="46" ht="15.75" customHeight="1" s="51"/>
    <row r="47" ht="15.75" customHeight="1" s="51"/>
    <row r="48" ht="15.75" customHeight="1" s="51"/>
    <row r="49" ht="15.75" customHeight="1" s="51"/>
    <row r="50" ht="15.75" customHeight="1" s="51"/>
    <row r="51" ht="15.75" customHeight="1" s="51"/>
    <row r="52" ht="15.75" customHeight="1" s="51"/>
    <row r="53" ht="15.75" customHeight="1" s="51"/>
    <row r="54" ht="15.75" customHeight="1" s="51"/>
    <row r="55" ht="15.75" customHeight="1" s="51"/>
    <row r="56" ht="15.75" customHeight="1" s="51"/>
    <row r="57" ht="15.75" customHeight="1" s="51"/>
    <row r="58" ht="15.75" customHeight="1" s="51"/>
    <row r="59" ht="15.75" customHeight="1" s="51"/>
    <row r="60" ht="15.75" customHeight="1" s="51"/>
    <row r="61" ht="15.75" customHeight="1" s="51"/>
    <row r="62" ht="15.75" customHeight="1" s="51"/>
    <row r="63" ht="15.75" customHeight="1" s="51"/>
    <row r="64" ht="15.75" customHeight="1" s="51"/>
    <row r="65" ht="15.75" customHeight="1" s="51"/>
    <row r="66" ht="15.75" customHeight="1" s="51"/>
    <row r="67" ht="15.75" customHeight="1" s="51"/>
    <row r="68" ht="15.75" customHeight="1" s="51"/>
    <row r="69" ht="15.75" customHeight="1" s="51"/>
    <row r="70" ht="15.75" customHeight="1" s="51"/>
    <row r="71" ht="15.75" customHeight="1" s="51"/>
    <row r="72" ht="15.75" customHeight="1" s="51"/>
    <row r="73" ht="15.75" customHeight="1" s="51"/>
    <row r="74" ht="15.75" customHeight="1" s="51"/>
    <row r="75" ht="15.75" customHeight="1" s="51"/>
    <row r="76" ht="15.75" customHeight="1" s="51"/>
    <row r="77" ht="15.75" customHeight="1" s="51"/>
    <row r="78" ht="15.75" customHeight="1" s="51"/>
    <row r="79" ht="15.75" customHeight="1" s="51"/>
    <row r="80" ht="15.75" customHeight="1" s="51"/>
    <row r="81" ht="15.75" customHeight="1" s="51"/>
    <row r="82" ht="15.75" customHeight="1" s="51"/>
    <row r="83" ht="15.75" customHeight="1" s="51"/>
    <row r="84" ht="15.75" customHeight="1" s="51"/>
    <row r="85" ht="15.75" customHeight="1" s="51"/>
    <row r="86" ht="15.75" customHeight="1" s="51"/>
    <row r="87" ht="15.75" customHeight="1" s="51"/>
    <row r="88" ht="15.75" customHeight="1" s="51"/>
    <row r="89" ht="15.75" customHeight="1" s="51"/>
    <row r="90" ht="15.75" customHeight="1" s="51"/>
    <row r="91" ht="15.75" customHeight="1" s="51"/>
    <row r="92" ht="15.75" customHeight="1" s="51"/>
    <row r="93" ht="15.75" customHeight="1" s="51"/>
    <row r="94" ht="15.75" customHeight="1" s="51"/>
    <row r="95" ht="15.75" customHeight="1" s="51"/>
    <row r="96" ht="15.75" customHeight="1" s="51"/>
    <row r="97" ht="15.75" customHeight="1" s="51"/>
    <row r="98" ht="15.75" customHeight="1" s="51"/>
    <row r="99" ht="15.75" customHeight="1" s="51"/>
    <row r="100" ht="15.75" customHeight="1" s="51"/>
    <row r="101" ht="15.75" customHeight="1" s="51"/>
    <row r="102" ht="15.75" customHeight="1" s="51"/>
    <row r="103" ht="15.75" customHeight="1" s="51"/>
    <row r="104" ht="15.75" customHeight="1" s="51"/>
    <row r="105" ht="15.75" customHeight="1" s="51"/>
    <row r="106" ht="15.75" customHeight="1" s="51"/>
    <row r="107" ht="15.75" customHeight="1" s="51"/>
    <row r="108" ht="15.75" customHeight="1" s="51"/>
    <row r="109" ht="15.75" customHeight="1" s="51"/>
    <row r="110" ht="15.75" customHeight="1" s="51"/>
    <row r="111" ht="15.75" customHeight="1" s="51"/>
    <row r="112" ht="15.75" customHeight="1" s="51"/>
    <row r="113" ht="15.75" customHeight="1" s="51"/>
    <row r="114" ht="15.75" customHeight="1" s="51"/>
    <row r="115" ht="15.75" customHeight="1" s="51"/>
    <row r="116" ht="15.75" customHeight="1" s="51"/>
    <row r="117" ht="15.75" customHeight="1" s="51"/>
    <row r="118" ht="15.75" customHeight="1" s="51"/>
    <row r="119" ht="15.75" customHeight="1" s="51"/>
    <row r="120" ht="15.75" customHeight="1" s="51"/>
    <row r="121" ht="15.75" customHeight="1" s="51"/>
    <row r="122" ht="15.75" customHeight="1" s="51"/>
    <row r="123" ht="15.75" customHeight="1" s="51"/>
    <row r="124" ht="15.75" customHeight="1" s="51"/>
    <row r="125" ht="15.75" customHeight="1" s="51"/>
    <row r="126" ht="15.75" customHeight="1" s="51"/>
    <row r="127" ht="15.75" customHeight="1" s="51"/>
    <row r="128" ht="15.75" customHeight="1" s="51"/>
    <row r="129" ht="15.75" customHeight="1" s="51"/>
    <row r="130" ht="15.75" customHeight="1" s="51"/>
    <row r="131" ht="15.75" customHeight="1" s="51"/>
    <row r="132" ht="15.75" customHeight="1" s="51"/>
    <row r="133" ht="15.75" customHeight="1" s="51"/>
    <row r="134" ht="15.75" customHeight="1" s="51"/>
    <row r="135" ht="15.75" customHeight="1" s="51"/>
    <row r="136" ht="15.75" customHeight="1" s="51"/>
    <row r="137" ht="15.75" customHeight="1" s="51"/>
    <row r="138" ht="15.75" customHeight="1" s="51"/>
    <row r="139" ht="15.75" customHeight="1" s="51"/>
    <row r="140" ht="15.75" customHeight="1" s="51"/>
    <row r="141" ht="15.75" customHeight="1" s="51"/>
    <row r="142" ht="15.75" customHeight="1" s="51"/>
    <row r="143" ht="15.75" customHeight="1" s="51"/>
    <row r="144" ht="15.75" customHeight="1" s="51"/>
    <row r="145" ht="15.75" customHeight="1" s="51"/>
    <row r="146" ht="15.75" customHeight="1" s="51"/>
    <row r="147" ht="15.75" customHeight="1" s="51"/>
    <row r="148" ht="15.75" customHeight="1" s="51"/>
    <row r="149" ht="15.75" customHeight="1" s="51"/>
    <row r="150" ht="15.75" customHeight="1" s="51"/>
    <row r="151" ht="15.75" customHeight="1" s="51"/>
    <row r="152" ht="15.75" customHeight="1" s="51"/>
    <row r="153" ht="15.75" customHeight="1" s="51"/>
    <row r="154" ht="15.75" customHeight="1" s="51"/>
    <row r="155" ht="15.75" customHeight="1" s="51"/>
    <row r="156" ht="15.75" customHeight="1" s="51"/>
    <row r="157" ht="15.75" customHeight="1" s="51"/>
    <row r="158" ht="15.75" customHeight="1" s="51"/>
    <row r="159" ht="15.75" customHeight="1" s="51"/>
    <row r="160" ht="15.75" customHeight="1" s="51"/>
    <row r="161" ht="15.75" customHeight="1" s="51"/>
    <row r="162" ht="15.75" customHeight="1" s="51"/>
    <row r="163" ht="15.75" customHeight="1" s="51"/>
    <row r="164" ht="15.75" customHeight="1" s="51"/>
    <row r="165" ht="15.75" customHeight="1" s="51"/>
    <row r="166" ht="15.75" customHeight="1" s="51"/>
    <row r="167" ht="15.75" customHeight="1" s="51"/>
    <row r="168" ht="15.75" customHeight="1" s="51"/>
    <row r="169" ht="15.75" customHeight="1" s="51"/>
    <row r="170" ht="15.75" customHeight="1" s="51"/>
    <row r="171" ht="15.75" customHeight="1" s="51"/>
    <row r="172" ht="15.75" customHeight="1" s="51"/>
    <row r="173" ht="15.75" customHeight="1" s="51"/>
    <row r="174" ht="15.75" customHeight="1" s="51"/>
    <row r="175" ht="15.75" customHeight="1" s="51"/>
    <row r="176" ht="15.75" customHeight="1" s="51"/>
    <row r="177" ht="15.75" customHeight="1" s="51"/>
    <row r="178" ht="15.75" customHeight="1" s="51"/>
    <row r="179" ht="15.75" customHeight="1" s="51"/>
    <row r="180" ht="15.75" customHeight="1" s="51"/>
    <row r="181" ht="15.75" customHeight="1" s="51"/>
    <row r="182" ht="15.75" customHeight="1" s="51"/>
    <row r="183" ht="15.75" customHeight="1" s="51"/>
    <row r="184" ht="15.75" customHeight="1" s="51"/>
    <row r="185" ht="15.75" customHeight="1" s="51"/>
    <row r="186" ht="15.75" customHeight="1" s="51"/>
    <row r="187" ht="15.75" customHeight="1" s="51"/>
    <row r="188" ht="15.75" customHeight="1" s="51"/>
    <row r="189" ht="15.75" customHeight="1" s="51"/>
    <row r="190" ht="15.75" customHeight="1" s="51"/>
    <row r="191" ht="15.75" customHeight="1" s="51"/>
    <row r="192" ht="15.75" customHeight="1" s="51"/>
    <row r="193" ht="15.75" customHeight="1" s="51"/>
    <row r="194" ht="15.75" customHeight="1" s="51"/>
    <row r="195" ht="15.75" customHeight="1" s="51"/>
    <row r="196" ht="15.75" customHeight="1" s="51"/>
    <row r="197" ht="15.75" customHeight="1" s="51"/>
    <row r="198" ht="15.75" customHeight="1" s="51"/>
    <row r="199" ht="15.75" customHeight="1" s="51"/>
    <row r="200" ht="15.75" customHeight="1" s="51"/>
    <row r="201" ht="15.75" customHeight="1" s="51"/>
    <row r="202" ht="15.75" customHeight="1" s="51"/>
    <row r="203" ht="15.75" customHeight="1" s="51"/>
    <row r="204" ht="15.75" customHeight="1" s="51"/>
    <row r="205" ht="15.75" customHeight="1" s="51"/>
    <row r="206" ht="15.75" customHeight="1" s="51"/>
    <row r="207" ht="15.75" customHeight="1" s="51"/>
    <row r="208" ht="15.75" customHeight="1" s="51"/>
    <row r="209" ht="15.75" customHeight="1" s="51"/>
    <row r="210" ht="15.75" customHeight="1" s="51"/>
    <row r="211" ht="15.75" customHeight="1" s="51"/>
    <row r="212" ht="15.75" customHeight="1" s="51"/>
    <row r="213" ht="15.75" customHeight="1" s="51"/>
    <row r="214" ht="15.75" customHeight="1" s="51"/>
    <row r="215" ht="15.75" customHeight="1" s="51"/>
    <row r="216" ht="15.75" customHeight="1" s="51"/>
    <row r="217" ht="15.75" customHeight="1" s="51"/>
    <row r="218" ht="15.75" customHeight="1" s="51"/>
    <row r="219" ht="15.75" customHeight="1" s="51"/>
    <row r="220" ht="15.75" customHeight="1" s="51"/>
    <row r="221" ht="15.75" customHeight="1" s="51"/>
    <row r="222" ht="15.75" customHeight="1" s="51"/>
    <row r="223" ht="15.75" customHeight="1" s="51"/>
    <row r="224" ht="15.75" customHeight="1" s="51"/>
    <row r="225" ht="15.75" customHeight="1" s="51"/>
    <row r="226" ht="15.75" customHeight="1" s="51"/>
    <row r="227" ht="15.75" customHeight="1" s="51"/>
    <row r="228" ht="15.75" customHeight="1" s="51"/>
    <row r="229" ht="15.75" customHeight="1" s="51"/>
    <row r="230" ht="15.75" customHeight="1" s="51"/>
    <row r="231" ht="15.75" customHeight="1" s="51"/>
    <row r="232" ht="15.75" customHeight="1" s="51"/>
    <row r="233" ht="15.75" customHeight="1" s="51"/>
    <row r="234" ht="15.75" customHeight="1" s="51"/>
    <row r="235" ht="15.75" customHeight="1" s="51"/>
    <row r="236" ht="15.75" customHeight="1" s="51"/>
    <row r="237" ht="15.75" customHeight="1" s="51"/>
    <row r="238" ht="15.75" customHeight="1" s="51"/>
    <row r="239" ht="15.75" customHeight="1" s="51"/>
    <row r="240" ht="15.75" customHeight="1" s="51"/>
    <row r="241" ht="15.75" customHeight="1" s="51"/>
    <row r="242" ht="15.75" customHeight="1" s="51"/>
    <row r="243" ht="15.75" customHeight="1" s="51"/>
    <row r="244" ht="15.75" customHeight="1" s="51"/>
    <row r="245" ht="15.75" customHeight="1" s="51"/>
    <row r="246" ht="15.75" customHeight="1" s="51"/>
    <row r="247" ht="15.75" customHeight="1" s="51"/>
    <row r="248" ht="15.75" customHeight="1" s="51"/>
    <row r="249" ht="15.75" customHeight="1" s="51"/>
    <row r="250" ht="15.75" customHeight="1" s="51"/>
    <row r="251" ht="15.75" customHeight="1" s="51"/>
    <row r="252" ht="15.75" customHeight="1" s="51"/>
    <row r="253" ht="15.75" customHeight="1" s="51"/>
    <row r="254" ht="15.75" customHeight="1" s="51"/>
    <row r="255" ht="15.75" customHeight="1" s="51"/>
    <row r="256" ht="15.75" customHeight="1" s="51"/>
    <row r="257" ht="15.75" customHeight="1" s="51"/>
    <row r="258" ht="15.75" customHeight="1" s="51"/>
    <row r="259" ht="15.75" customHeight="1" s="51"/>
    <row r="260" ht="15.75" customHeight="1" s="51"/>
    <row r="261" ht="15.75" customHeight="1" s="51"/>
    <row r="262" ht="15.75" customHeight="1" s="51"/>
    <row r="263" ht="15.75" customHeight="1" s="51"/>
    <row r="264" ht="15.75" customHeight="1" s="51"/>
    <row r="265" ht="15.75" customHeight="1" s="51"/>
    <row r="266" ht="15.75" customHeight="1" s="51"/>
    <row r="267" ht="15.75" customHeight="1" s="51"/>
    <row r="268" ht="15.75" customHeight="1" s="51"/>
    <row r="269" ht="15.75" customHeight="1" s="51"/>
    <row r="270" ht="15.75" customHeight="1" s="51"/>
    <row r="271" ht="15.75" customHeight="1" s="51"/>
    <row r="272" ht="15.75" customHeight="1" s="51"/>
    <row r="273" ht="15.75" customHeight="1" s="51"/>
    <row r="274" ht="15.75" customHeight="1" s="51"/>
    <row r="275" ht="15.75" customHeight="1" s="51"/>
    <row r="276" ht="15.75" customHeight="1" s="51"/>
    <row r="277" ht="15.75" customHeight="1" s="51"/>
    <row r="278" ht="15.75" customHeight="1" s="51"/>
    <row r="279" ht="15.75" customHeight="1" s="51"/>
    <row r="280" ht="15.75" customHeight="1" s="51"/>
    <row r="281" ht="15.75" customHeight="1" s="51"/>
    <row r="282" ht="15.75" customHeight="1" s="51"/>
    <row r="283" ht="15.75" customHeight="1" s="51"/>
    <row r="284" ht="15.75" customHeight="1" s="51"/>
    <row r="285" ht="15.75" customHeight="1" s="51"/>
    <row r="286" ht="15.75" customHeight="1" s="51"/>
    <row r="287" ht="15.75" customHeight="1" s="51"/>
    <row r="288" ht="15.75" customHeight="1" s="51"/>
    <row r="289" ht="15.75" customHeight="1" s="51"/>
    <row r="290" ht="15.75" customHeight="1" s="51"/>
    <row r="291" ht="15.75" customHeight="1" s="51"/>
    <row r="292" ht="15.75" customHeight="1" s="51"/>
    <row r="293" ht="15.75" customHeight="1" s="51"/>
    <row r="294" ht="15.75" customHeight="1" s="51"/>
    <row r="295" ht="15.75" customHeight="1" s="51"/>
    <row r="296" ht="15.75" customHeight="1" s="51"/>
    <row r="297" ht="15.75" customHeight="1" s="51"/>
    <row r="298" ht="15.75" customHeight="1" s="51"/>
    <row r="299" ht="15.75" customHeight="1" s="51"/>
    <row r="300" ht="15.75" customHeight="1" s="51"/>
    <row r="301" ht="15.75" customHeight="1" s="51"/>
    <row r="302" ht="15.75" customHeight="1" s="51"/>
    <row r="303" ht="15.75" customHeight="1" s="51"/>
    <row r="304" ht="15.75" customHeight="1" s="51"/>
    <row r="305" ht="15.75" customHeight="1" s="51"/>
    <row r="306" ht="15.75" customHeight="1" s="51"/>
    <row r="307" ht="15.75" customHeight="1" s="51"/>
    <row r="308" ht="15.75" customHeight="1" s="51"/>
    <row r="309" ht="15.75" customHeight="1" s="51"/>
    <row r="310" ht="15.75" customHeight="1" s="51"/>
    <row r="311" ht="15.75" customHeight="1" s="51"/>
    <row r="312" ht="15.75" customHeight="1" s="51"/>
    <row r="313" ht="15.75" customHeight="1" s="51"/>
    <row r="314" ht="15.75" customHeight="1" s="51"/>
    <row r="315" ht="15.75" customHeight="1" s="51"/>
    <row r="316" ht="15.75" customHeight="1" s="51"/>
    <row r="317" ht="15.75" customHeight="1" s="51"/>
    <row r="318" ht="15.75" customHeight="1" s="51"/>
    <row r="319" ht="15.75" customHeight="1" s="51"/>
    <row r="320" ht="15.75" customHeight="1" s="51"/>
    <row r="321" ht="15.75" customHeight="1" s="51"/>
    <row r="322" ht="15.75" customHeight="1" s="51"/>
    <row r="323" ht="15.75" customHeight="1" s="51"/>
    <row r="324" ht="15.75" customHeight="1" s="51"/>
    <row r="325" ht="15.75" customHeight="1" s="51"/>
    <row r="326" ht="15.75" customHeight="1" s="51"/>
    <row r="327" ht="15.75" customHeight="1" s="51"/>
    <row r="328" ht="15.75" customHeight="1" s="51"/>
    <row r="329" ht="15.75" customHeight="1" s="51"/>
    <row r="330" ht="15.75" customHeight="1" s="51"/>
    <row r="331" ht="15.75" customHeight="1" s="51"/>
    <row r="332" ht="15.75" customHeight="1" s="51"/>
    <row r="333" ht="15.75" customHeight="1" s="51"/>
    <row r="334" ht="15.75" customHeight="1" s="51"/>
    <row r="335" ht="15.75" customHeight="1" s="51"/>
    <row r="336" ht="15.75" customHeight="1" s="51"/>
    <row r="337" ht="15.75" customHeight="1" s="51"/>
    <row r="338" ht="15.75" customHeight="1" s="51"/>
    <row r="339" ht="15.75" customHeight="1" s="51"/>
    <row r="340" ht="15.75" customHeight="1" s="51"/>
    <row r="341" ht="15.75" customHeight="1" s="51"/>
    <row r="342" ht="15.75" customHeight="1" s="51"/>
    <row r="343" ht="15.75" customHeight="1" s="51"/>
    <row r="344" ht="15.75" customHeight="1" s="51"/>
    <row r="345" ht="15.75" customHeight="1" s="51"/>
    <row r="346" ht="15.75" customHeight="1" s="51"/>
    <row r="347" ht="15.75" customHeight="1" s="51"/>
    <row r="348" ht="15.75" customHeight="1" s="51"/>
    <row r="349" ht="15.75" customHeight="1" s="51"/>
    <row r="350" ht="15.75" customHeight="1" s="51"/>
    <row r="351" ht="15.75" customHeight="1" s="51"/>
    <row r="352" ht="15.75" customHeight="1" s="51"/>
    <row r="353" ht="15.75" customHeight="1" s="51"/>
    <row r="354" ht="15.75" customHeight="1" s="51"/>
    <row r="355" ht="15.75" customHeight="1" s="51"/>
    <row r="356" ht="15.75" customHeight="1" s="51"/>
    <row r="357" ht="15.75" customHeight="1" s="51"/>
    <row r="358" ht="15.75" customHeight="1" s="51"/>
    <row r="359" ht="15.75" customHeight="1" s="51"/>
    <row r="360" ht="15.75" customHeight="1" s="51"/>
    <row r="361" ht="15.75" customHeight="1" s="51"/>
    <row r="362" ht="15.75" customHeight="1" s="51"/>
    <row r="363" ht="15.75" customHeight="1" s="51"/>
    <row r="364" ht="15.75" customHeight="1" s="51"/>
    <row r="365" ht="15.75" customHeight="1" s="51"/>
    <row r="366" ht="15.75" customHeight="1" s="51"/>
    <row r="367" ht="15.75" customHeight="1" s="51"/>
    <row r="368" ht="15.75" customHeight="1" s="51"/>
    <row r="369" ht="15.75" customHeight="1" s="51"/>
    <row r="370" ht="15.75" customHeight="1" s="51"/>
    <row r="371" ht="15.75" customHeight="1" s="51"/>
    <row r="372" ht="15.75" customHeight="1" s="51"/>
    <row r="373" ht="15.75" customHeight="1" s="51"/>
    <row r="374" ht="15.75" customHeight="1" s="51"/>
    <row r="375" ht="15.75" customHeight="1" s="51"/>
    <row r="376" ht="15.75" customHeight="1" s="51"/>
    <row r="377" ht="15.75" customHeight="1" s="51"/>
    <row r="378" ht="15.75" customHeight="1" s="51"/>
    <row r="379" ht="15.75" customHeight="1" s="51"/>
    <row r="380" ht="15.75" customHeight="1" s="51"/>
    <row r="381" ht="15.75" customHeight="1" s="51"/>
    <row r="382" ht="15.75" customHeight="1" s="51"/>
    <row r="383" ht="15.75" customHeight="1" s="51"/>
    <row r="384" ht="15.75" customHeight="1" s="51"/>
    <row r="385" ht="15.75" customHeight="1" s="51"/>
    <row r="386" ht="15.75" customHeight="1" s="51"/>
    <row r="387" ht="15.75" customHeight="1" s="51"/>
    <row r="388" ht="15.75" customHeight="1" s="51"/>
    <row r="389" ht="15.75" customHeight="1" s="51"/>
    <row r="390" ht="15.75" customHeight="1" s="51"/>
    <row r="391" ht="15.75" customHeight="1" s="51"/>
    <row r="392" ht="15.75" customHeight="1" s="51"/>
    <row r="393" ht="15.75" customHeight="1" s="51"/>
    <row r="394" ht="15.75" customHeight="1" s="51"/>
    <row r="395" ht="15.75" customHeight="1" s="51"/>
    <row r="396" ht="15.75" customHeight="1" s="51"/>
    <row r="397" ht="15.75" customHeight="1" s="51"/>
    <row r="398" ht="15.75" customHeight="1" s="51"/>
    <row r="399" ht="15.75" customHeight="1" s="51"/>
    <row r="400" ht="15.75" customHeight="1" s="51"/>
    <row r="401" ht="15.75" customHeight="1" s="51"/>
    <row r="402" ht="15.75" customHeight="1" s="51"/>
    <row r="403" ht="15.75" customHeight="1" s="51"/>
    <row r="404" ht="15.75" customHeight="1" s="51"/>
    <row r="405" ht="15.75" customHeight="1" s="51"/>
    <row r="406" ht="15.75" customHeight="1" s="51"/>
    <row r="407" ht="15.75" customHeight="1" s="51"/>
    <row r="408" ht="15.75" customHeight="1" s="51"/>
    <row r="409" ht="15.75" customHeight="1" s="51"/>
    <row r="410" ht="15.75" customHeight="1" s="51"/>
    <row r="411" ht="15.75" customHeight="1" s="51"/>
    <row r="412" ht="15.75" customHeight="1" s="51"/>
    <row r="413" ht="15.75" customHeight="1" s="51"/>
    <row r="414" ht="15.75" customHeight="1" s="51"/>
    <row r="415" ht="15.75" customHeight="1" s="51"/>
    <row r="416" ht="15.75" customHeight="1" s="51"/>
    <row r="417" ht="15.75" customHeight="1" s="51"/>
    <row r="418" ht="15.75" customHeight="1" s="51"/>
    <row r="419" ht="15.75" customHeight="1" s="51"/>
    <row r="420" ht="15.75" customHeight="1" s="51"/>
    <row r="421" ht="15.75" customHeight="1" s="51"/>
    <row r="422" ht="15.75" customHeight="1" s="51"/>
    <row r="423" ht="15.75" customHeight="1" s="51"/>
    <row r="424" ht="15.75" customHeight="1" s="51"/>
    <row r="425" ht="15.75" customHeight="1" s="51"/>
    <row r="426" ht="15.75" customHeight="1" s="51"/>
    <row r="427" ht="15.75" customHeight="1" s="51"/>
    <row r="428" ht="15.75" customHeight="1" s="51"/>
    <row r="429" ht="15.75" customHeight="1" s="51"/>
    <row r="430" ht="15.75" customHeight="1" s="51"/>
    <row r="431" ht="15.75" customHeight="1" s="51"/>
    <row r="432" ht="15.75" customHeight="1" s="51"/>
    <row r="433" ht="15.75" customHeight="1" s="51"/>
    <row r="434" ht="15.75" customHeight="1" s="51"/>
    <row r="435" ht="15.75" customHeight="1" s="51"/>
    <row r="436" ht="15.75" customHeight="1" s="51"/>
    <row r="437" ht="15.75" customHeight="1" s="51"/>
    <row r="438" ht="15.75" customHeight="1" s="51"/>
    <row r="439" ht="15.75" customHeight="1" s="51"/>
    <row r="440" ht="15.75" customHeight="1" s="51"/>
    <row r="441" ht="15.75" customHeight="1" s="51"/>
    <row r="442" ht="15.75" customHeight="1" s="51"/>
    <row r="443" ht="15.75" customHeight="1" s="51"/>
    <row r="444" ht="15.75" customHeight="1" s="51"/>
    <row r="445" ht="15.75" customHeight="1" s="51"/>
    <row r="446" ht="15.75" customHeight="1" s="51"/>
    <row r="447" ht="15.75" customHeight="1" s="51"/>
    <row r="448" ht="15.75" customHeight="1" s="51"/>
    <row r="449" ht="15.75" customHeight="1" s="51"/>
    <row r="450" ht="15.75" customHeight="1" s="51"/>
    <row r="451" ht="15.75" customHeight="1" s="51"/>
    <row r="452" ht="15.75" customHeight="1" s="51"/>
    <row r="453" ht="15.75" customHeight="1" s="51"/>
    <row r="454" ht="15.75" customHeight="1" s="51"/>
    <row r="455" ht="15.75" customHeight="1" s="51"/>
    <row r="456" ht="15.75" customHeight="1" s="51"/>
    <row r="457" ht="15.75" customHeight="1" s="51"/>
    <row r="458" ht="15.75" customHeight="1" s="51"/>
    <row r="459" ht="15.75" customHeight="1" s="51"/>
    <row r="460" ht="15.75" customHeight="1" s="51"/>
    <row r="461" ht="15.75" customHeight="1" s="51"/>
    <row r="462" ht="15.75" customHeight="1" s="51"/>
    <row r="463" ht="15.75" customHeight="1" s="51"/>
    <row r="464" ht="15.75" customHeight="1" s="51"/>
    <row r="465" ht="15.75" customHeight="1" s="51"/>
    <row r="466" ht="15.75" customHeight="1" s="51"/>
    <row r="467" ht="15.75" customHeight="1" s="51"/>
    <row r="468" ht="15.75" customHeight="1" s="51"/>
    <row r="469" ht="15.75" customHeight="1" s="51"/>
    <row r="470" ht="15.75" customHeight="1" s="51"/>
    <row r="471" ht="15.75" customHeight="1" s="51"/>
    <row r="472" ht="15.75" customHeight="1" s="51"/>
    <row r="473" ht="15.75" customHeight="1" s="51"/>
    <row r="474" ht="15.75" customHeight="1" s="51"/>
    <row r="475" ht="15.75" customHeight="1" s="51"/>
    <row r="476" ht="15.75" customHeight="1" s="51"/>
    <row r="477" ht="15.75" customHeight="1" s="51"/>
    <row r="478" ht="15.75" customHeight="1" s="51"/>
    <row r="479" ht="15.75" customHeight="1" s="51"/>
    <row r="480" ht="15.75" customHeight="1" s="51"/>
    <row r="481" ht="15.75" customHeight="1" s="51"/>
    <row r="482" ht="15.75" customHeight="1" s="51"/>
    <row r="483" ht="15.75" customHeight="1" s="51"/>
    <row r="484" ht="15.75" customHeight="1" s="51"/>
    <row r="485" ht="15.75" customHeight="1" s="51"/>
    <row r="486" ht="15.75" customHeight="1" s="51"/>
    <row r="487" ht="15.75" customHeight="1" s="51"/>
    <row r="488" ht="15.75" customHeight="1" s="51"/>
    <row r="489" ht="15.75" customHeight="1" s="51"/>
    <row r="490" ht="15.75" customHeight="1" s="51"/>
    <row r="491" ht="15.75" customHeight="1" s="51"/>
    <row r="492" ht="15.75" customHeight="1" s="51"/>
    <row r="493" ht="15.75" customHeight="1" s="51"/>
    <row r="494" ht="15.75" customHeight="1" s="51"/>
    <row r="495" ht="15.75" customHeight="1" s="51"/>
    <row r="496" ht="15.75" customHeight="1" s="51"/>
    <row r="497" ht="15.75" customHeight="1" s="51"/>
    <row r="498" ht="15.75" customHeight="1" s="51"/>
    <row r="499" ht="15.75" customHeight="1" s="51"/>
    <row r="500" ht="15.75" customHeight="1" s="51"/>
    <row r="501" ht="15.75" customHeight="1" s="51"/>
    <row r="502" ht="15.75" customHeight="1" s="51"/>
    <row r="503" ht="15.75" customHeight="1" s="51"/>
    <row r="504" ht="15.75" customHeight="1" s="51"/>
    <row r="505" ht="15.75" customHeight="1" s="51"/>
    <row r="506" ht="15.75" customHeight="1" s="51"/>
    <row r="507" ht="15.75" customHeight="1" s="51"/>
    <row r="508" ht="15.75" customHeight="1" s="51"/>
    <row r="509" ht="15.75" customHeight="1" s="51"/>
    <row r="510" ht="15.75" customHeight="1" s="51"/>
    <row r="511" ht="15.75" customHeight="1" s="51"/>
    <row r="512" ht="15.75" customHeight="1" s="51"/>
    <row r="513" ht="15.75" customHeight="1" s="51"/>
    <row r="514" ht="15.75" customHeight="1" s="51"/>
    <row r="515" ht="15.75" customHeight="1" s="51"/>
    <row r="516" ht="15.75" customHeight="1" s="51"/>
    <row r="517" ht="15.75" customHeight="1" s="51"/>
    <row r="518" ht="15.75" customHeight="1" s="51"/>
    <row r="519" ht="15.75" customHeight="1" s="51"/>
    <row r="520" ht="15.75" customHeight="1" s="51"/>
    <row r="521" ht="15.75" customHeight="1" s="51"/>
    <row r="522" ht="15.75" customHeight="1" s="51"/>
    <row r="523" ht="15.75" customHeight="1" s="51"/>
    <row r="524" ht="15.75" customHeight="1" s="51"/>
    <row r="525" ht="15.75" customHeight="1" s="51"/>
    <row r="526" ht="15.75" customHeight="1" s="51"/>
    <row r="527" ht="15.75" customHeight="1" s="51"/>
    <row r="528" ht="15.75" customHeight="1" s="51"/>
    <row r="529" ht="15.75" customHeight="1" s="51"/>
    <row r="530" ht="15.75" customHeight="1" s="51"/>
    <row r="531" ht="15.75" customHeight="1" s="51"/>
    <row r="532" ht="15.75" customHeight="1" s="51"/>
    <row r="533" ht="15.75" customHeight="1" s="51"/>
    <row r="534" ht="15.75" customHeight="1" s="51"/>
    <row r="535" ht="15.75" customHeight="1" s="51"/>
    <row r="536" ht="15.75" customHeight="1" s="51"/>
    <row r="537" ht="15.75" customHeight="1" s="51"/>
    <row r="538" ht="15.75" customHeight="1" s="51"/>
    <row r="539" ht="15.75" customHeight="1" s="51"/>
    <row r="540" ht="15.75" customHeight="1" s="51"/>
    <row r="541" ht="15.75" customHeight="1" s="51"/>
    <row r="542" ht="15.75" customHeight="1" s="51"/>
    <row r="543" ht="15.75" customHeight="1" s="51"/>
    <row r="544" ht="15.75" customHeight="1" s="51"/>
    <row r="545" ht="15.75" customHeight="1" s="51"/>
    <row r="546" ht="15.75" customHeight="1" s="51"/>
    <row r="547" ht="15.75" customHeight="1" s="51"/>
    <row r="548" ht="15.75" customHeight="1" s="51"/>
    <row r="549" ht="15.75" customHeight="1" s="51"/>
    <row r="550" ht="15.75" customHeight="1" s="51"/>
    <row r="551" ht="15.75" customHeight="1" s="51"/>
    <row r="552" ht="15.75" customHeight="1" s="51"/>
    <row r="553" ht="15.75" customHeight="1" s="51"/>
    <row r="554" ht="15.75" customHeight="1" s="51"/>
    <row r="555" ht="15.75" customHeight="1" s="51"/>
    <row r="556" ht="15.75" customHeight="1" s="51"/>
    <row r="557" ht="15.75" customHeight="1" s="51"/>
    <row r="558" ht="15.75" customHeight="1" s="51"/>
    <row r="559" ht="15.75" customHeight="1" s="51"/>
    <row r="560" ht="15.75" customHeight="1" s="51"/>
    <row r="561" ht="15.75" customHeight="1" s="51"/>
    <row r="562" ht="15.75" customHeight="1" s="51"/>
    <row r="563" ht="15.75" customHeight="1" s="51"/>
    <row r="564" ht="15.75" customHeight="1" s="51"/>
    <row r="565" ht="15.75" customHeight="1" s="51"/>
    <row r="566" ht="15.75" customHeight="1" s="51"/>
    <row r="567" ht="15.75" customHeight="1" s="51"/>
    <row r="568" ht="15.75" customHeight="1" s="51"/>
    <row r="569" ht="15.75" customHeight="1" s="51"/>
    <row r="570" ht="15.75" customHeight="1" s="51"/>
    <row r="571" ht="15.75" customHeight="1" s="51"/>
    <row r="572" ht="15.75" customHeight="1" s="51"/>
    <row r="573" ht="15.75" customHeight="1" s="51"/>
    <row r="574" ht="15.75" customHeight="1" s="51"/>
    <row r="575" ht="15.75" customHeight="1" s="51"/>
    <row r="576" ht="15.75" customHeight="1" s="51"/>
    <row r="577" ht="15.75" customHeight="1" s="51"/>
    <row r="578" ht="15.75" customHeight="1" s="51"/>
    <row r="579" ht="15.75" customHeight="1" s="51"/>
    <row r="580" ht="15.75" customHeight="1" s="51"/>
    <row r="581" ht="15.75" customHeight="1" s="51"/>
    <row r="582" ht="15.75" customHeight="1" s="51"/>
    <row r="583" ht="15.75" customHeight="1" s="51"/>
    <row r="584" ht="15.75" customHeight="1" s="51"/>
    <row r="585" ht="15.75" customHeight="1" s="51"/>
    <row r="586" ht="15.75" customHeight="1" s="51"/>
    <row r="587" ht="15.75" customHeight="1" s="51"/>
    <row r="588" ht="15.75" customHeight="1" s="51"/>
    <row r="589" ht="15.75" customHeight="1" s="51"/>
    <row r="590" ht="15.75" customHeight="1" s="51"/>
    <row r="591" ht="15.75" customHeight="1" s="51"/>
    <row r="592" ht="15.75" customHeight="1" s="51"/>
    <row r="593" ht="15.75" customHeight="1" s="51"/>
    <row r="594" ht="15.75" customHeight="1" s="51"/>
    <row r="595" ht="15.75" customHeight="1" s="51"/>
    <row r="596" ht="15.75" customHeight="1" s="51"/>
    <row r="597" ht="15.75" customHeight="1" s="51"/>
    <row r="598" ht="15.75" customHeight="1" s="51"/>
    <row r="599" ht="15.75" customHeight="1" s="51"/>
    <row r="600" ht="15.75" customHeight="1" s="51"/>
    <row r="601" ht="15.75" customHeight="1" s="51"/>
    <row r="602" ht="15.75" customHeight="1" s="51"/>
    <row r="603" ht="15.75" customHeight="1" s="51"/>
    <row r="604" ht="15.75" customHeight="1" s="51"/>
    <row r="605" ht="15.75" customHeight="1" s="51"/>
    <row r="606" ht="15.75" customHeight="1" s="51"/>
    <row r="607" ht="15.75" customHeight="1" s="51"/>
    <row r="608" ht="15.75" customHeight="1" s="51"/>
    <row r="609" ht="15.75" customHeight="1" s="51"/>
    <row r="610" ht="15.75" customHeight="1" s="51"/>
    <row r="611" ht="15.75" customHeight="1" s="51"/>
    <row r="612" ht="15.75" customHeight="1" s="51"/>
    <row r="613" ht="15.75" customHeight="1" s="51"/>
    <row r="614" ht="15.75" customHeight="1" s="51"/>
    <row r="615" ht="15.75" customHeight="1" s="51"/>
    <row r="616" ht="15.75" customHeight="1" s="51"/>
    <row r="617" ht="15.75" customHeight="1" s="51"/>
    <row r="618" ht="15.75" customHeight="1" s="51"/>
    <row r="619" ht="15.75" customHeight="1" s="51"/>
    <row r="620" ht="15.75" customHeight="1" s="51"/>
    <row r="621" ht="15.75" customHeight="1" s="51"/>
    <row r="622" ht="15.75" customHeight="1" s="51"/>
    <row r="623" ht="15.75" customHeight="1" s="51"/>
    <row r="624" ht="15.75" customHeight="1" s="51"/>
    <row r="625" ht="15.75" customHeight="1" s="51"/>
    <row r="626" ht="15.75" customHeight="1" s="51"/>
    <row r="627" ht="15.75" customHeight="1" s="51"/>
    <row r="628" ht="15.75" customHeight="1" s="51"/>
    <row r="629" ht="15.75" customHeight="1" s="51"/>
    <row r="630" ht="15.75" customHeight="1" s="51"/>
    <row r="631" ht="15.75" customHeight="1" s="51"/>
    <row r="632" ht="15.75" customHeight="1" s="51"/>
    <row r="633" ht="15.75" customHeight="1" s="51"/>
    <row r="634" ht="15.75" customHeight="1" s="51"/>
    <row r="635" ht="15.75" customHeight="1" s="51"/>
    <row r="636" ht="15.75" customHeight="1" s="51"/>
    <row r="637" ht="15.75" customHeight="1" s="51"/>
    <row r="638" ht="15.75" customHeight="1" s="51"/>
    <row r="639" ht="15.75" customHeight="1" s="51"/>
    <row r="640" ht="15.75" customHeight="1" s="51"/>
    <row r="641" ht="15.75" customHeight="1" s="51"/>
    <row r="642" ht="15.75" customHeight="1" s="51"/>
    <row r="643" ht="15.75" customHeight="1" s="51"/>
    <row r="644" ht="15.75" customHeight="1" s="51"/>
    <row r="645" ht="15.75" customHeight="1" s="51"/>
    <row r="646" ht="15.75" customHeight="1" s="51"/>
    <row r="647" ht="15.75" customHeight="1" s="51"/>
    <row r="648" ht="15.75" customHeight="1" s="51"/>
    <row r="649" ht="15.75" customHeight="1" s="51"/>
    <row r="650" ht="15.75" customHeight="1" s="51"/>
    <row r="651" ht="15.75" customHeight="1" s="51"/>
    <row r="652" ht="15.75" customHeight="1" s="51"/>
    <row r="653" ht="15.75" customHeight="1" s="51"/>
    <row r="654" ht="15.75" customHeight="1" s="51"/>
    <row r="655" ht="15.75" customHeight="1" s="51"/>
    <row r="656" ht="15.75" customHeight="1" s="51"/>
    <row r="657" ht="15.75" customHeight="1" s="51"/>
    <row r="658" ht="15.75" customHeight="1" s="51"/>
    <row r="659" ht="15.75" customHeight="1" s="51"/>
    <row r="660" ht="15.75" customHeight="1" s="51"/>
    <row r="661" ht="15.75" customHeight="1" s="51"/>
    <row r="662" ht="15.75" customHeight="1" s="51"/>
    <row r="663" ht="15.75" customHeight="1" s="51"/>
    <row r="664" ht="15.75" customHeight="1" s="51"/>
    <row r="665" ht="15.75" customHeight="1" s="51"/>
    <row r="666" ht="15.75" customHeight="1" s="51"/>
    <row r="667" ht="15.75" customHeight="1" s="51"/>
    <row r="668" ht="15.75" customHeight="1" s="51"/>
    <row r="669" ht="15.75" customHeight="1" s="51"/>
    <row r="670" ht="15.75" customHeight="1" s="51"/>
    <row r="671" ht="15.75" customHeight="1" s="51"/>
    <row r="672" ht="15.75" customHeight="1" s="51"/>
    <row r="673" ht="15.75" customHeight="1" s="51"/>
    <row r="674" ht="15.75" customHeight="1" s="51"/>
    <row r="675" ht="15.75" customHeight="1" s="51"/>
    <row r="676" ht="15.75" customHeight="1" s="51"/>
    <row r="677" ht="15.75" customHeight="1" s="51"/>
    <row r="678" ht="15.75" customHeight="1" s="51"/>
    <row r="679" ht="15.75" customHeight="1" s="51"/>
    <row r="680" ht="15.75" customHeight="1" s="51"/>
    <row r="681" ht="15.75" customHeight="1" s="51"/>
    <row r="682" ht="15.75" customHeight="1" s="51"/>
    <row r="683" ht="15.75" customHeight="1" s="51"/>
    <row r="684" ht="15.75" customHeight="1" s="51"/>
    <row r="685" ht="15.75" customHeight="1" s="51"/>
    <row r="686" ht="15.75" customHeight="1" s="51"/>
    <row r="687" ht="15.75" customHeight="1" s="51"/>
    <row r="688" ht="15.75" customHeight="1" s="51"/>
    <row r="689" ht="15.75" customHeight="1" s="51"/>
    <row r="690" ht="15.75" customHeight="1" s="51"/>
    <row r="691" ht="15.75" customHeight="1" s="51"/>
    <row r="692" ht="15.75" customHeight="1" s="51"/>
    <row r="693" ht="15.75" customHeight="1" s="51"/>
    <row r="694" ht="15.75" customHeight="1" s="51"/>
    <row r="695" ht="15.75" customHeight="1" s="51"/>
    <row r="696" ht="15.75" customHeight="1" s="51"/>
    <row r="697" ht="15.75" customHeight="1" s="51"/>
    <row r="698" ht="15.75" customHeight="1" s="51"/>
    <row r="699" ht="15.75" customHeight="1" s="51"/>
    <row r="700" ht="15.75" customHeight="1" s="51"/>
    <row r="701" ht="15.75" customHeight="1" s="51"/>
    <row r="702" ht="15.75" customHeight="1" s="51"/>
    <row r="703" ht="15.75" customHeight="1" s="51"/>
    <row r="704" ht="15.75" customHeight="1" s="51"/>
    <row r="705" ht="15.75" customHeight="1" s="51"/>
    <row r="706" ht="15.75" customHeight="1" s="51"/>
    <row r="707" ht="15.75" customHeight="1" s="51"/>
    <row r="708" ht="15.75" customHeight="1" s="51"/>
    <row r="709" ht="15.75" customHeight="1" s="51"/>
    <row r="710" ht="15.75" customHeight="1" s="51"/>
    <row r="711" ht="15.75" customHeight="1" s="51"/>
    <row r="712" ht="15.75" customHeight="1" s="51"/>
    <row r="713" ht="15.75" customHeight="1" s="51"/>
    <row r="714" ht="15.75" customHeight="1" s="51"/>
    <row r="715" ht="15.75" customHeight="1" s="51"/>
    <row r="716" ht="15.75" customHeight="1" s="51"/>
    <row r="717" ht="15.75" customHeight="1" s="51"/>
    <row r="718" ht="15.75" customHeight="1" s="51"/>
    <row r="719" ht="15.75" customHeight="1" s="51"/>
    <row r="720" ht="15.75" customHeight="1" s="51"/>
    <row r="721" ht="15.75" customHeight="1" s="51"/>
    <row r="722" ht="15.75" customHeight="1" s="51"/>
    <row r="723" ht="15.75" customHeight="1" s="51"/>
    <row r="724" ht="15.75" customHeight="1" s="51"/>
    <row r="725" ht="15.75" customHeight="1" s="51"/>
    <row r="726" ht="15.75" customHeight="1" s="51"/>
    <row r="727" ht="15.75" customHeight="1" s="51"/>
    <row r="728" ht="15.75" customHeight="1" s="51"/>
    <row r="729" ht="15.75" customHeight="1" s="51"/>
    <row r="730" ht="15.75" customHeight="1" s="51"/>
    <row r="731" ht="15.75" customHeight="1" s="51"/>
    <row r="732" ht="15.75" customHeight="1" s="51"/>
    <row r="733" ht="15.75" customHeight="1" s="51"/>
    <row r="734" ht="15.75" customHeight="1" s="51"/>
    <row r="735" ht="15.75" customHeight="1" s="51"/>
    <row r="736" ht="15.75" customHeight="1" s="51"/>
    <row r="737" ht="15.75" customHeight="1" s="51"/>
    <row r="738" ht="15.75" customHeight="1" s="51"/>
    <row r="739" ht="15.75" customHeight="1" s="51"/>
    <row r="740" ht="15.75" customHeight="1" s="51"/>
    <row r="741" ht="15.75" customHeight="1" s="51"/>
    <row r="742" ht="15.75" customHeight="1" s="51"/>
    <row r="743" ht="15.75" customHeight="1" s="51"/>
    <row r="744" ht="15.75" customHeight="1" s="51"/>
    <row r="745" ht="15.75" customHeight="1" s="51"/>
    <row r="746" ht="15.75" customHeight="1" s="51"/>
    <row r="747" ht="15.75" customHeight="1" s="51"/>
    <row r="748" ht="15.75" customHeight="1" s="51"/>
    <row r="749" ht="15.75" customHeight="1" s="51"/>
    <row r="750" ht="15.75" customHeight="1" s="51"/>
    <row r="751" ht="15.75" customHeight="1" s="51"/>
    <row r="752" ht="15.75" customHeight="1" s="51"/>
    <row r="753" ht="15.75" customHeight="1" s="51"/>
    <row r="754" ht="15.75" customHeight="1" s="51"/>
    <row r="755" ht="15.75" customHeight="1" s="51"/>
    <row r="756" ht="15.75" customHeight="1" s="51"/>
    <row r="757" ht="15.75" customHeight="1" s="51"/>
    <row r="758" ht="15.75" customHeight="1" s="51"/>
    <row r="759" ht="15.75" customHeight="1" s="51"/>
    <row r="760" ht="15.75" customHeight="1" s="51"/>
    <row r="761" ht="15.75" customHeight="1" s="51"/>
    <row r="762" ht="15.75" customHeight="1" s="51"/>
    <row r="763" ht="15.75" customHeight="1" s="51"/>
    <row r="764" ht="15.75" customHeight="1" s="51"/>
    <row r="765" ht="15.75" customHeight="1" s="51"/>
    <row r="766" ht="15.75" customHeight="1" s="51"/>
    <row r="767" ht="15.75" customHeight="1" s="51"/>
    <row r="768" ht="15.75" customHeight="1" s="51"/>
    <row r="769" ht="15.75" customHeight="1" s="51"/>
    <row r="770" ht="15.75" customHeight="1" s="51"/>
    <row r="771" ht="15.75" customHeight="1" s="51"/>
    <row r="772" ht="15.75" customHeight="1" s="51"/>
    <row r="773" ht="15.75" customHeight="1" s="51"/>
    <row r="774" ht="15.75" customHeight="1" s="51"/>
    <row r="775" ht="15.75" customHeight="1" s="51"/>
    <row r="776" ht="15.75" customHeight="1" s="51"/>
    <row r="777" ht="15.75" customHeight="1" s="51"/>
    <row r="778" ht="15.75" customHeight="1" s="51"/>
    <row r="779" ht="15.75" customHeight="1" s="51"/>
    <row r="780" ht="15.75" customHeight="1" s="51"/>
    <row r="781" ht="15.75" customHeight="1" s="51"/>
    <row r="782" ht="15.75" customHeight="1" s="51"/>
    <row r="783" ht="15.75" customHeight="1" s="51"/>
    <row r="784" ht="15.75" customHeight="1" s="51"/>
    <row r="785" ht="15.75" customHeight="1" s="51"/>
    <row r="786" ht="15.75" customHeight="1" s="51"/>
    <row r="787" ht="15.75" customHeight="1" s="51"/>
    <row r="788" ht="15.75" customHeight="1" s="51"/>
    <row r="789" ht="15.75" customHeight="1" s="51"/>
    <row r="790" ht="15.75" customHeight="1" s="51"/>
    <row r="791" ht="15.75" customHeight="1" s="51"/>
    <row r="792" ht="15.75" customHeight="1" s="51"/>
    <row r="793" ht="15.75" customHeight="1" s="51"/>
    <row r="794" ht="15.75" customHeight="1" s="51"/>
    <row r="795" ht="15.75" customHeight="1" s="51"/>
    <row r="796" ht="15.75" customHeight="1" s="51"/>
    <row r="797" ht="15.75" customHeight="1" s="51"/>
    <row r="798" ht="15.75" customHeight="1" s="51"/>
    <row r="799" ht="15.75" customHeight="1" s="51"/>
    <row r="800" ht="15.75" customHeight="1" s="51"/>
    <row r="801" ht="15.75" customHeight="1" s="51"/>
    <row r="802" ht="15.75" customHeight="1" s="51"/>
    <row r="803" ht="15.75" customHeight="1" s="51"/>
    <row r="804" ht="15.75" customHeight="1" s="51"/>
    <row r="805" ht="15.75" customHeight="1" s="51"/>
    <row r="806" ht="15.75" customHeight="1" s="51"/>
    <row r="807" ht="15.75" customHeight="1" s="51"/>
    <row r="808" ht="15.75" customHeight="1" s="51"/>
    <row r="809" ht="15.75" customHeight="1" s="51"/>
    <row r="810" ht="15.75" customHeight="1" s="51"/>
    <row r="811" ht="15.75" customHeight="1" s="51"/>
    <row r="812" ht="15.75" customHeight="1" s="51"/>
    <row r="813" ht="15.75" customHeight="1" s="51"/>
    <row r="814" ht="15.75" customHeight="1" s="51"/>
    <row r="815" ht="15.75" customHeight="1" s="51"/>
    <row r="816" ht="15.75" customHeight="1" s="51"/>
    <row r="817" ht="15.75" customHeight="1" s="51"/>
    <row r="818" ht="15.75" customHeight="1" s="51"/>
    <row r="819" ht="15.75" customHeight="1" s="51"/>
    <row r="820" ht="15.75" customHeight="1" s="51"/>
    <row r="821" ht="15.75" customHeight="1" s="51"/>
    <row r="822" ht="15.75" customHeight="1" s="51"/>
    <row r="823" ht="15.75" customHeight="1" s="51"/>
    <row r="824" ht="15.75" customHeight="1" s="51"/>
    <row r="825" ht="15.75" customHeight="1" s="51"/>
    <row r="826" ht="15.75" customHeight="1" s="51"/>
    <row r="827" ht="15.75" customHeight="1" s="51"/>
    <row r="828" ht="15.75" customHeight="1" s="51"/>
    <row r="829" ht="15.75" customHeight="1" s="51"/>
    <row r="830" ht="15.75" customHeight="1" s="51"/>
    <row r="831" ht="15.75" customHeight="1" s="51"/>
    <row r="832" ht="15.75" customHeight="1" s="51"/>
    <row r="833" ht="15.75" customHeight="1" s="51"/>
    <row r="834" ht="15.75" customHeight="1" s="51"/>
    <row r="835" ht="15.75" customHeight="1" s="51"/>
    <row r="836" ht="15.75" customHeight="1" s="51"/>
    <row r="837" ht="15.75" customHeight="1" s="51"/>
    <row r="838" ht="15.75" customHeight="1" s="51"/>
    <row r="839" ht="15.75" customHeight="1" s="51"/>
    <row r="840" ht="15.75" customHeight="1" s="51"/>
    <row r="841" ht="15.75" customHeight="1" s="51"/>
    <row r="842" ht="15.75" customHeight="1" s="51"/>
    <row r="843" ht="15.75" customHeight="1" s="51"/>
    <row r="844" ht="15.75" customHeight="1" s="51"/>
    <row r="845" ht="15.75" customHeight="1" s="51"/>
    <row r="846" ht="15.75" customHeight="1" s="51"/>
    <row r="847" ht="15.75" customHeight="1" s="51"/>
    <row r="848" ht="15.75" customHeight="1" s="51"/>
    <row r="849" ht="15.75" customHeight="1" s="51"/>
    <row r="850" ht="15.75" customHeight="1" s="51"/>
    <row r="851" ht="15.75" customHeight="1" s="51"/>
    <row r="852" ht="15.75" customHeight="1" s="51"/>
    <row r="853" ht="15.75" customHeight="1" s="51"/>
    <row r="854" ht="15.75" customHeight="1" s="51"/>
    <row r="855" ht="15.75" customHeight="1" s="51"/>
    <row r="856" ht="15.75" customHeight="1" s="51"/>
    <row r="857" ht="15.75" customHeight="1" s="51"/>
    <row r="858" ht="15.75" customHeight="1" s="51"/>
    <row r="859" ht="15.75" customHeight="1" s="51"/>
    <row r="860" ht="15.75" customHeight="1" s="51"/>
    <row r="861" ht="15.75" customHeight="1" s="51"/>
    <row r="862" ht="15.75" customHeight="1" s="51"/>
    <row r="863" ht="15.75" customHeight="1" s="51"/>
    <row r="864" ht="15.75" customHeight="1" s="51"/>
    <row r="865" ht="15.75" customHeight="1" s="51"/>
    <row r="866" ht="15.75" customHeight="1" s="51"/>
    <row r="867" ht="15.75" customHeight="1" s="51"/>
    <row r="868" ht="15.75" customHeight="1" s="51"/>
    <row r="869" ht="15.75" customHeight="1" s="51"/>
    <row r="870" ht="15.75" customHeight="1" s="51"/>
    <row r="871" ht="15.75" customHeight="1" s="51"/>
    <row r="872" ht="15.75" customHeight="1" s="51"/>
    <row r="873" ht="15.75" customHeight="1" s="51"/>
    <row r="874" ht="15.75" customHeight="1" s="51"/>
    <row r="875" ht="15.75" customHeight="1" s="51"/>
    <row r="876" ht="15.75" customHeight="1" s="51"/>
    <row r="877" ht="15.75" customHeight="1" s="51"/>
    <row r="878" ht="15.75" customHeight="1" s="51"/>
    <row r="879" ht="15.75" customHeight="1" s="51"/>
    <row r="880" ht="15.75" customHeight="1" s="51"/>
    <row r="881" ht="15.75" customHeight="1" s="51"/>
    <row r="882" ht="15.75" customHeight="1" s="51"/>
    <row r="883" ht="15.75" customHeight="1" s="51"/>
    <row r="884" ht="15.75" customHeight="1" s="51"/>
    <row r="885" ht="15.75" customHeight="1" s="51"/>
    <row r="886" ht="15.75" customHeight="1" s="51"/>
    <row r="887" ht="15.75" customHeight="1" s="51"/>
    <row r="888" ht="15.75" customHeight="1" s="51"/>
    <row r="889" ht="15.75" customHeight="1" s="51"/>
    <row r="890" ht="15.75" customHeight="1" s="51"/>
    <row r="891" ht="15.75" customHeight="1" s="51"/>
    <row r="892" ht="15.75" customHeight="1" s="51"/>
    <row r="893" ht="15.75" customHeight="1" s="51"/>
    <row r="894" ht="15.75" customHeight="1" s="51"/>
    <row r="895" ht="15.75" customHeight="1" s="51"/>
    <row r="896" ht="15.75" customHeight="1" s="51"/>
    <row r="897" ht="15.75" customHeight="1" s="51"/>
    <row r="898" ht="15.75" customHeight="1" s="51"/>
    <row r="899" ht="15.75" customHeight="1" s="51"/>
    <row r="900" ht="15.75" customHeight="1" s="51"/>
    <row r="901" ht="15.75" customHeight="1" s="51"/>
    <row r="902" ht="15.75" customHeight="1" s="51"/>
    <row r="903" ht="15.75" customHeight="1" s="51"/>
    <row r="904" ht="15.75" customHeight="1" s="51"/>
    <row r="905" ht="15.75" customHeight="1" s="51"/>
    <row r="906" ht="15.75" customHeight="1" s="51"/>
    <row r="907" ht="15.75" customHeight="1" s="51"/>
    <row r="908" ht="15.75" customHeight="1" s="51"/>
    <row r="909" ht="15.75" customHeight="1" s="51"/>
    <row r="910" ht="15.75" customHeight="1" s="51"/>
    <row r="911" ht="15.75" customHeight="1" s="51"/>
    <row r="912" ht="15.75" customHeight="1" s="51"/>
    <row r="913" ht="15.75" customHeight="1" s="51"/>
    <row r="914" ht="15.75" customHeight="1" s="51"/>
    <row r="915" ht="15.75" customHeight="1" s="51"/>
    <row r="916" ht="15.75" customHeight="1" s="51"/>
    <row r="917" ht="15.75" customHeight="1" s="51"/>
    <row r="918" ht="15.75" customHeight="1" s="51"/>
    <row r="919" ht="15.75" customHeight="1" s="51"/>
    <row r="920" ht="15.75" customHeight="1" s="51"/>
    <row r="921" ht="15.75" customHeight="1" s="51"/>
    <row r="922" ht="15.75" customHeight="1" s="51"/>
    <row r="923" ht="15.75" customHeight="1" s="51"/>
    <row r="924" ht="15.75" customHeight="1" s="51"/>
    <row r="925" ht="15.75" customHeight="1" s="51"/>
    <row r="926" ht="15.75" customHeight="1" s="51"/>
    <row r="927" ht="15.75" customHeight="1" s="51"/>
    <row r="928" ht="15.75" customHeight="1" s="51"/>
    <row r="929" ht="15.75" customHeight="1" s="51"/>
    <row r="930" ht="15.75" customHeight="1" s="51"/>
    <row r="931" ht="15.75" customHeight="1" s="51"/>
    <row r="932" ht="15.75" customHeight="1" s="51"/>
    <row r="933" ht="15.75" customHeight="1" s="51"/>
    <row r="934" ht="15.75" customHeight="1" s="51"/>
    <row r="935" ht="15.75" customHeight="1" s="51"/>
    <row r="936" ht="15.75" customHeight="1" s="51"/>
    <row r="937" ht="15.75" customHeight="1" s="51"/>
    <row r="938" ht="15.75" customHeight="1" s="51"/>
    <row r="939" ht="15.75" customHeight="1" s="51"/>
    <row r="940" ht="15.75" customHeight="1" s="51"/>
    <row r="941" ht="15.75" customHeight="1" s="51"/>
    <row r="942" ht="15.75" customHeight="1" s="51"/>
    <row r="943" ht="15.75" customHeight="1" s="51"/>
    <row r="944" ht="15.75" customHeight="1" s="51"/>
    <row r="945" ht="15.75" customHeight="1" s="51"/>
    <row r="946" ht="15.75" customHeight="1" s="51"/>
    <row r="947" ht="15.75" customHeight="1" s="51"/>
    <row r="948" ht="15.75" customHeight="1" s="51"/>
    <row r="949" ht="15.75" customHeight="1" s="51"/>
    <row r="950" ht="15.75" customHeight="1" s="51"/>
    <row r="951" ht="15.75" customHeight="1" s="51"/>
    <row r="952" ht="15.75" customHeight="1" s="51"/>
    <row r="953" ht="15.75" customHeight="1" s="51"/>
    <row r="954" ht="15.75" customHeight="1" s="51"/>
    <row r="955" ht="15.75" customHeight="1" s="51"/>
    <row r="956" ht="15.75" customHeight="1" s="51"/>
    <row r="957" ht="15.75" customHeight="1" s="51"/>
    <row r="958" ht="15.75" customHeight="1" s="51"/>
    <row r="959" ht="15.75" customHeight="1" s="51"/>
    <row r="960" ht="15.75" customHeight="1" s="51"/>
    <row r="961" ht="15.75" customHeight="1" s="51"/>
    <row r="962" ht="15.75" customHeight="1" s="51"/>
    <row r="963" ht="15.75" customHeight="1" s="51"/>
    <row r="964" ht="15.75" customHeight="1" s="51"/>
    <row r="965" ht="15.75" customHeight="1" s="51"/>
    <row r="966" ht="15.75" customHeight="1" s="51"/>
    <row r="967" ht="15.75" customHeight="1" s="51"/>
    <row r="968" ht="15.75" customHeight="1" s="51"/>
    <row r="969" ht="15.75" customHeight="1" s="51"/>
    <row r="970" ht="15.75" customHeight="1" s="51"/>
    <row r="971" ht="15.75" customHeight="1" s="51"/>
    <row r="972" ht="15.75" customHeight="1" s="51"/>
    <row r="973" ht="15.75" customHeight="1" s="51"/>
    <row r="974" ht="15.75" customHeight="1" s="51"/>
    <row r="975" ht="15.75" customHeight="1" s="51"/>
    <row r="976" ht="15.75" customHeight="1" s="51"/>
    <row r="977" ht="15.75" customHeight="1" s="51"/>
    <row r="978" ht="15.75" customHeight="1" s="51"/>
    <row r="979" ht="15.75" customHeight="1" s="51"/>
    <row r="980" ht="15.75" customHeight="1" s="51"/>
    <row r="981" ht="15.75" customHeight="1" s="51"/>
    <row r="982" ht="15.75" customHeight="1" s="51"/>
    <row r="983" ht="15.75" customHeight="1" s="51"/>
    <row r="984" ht="15.75" customHeight="1" s="51"/>
    <row r="985" ht="15.75" customHeight="1" s="51"/>
    <row r="986" ht="15.75" customHeight="1" s="51"/>
    <row r="987" ht="15.75" customHeight="1" s="51"/>
    <row r="988" ht="15.75" customHeight="1" s="51"/>
    <row r="989" ht="15.75" customHeight="1" s="51"/>
    <row r="990" ht="15.75" customHeight="1" s="51"/>
    <row r="991" ht="15.75" customHeight="1" s="51"/>
    <row r="992" ht="15.75" customHeight="1" s="51"/>
    <row r="993" ht="15.75" customHeight="1" s="51"/>
    <row r="994" ht="15.75" customHeight="1" s="51"/>
    <row r="995" ht="15.75" customHeight="1" s="51"/>
    <row r="996" ht="15.75" customHeight="1" s="51"/>
    <row r="997" ht="15.75" customHeight="1" s="51"/>
    <row r="998" ht="15.75" customHeight="1" s="51"/>
    <row r="999" ht="15.75" customHeight="1" s="51"/>
    <row r="1000" ht="15.75" customHeight="1" s="51"/>
  </sheetData>
  <autoFilter ref="A4:AA33"/>
  <mergeCells count="2">
    <mergeCell ref="A1:AA1"/>
    <mergeCell ref="A2:AA2"/>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N45"/>
  <sheetViews>
    <sheetView workbookViewId="0">
      <pane ySplit="4" topLeftCell="A5" activePane="bottomLeft" state="frozen"/>
      <selection pane="bottomLeft" activeCell="B6" sqref="B6"/>
    </sheetView>
  </sheetViews>
  <sheetFormatPr baseColWidth="8" defaultColWidth="14.43" defaultRowHeight="15" customHeight="1"/>
  <cols>
    <col width="22" customWidth="1" style="51" min="1" max="1"/>
    <col width="12" customWidth="1" style="51" min="2" max="2"/>
    <col width="34" customWidth="1" style="51" min="3" max="3"/>
    <col width="22" customWidth="1" style="51" min="4" max="4"/>
    <col width="13" customWidth="1" style="51" min="5" max="6"/>
    <col width="9" customWidth="1" style="51" min="7" max="7"/>
    <col width="11" customWidth="1" style="51" min="8" max="9"/>
    <col width="14" customWidth="1" style="51" min="10" max="10"/>
    <col width="12" customWidth="1" style="51" min="11" max="11"/>
    <col width="10" customWidth="1" style="51" min="12" max="12"/>
    <col width="44" customWidth="1" style="51" min="13" max="13"/>
    <col width="9" customWidth="1" style="51" min="14" max="14"/>
    <col width="8.710000000000001" customWidth="1" style="51" min="15" max="26"/>
  </cols>
  <sheetData>
    <row r="1" ht="25.5" customHeight="1" s="51">
      <c r="A1" s="52" t="inlineStr">
        <is>
          <t>TENANTS &amp; LEASES</t>
        </is>
      </c>
    </row>
    <row r="2" ht="13.5" customHeight="1" s="51">
      <c r="A2" s="53" t="inlineStr">
        <is>
          <t>Actual tenants &amp; rent rolls (125 Bridge St, 5970 Marion) and proforma lease assumptions (tax appeals)</t>
        </is>
      </c>
    </row>
    <row r="4" ht="30" customHeight="1" s="51">
      <c r="A4" s="6" t="inlineStr">
        <is>
          <t>Property</t>
        </is>
      </c>
      <c r="B4" s="6" t="inlineStr">
        <is>
          <t>Unit</t>
        </is>
      </c>
      <c r="C4" s="6" t="inlineStr">
        <is>
          <t>Tenant</t>
        </is>
      </c>
      <c r="D4" s="6" t="inlineStr">
        <is>
          <t>Basis / Lease Type</t>
        </is>
      </c>
      <c r="E4" s="6" t="inlineStr">
        <is>
          <t>Monthly Rent</t>
        </is>
      </c>
      <c r="F4" s="6" t="inlineStr">
        <is>
          <t>Annual Rent</t>
        </is>
      </c>
      <c r="G4" s="6" t="inlineStr">
        <is>
          <t>Rent PSF</t>
        </is>
      </c>
      <c r="H4" s="6" t="inlineStr">
        <is>
          <t>Lease Start</t>
        </is>
      </c>
      <c r="I4" s="6" t="inlineStr">
        <is>
          <t>Lease End</t>
        </is>
      </c>
      <c r="J4" s="6" t="inlineStr">
        <is>
          <t>Term / Option</t>
        </is>
      </c>
      <c r="K4" s="6" t="inlineStr">
        <is>
          <t>Monthly CAM</t>
        </is>
      </c>
      <c r="L4" s="6" t="inlineStr">
        <is>
          <t>Deposit</t>
        </is>
      </c>
      <c r="M4" s="6" t="inlineStr">
        <is>
          <t>Notes</t>
        </is>
      </c>
      <c r="N4" s="9" t="inlineStr">
        <is>
          <t>Batch</t>
        </is>
      </c>
    </row>
    <row r="5">
      <c r="A5" s="58" t="inlineStr">
        <is>
          <t>125 Bridge St, Brighton (R0002819) — Broadview LLC  |  Rent Roll (monthly, current as of Jan-2024)</t>
        </is>
      </c>
      <c r="B5" s="59" t="n"/>
      <c r="C5" s="59" t="n"/>
      <c r="D5" s="59" t="n"/>
      <c r="E5" s="59" t="n"/>
      <c r="F5" s="59" t="n"/>
      <c r="G5" s="59" t="n"/>
      <c r="H5" s="59" t="n"/>
      <c r="I5" s="59" t="n"/>
      <c r="J5" s="59" t="n"/>
      <c r="K5" s="59" t="n"/>
      <c r="L5" s="59" t="n"/>
      <c r="M5" s="60" t="n"/>
    </row>
    <row r="6">
      <c r="A6" s="12" t="inlineStr">
        <is>
          <t>125 Bridge St</t>
        </is>
      </c>
      <c r="B6" s="12" t="inlineStr">
        <is>
          <t>A (Indoor)</t>
        </is>
      </c>
      <c r="C6" s="12" t="inlineStr">
        <is>
          <t>Bulldog Tires</t>
        </is>
      </c>
      <c r="D6" s="12" t="inlineStr">
        <is>
          <t>Lease</t>
        </is>
      </c>
      <c r="E6" s="14" t="n">
        <v>4414</v>
      </c>
      <c r="F6" s="12" t="n"/>
      <c r="G6" s="12" t="n"/>
      <c r="H6" s="11" t="inlineStr">
        <is>
          <t>2/15/2021</t>
        </is>
      </c>
      <c r="I6" s="11" t="inlineStr">
        <is>
          <t>9/30/2026</t>
        </is>
      </c>
      <c r="J6" s="11" t="inlineStr">
        <is>
          <t>3-yr option</t>
        </is>
      </c>
      <c r="K6" s="14" t="n">
        <v>2550</v>
      </c>
      <c r="L6" s="12" t="inlineStr">
        <is>
          <t>na</t>
        </is>
      </c>
      <c r="M6" s="12" t="n"/>
    </row>
    <row r="7">
      <c r="A7" s="12" t="inlineStr">
        <is>
          <t>125 Bridge St</t>
        </is>
      </c>
      <c r="B7" s="12" t="inlineStr">
        <is>
          <t>B (Indoor)</t>
        </is>
      </c>
      <c r="C7" s="12" t="inlineStr">
        <is>
          <t>Manny Mercado</t>
        </is>
      </c>
      <c r="D7" s="12" t="inlineStr">
        <is>
          <t>Lease</t>
        </is>
      </c>
      <c r="E7" s="14" t="n">
        <v>2425</v>
      </c>
      <c r="F7" s="12" t="n"/>
      <c r="G7" s="12" t="n"/>
      <c r="H7" s="11" t="inlineStr">
        <is>
          <t>4/1/2024</t>
        </is>
      </c>
      <c r="I7" s="11" t="inlineStr">
        <is>
          <t>3/31/2029</t>
        </is>
      </c>
      <c r="J7" s="11" t="inlineStr">
        <is>
          <t>2-yr option</t>
        </is>
      </c>
      <c r="K7" s="14" t="n">
        <v>1000</v>
      </c>
      <c r="L7" s="14" t="n">
        <v>2425</v>
      </c>
      <c r="M7" s="12" t="n"/>
    </row>
    <row r="8">
      <c r="A8" s="12" t="inlineStr">
        <is>
          <t>125 Bridge St</t>
        </is>
      </c>
      <c r="B8" s="12" t="inlineStr">
        <is>
          <t>C (Indoor)</t>
        </is>
      </c>
      <c r="C8" s="12" t="inlineStr">
        <is>
          <t>Drip and Stitch</t>
        </is>
      </c>
      <c r="D8" s="12" t="inlineStr">
        <is>
          <t>Lease</t>
        </is>
      </c>
      <c r="E8" s="14" t="n">
        <v>4000</v>
      </c>
      <c r="F8" s="12" t="n"/>
      <c r="G8" s="12" t="n"/>
      <c r="H8" s="11" t="inlineStr">
        <is>
          <t>12/15/2024</t>
        </is>
      </c>
      <c r="I8" s="11" t="inlineStr">
        <is>
          <t>11/30/2025</t>
        </is>
      </c>
      <c r="J8" s="11" t="inlineStr">
        <is>
          <t>1-yr option</t>
        </is>
      </c>
      <c r="K8" s="12" t="n"/>
      <c r="L8" s="14" t="n">
        <v>2500</v>
      </c>
      <c r="M8" s="12" t="inlineStr">
        <is>
          <t>CAM unit 'Cabinet Connections' vacated 3/31/24</t>
        </is>
      </c>
    </row>
    <row r="9">
      <c r="A9" s="12" t="inlineStr">
        <is>
          <t>125 Bridge St</t>
        </is>
      </c>
      <c r="B9" s="12" t="inlineStr">
        <is>
          <t>D (Indoor)</t>
        </is>
      </c>
      <c r="C9" s="12" t="inlineStr">
        <is>
          <t>Galaxy Greens</t>
        </is>
      </c>
      <c r="D9" s="12" t="inlineStr">
        <is>
          <t>Lease</t>
        </is>
      </c>
      <c r="E9" s="14" t="n">
        <v>6000</v>
      </c>
      <c r="F9" s="12" t="n"/>
      <c r="G9" s="12" t="n"/>
      <c r="H9" s="11" t="inlineStr">
        <is>
          <t>3/1/2024</t>
        </is>
      </c>
      <c r="I9" s="11" t="inlineStr">
        <is>
          <t>10/31/2033</t>
        </is>
      </c>
      <c r="J9" s="11" t="inlineStr">
        <is>
          <t>5-yr option</t>
        </is>
      </c>
      <c r="K9" s="14" t="n">
        <v>1450</v>
      </c>
      <c r="L9" s="12" t="n"/>
      <c r="M9" s="12" t="n"/>
    </row>
    <row r="10">
      <c r="A10" s="12" t="inlineStr">
        <is>
          <t>125 Bridge St</t>
        </is>
      </c>
      <c r="B10" s="12" t="inlineStr">
        <is>
          <t>E (Indoor)</t>
        </is>
      </c>
      <c r="C10" s="12" t="inlineStr">
        <is>
          <t>Intensive Drilling</t>
        </is>
      </c>
      <c r="D10" s="12" t="inlineStr">
        <is>
          <t>Lease</t>
        </is>
      </c>
      <c r="E10" s="14" t="n">
        <v>4500</v>
      </c>
      <c r="F10" s="12" t="n"/>
      <c r="G10" s="12" t="n"/>
      <c r="H10" s="11" t="inlineStr">
        <is>
          <t>1/1/2025</t>
        </is>
      </c>
      <c r="I10" s="11" t="inlineStr">
        <is>
          <t>12/1/2029</t>
        </is>
      </c>
      <c r="J10" s="11" t="inlineStr">
        <is>
          <t>5-yr option</t>
        </is>
      </c>
      <c r="K10" s="14" t="n">
        <v>0</v>
      </c>
      <c r="L10" s="14" t="n">
        <v>3100</v>
      </c>
      <c r="M10" s="12" t="n"/>
    </row>
    <row r="11">
      <c r="A11" s="12" t="inlineStr">
        <is>
          <t>125 Bridge St</t>
        </is>
      </c>
      <c r="B11" s="12" t="inlineStr">
        <is>
          <t>F (Indoor)</t>
        </is>
      </c>
      <c r="C11" s="12" t="inlineStr">
        <is>
          <t>Intensive Drilling</t>
        </is>
      </c>
      <c r="D11" s="12" t="inlineStr">
        <is>
          <t>Lease</t>
        </is>
      </c>
      <c r="E11" s="12" t="n"/>
      <c r="F11" s="12" t="n"/>
      <c r="G11" s="12" t="n"/>
      <c r="H11" s="11" t="inlineStr">
        <is>
          <t>—</t>
        </is>
      </c>
      <c r="I11" s="11" t="inlineStr">
        <is>
          <t>—</t>
        </is>
      </c>
      <c r="J11" s="11" t="inlineStr">
        <is>
          <t>—</t>
        </is>
      </c>
      <c r="K11" s="12" t="n"/>
      <c r="L11" s="12" t="n"/>
      <c r="M11" s="12" t="inlineStr">
        <is>
          <t>Listed; no rent shown (vacant/expansion)</t>
        </is>
      </c>
    </row>
    <row r="12">
      <c r="A12" s="12" t="inlineStr">
        <is>
          <t>125 Bridge St</t>
        </is>
      </c>
      <c r="B12" s="12" t="inlineStr">
        <is>
          <t>Outdoor</t>
        </is>
      </c>
      <c r="C12" s="12" t="inlineStr">
        <is>
          <t>ABC</t>
        </is>
      </c>
      <c r="D12" s="12" t="inlineStr">
        <is>
          <t>Lease</t>
        </is>
      </c>
      <c r="E12" s="14" t="n">
        <v>5000</v>
      </c>
      <c r="F12" s="12" t="n"/>
      <c r="G12" s="12" t="n"/>
      <c r="H12" s="11" t="inlineStr">
        <is>
          <t>—</t>
        </is>
      </c>
      <c r="I12" s="11" t="inlineStr">
        <is>
          <t>2/28/2026</t>
        </is>
      </c>
      <c r="J12" s="11" t="inlineStr">
        <is>
          <t>1-yr option</t>
        </is>
      </c>
      <c r="K12" s="12" t="n"/>
      <c r="L12" s="12" t="n"/>
      <c r="M12" s="12" t="n"/>
    </row>
    <row r="13">
      <c r="A13" s="12" t="inlineStr">
        <is>
          <t>125 Bridge St</t>
        </is>
      </c>
      <c r="B13" s="12" t="inlineStr">
        <is>
          <t>Outdoor</t>
        </is>
      </c>
      <c r="C13" s="12" t="inlineStr">
        <is>
          <t>Intensive Drilling</t>
        </is>
      </c>
      <c r="D13" s="12" t="inlineStr">
        <is>
          <t>Lease</t>
        </is>
      </c>
      <c r="E13" s="14" t="n">
        <v>4000</v>
      </c>
      <c r="F13" s="12" t="n"/>
      <c r="G13" s="12" t="n"/>
      <c r="H13" s="11" t="inlineStr">
        <is>
          <t>—</t>
        </is>
      </c>
      <c r="I13" s="11" t="inlineStr">
        <is>
          <t>as above</t>
        </is>
      </c>
      <c r="J13" s="11" t="inlineStr">
        <is>
          <t>—</t>
        </is>
      </c>
      <c r="K13" s="12" t="n"/>
      <c r="L13" s="14" t="n">
        <v>3500</v>
      </c>
      <c r="M13" s="12" t="n"/>
    </row>
    <row r="14">
      <c r="A14" s="12" t="inlineStr">
        <is>
          <t>125 Bridge St</t>
        </is>
      </c>
      <c r="B14" s="12" t="inlineStr">
        <is>
          <t>Outdoor</t>
        </is>
      </c>
      <c r="C14" s="12" t="inlineStr">
        <is>
          <t>El Tacos</t>
        </is>
      </c>
      <c r="D14" s="12" t="inlineStr">
        <is>
          <t>Lease</t>
        </is>
      </c>
      <c r="E14" s="14" t="n">
        <v>150</v>
      </c>
      <c r="F14" s="12" t="n"/>
      <c r="G14" s="12" t="n"/>
      <c r="H14" s="11" t="inlineStr">
        <is>
          <t>—</t>
        </is>
      </c>
      <c r="I14" s="11" t="inlineStr">
        <is>
          <t>9/30</t>
        </is>
      </c>
      <c r="J14" s="11" t="inlineStr">
        <is>
          <t>12 months</t>
        </is>
      </c>
      <c r="K14" s="12" t="n"/>
      <c r="L14" s="12" t="n"/>
      <c r="M14" s="12" t="n"/>
    </row>
    <row r="15">
      <c r="A15" s="12" t="inlineStr">
        <is>
          <t>125 Bridge St</t>
        </is>
      </c>
      <c r="B15" s="12" t="inlineStr">
        <is>
          <t>Outdoor</t>
        </is>
      </c>
      <c r="C15" s="12" t="inlineStr">
        <is>
          <t>Cabinet</t>
        </is>
      </c>
      <c r="D15" s="12" t="inlineStr">
        <is>
          <t>MTM</t>
        </is>
      </c>
      <c r="E15" s="14" t="n">
        <v>140</v>
      </c>
      <c r="F15" s="12" t="n"/>
      <c r="G15" s="12" t="n"/>
      <c r="H15" s="11" t="inlineStr">
        <is>
          <t>—</t>
        </is>
      </c>
      <c r="I15" s="11" t="inlineStr">
        <is>
          <t>—</t>
        </is>
      </c>
      <c r="J15" s="11" t="inlineStr">
        <is>
          <t>month-to-month</t>
        </is>
      </c>
      <c r="K15" s="12" t="n"/>
      <c r="L15" s="12" t="n"/>
      <c r="M15" s="12" t="n"/>
    </row>
    <row r="16">
      <c r="A16" s="12" t="inlineStr">
        <is>
          <t>125 Bridge St</t>
        </is>
      </c>
      <c r="B16" s="12" t="inlineStr">
        <is>
          <t>Outdoor</t>
        </is>
      </c>
      <c r="C16" s="12" t="inlineStr">
        <is>
          <t>RV Parking</t>
        </is>
      </c>
      <c r="D16" s="12" t="inlineStr">
        <is>
          <t>MTM</t>
        </is>
      </c>
      <c r="E16" s="14" t="n">
        <v>75</v>
      </c>
      <c r="F16" s="12" t="n"/>
      <c r="G16" s="12" t="n"/>
      <c r="H16" s="11" t="inlineStr">
        <is>
          <t>—</t>
        </is>
      </c>
      <c r="I16" s="11" t="inlineStr">
        <is>
          <t>—</t>
        </is>
      </c>
      <c r="J16" s="11" t="inlineStr">
        <is>
          <t>month-to-month</t>
        </is>
      </c>
      <c r="K16" s="12" t="n"/>
      <c r="L16" s="12" t="n"/>
      <c r="M16" s="12" t="n"/>
    </row>
    <row r="17">
      <c r="A17" s="26" t="inlineStr">
        <is>
          <t>125 Bridge St</t>
        </is>
      </c>
      <c r="B17" s="27" t="inlineStr">
        <is>
          <t>TOTALS</t>
        </is>
      </c>
      <c r="C17" s="27" t="inlineStr">
        <is>
          <t>Total Rental Income (monthly)</t>
        </is>
      </c>
      <c r="D17" s="28" t="n"/>
      <c r="E17" s="24">
        <f>SUM(E6:E16)</f>
        <v/>
      </c>
      <c r="F17" s="24">
        <f>E17*12</f>
        <v/>
      </c>
      <c r="G17" s="28" t="n"/>
      <c r="H17" s="28" t="n"/>
      <c r="I17" s="28" t="n"/>
      <c r="J17" s="28" t="n"/>
      <c r="K17" s="24">
        <f>SUM(K6:K16)</f>
        <v/>
      </c>
      <c r="L17" s="28" t="n"/>
      <c r="M17" s="32" t="inlineStr">
        <is>
          <t>Monthly CAM total $5,000; annualized gross scheduled income ≈ monthly total × 12. IRS Form 8825 actual 2024 gross rents were $307,817.</t>
        </is>
      </c>
    </row>
    <row r="18">
      <c r="A18" s="58" t="inlineStr">
        <is>
          <t>5970 Marion Drive (0182511303018) — actual tenants (FY2024)</t>
        </is>
      </c>
      <c r="B18" s="59" t="n"/>
      <c r="C18" s="59" t="n"/>
      <c r="D18" s="59" t="n"/>
      <c r="E18" s="59" t="n"/>
      <c r="F18" s="59" t="n"/>
      <c r="G18" s="59" t="n"/>
      <c r="H18" s="59" t="n"/>
      <c r="I18" s="59" t="n"/>
      <c r="J18" s="59" t="n"/>
      <c r="K18" s="59" t="n"/>
      <c r="L18" s="59" t="n"/>
      <c r="M18" s="60" t="n"/>
    </row>
    <row r="19">
      <c r="A19" s="12" t="inlineStr">
        <is>
          <t>5970 Marion</t>
        </is>
      </c>
      <c r="B19" s="12" t="inlineStr">
        <is>
          <t>Unit 1</t>
        </is>
      </c>
      <c r="C19" s="12" t="inlineStr">
        <is>
          <t>Whatever It Takes Transmissions &amp; Parts, Inc.</t>
        </is>
      </c>
      <c r="D19" s="12" t="inlineStr">
        <is>
          <t>Actual (NNN w/ CAM)</t>
        </is>
      </c>
      <c r="E19" s="12" t="n"/>
      <c r="F19" s="12" t="n"/>
      <c r="G19" s="12" t="n"/>
      <c r="H19" s="11" t="inlineStr">
        <is>
          <t>—</t>
        </is>
      </c>
      <c r="I19" s="11" t="inlineStr">
        <is>
          <t>—</t>
        </is>
      </c>
      <c r="J19" s="11" t="inlineStr">
        <is>
          <t>—</t>
        </is>
      </c>
      <c r="K19" s="12" t="n"/>
      <c r="L19" s="12" t="n"/>
      <c r="M19" s="12" t="inlineStr">
        <is>
          <t>2024 monthly rent ~$9,136; billed CAM escrows separately</t>
        </is>
      </c>
    </row>
    <row r="20">
      <c r="A20" s="12" t="inlineStr">
        <is>
          <t>5970 Marion</t>
        </is>
      </c>
      <c r="B20" s="12" t="inlineStr">
        <is>
          <t>Unit 2</t>
        </is>
      </c>
      <c r="C20" s="12" t="inlineStr">
        <is>
          <t>Integrated Turf Solutions LLC</t>
        </is>
      </c>
      <c r="D20" s="12" t="inlineStr">
        <is>
          <t>Actual (NNN w/ CAM)</t>
        </is>
      </c>
      <c r="E20" s="12" t="n"/>
      <c r="F20" s="12" t="n"/>
      <c r="G20" s="12" t="n"/>
      <c r="H20" s="11" t="inlineStr">
        <is>
          <t>—</t>
        </is>
      </c>
      <c r="I20" s="11" t="inlineStr">
        <is>
          <t>—</t>
        </is>
      </c>
      <c r="J20" s="11" t="inlineStr">
        <is>
          <t>—</t>
        </is>
      </c>
      <c r="K20" s="12" t="n"/>
      <c r="L20" s="12" t="n"/>
      <c r="M20" s="12" t="inlineStr">
        <is>
          <t>2024 monthly rent ranged $3,120-$6,860; billed CAM escrows</t>
        </is>
      </c>
    </row>
    <row r="21" ht="15.75" customHeight="1" s="51">
      <c r="A21" s="58" t="inlineStr">
        <is>
          <t>Tax-appeal proforma lease assumptions (not executed leases)</t>
        </is>
      </c>
      <c r="B21" s="59" t="n"/>
      <c r="C21" s="59" t="n"/>
      <c r="D21" s="59" t="n"/>
      <c r="E21" s="59" t="n"/>
      <c r="F21" s="59" t="n"/>
      <c r="G21" s="59" t="n"/>
      <c r="H21" s="59" t="n"/>
      <c r="I21" s="59" t="n"/>
      <c r="J21" s="59" t="n"/>
      <c r="K21" s="59" t="n"/>
      <c r="L21" s="59" t="n"/>
      <c r="M21" s="60" t="n"/>
    </row>
    <row r="22" ht="15.75" customHeight="1" s="51">
      <c r="A22" s="12" t="inlineStr">
        <is>
          <t>7205 Gilpin Way</t>
        </is>
      </c>
      <c r="B22" s="12" t="inlineStr">
        <is>
          <t>Whole</t>
        </is>
      </c>
      <c r="C22" s="12" t="inlineStr">
        <is>
          <t>Proforma single-tenant</t>
        </is>
      </c>
      <c r="D22" s="12" t="inlineStr">
        <is>
          <t>Proforma NNN</t>
        </is>
      </c>
      <c r="E22" s="12" t="n"/>
      <c r="F22" s="14" t="n">
        <v>359394</v>
      </c>
      <c r="G22" s="15" t="n">
        <v>10.5</v>
      </c>
      <c r="H22" s="11" t="inlineStr">
        <is>
          <t>—</t>
        </is>
      </c>
      <c r="I22" s="11" t="inlineStr">
        <is>
          <t>—</t>
        </is>
      </c>
      <c r="J22" s="11" t="inlineStr">
        <is>
          <t>—</t>
        </is>
      </c>
      <c r="K22" s="12" t="n"/>
      <c r="L22" s="12" t="n"/>
      <c r="M22" s="12" t="inlineStr">
        <is>
          <t>OpEx 8% EGI; 5% vacancy (Ryan)</t>
        </is>
      </c>
    </row>
    <row r="23" ht="15.75" customHeight="1" s="51">
      <c r="A23" s="12" t="inlineStr">
        <is>
          <t>17608 E. 24th Dr</t>
        </is>
      </c>
      <c r="B23" s="12" t="inlineStr">
        <is>
          <t>Whole</t>
        </is>
      </c>
      <c r="C23" s="12" t="inlineStr">
        <is>
          <t>Proforma single-tenant</t>
        </is>
      </c>
      <c r="D23" s="12" t="inlineStr">
        <is>
          <t>Proforma NNN</t>
        </is>
      </c>
      <c r="E23" s="12" t="n"/>
      <c r="F23" s="14" t="n">
        <v>209100</v>
      </c>
      <c r="G23" s="15" t="n">
        <v>10</v>
      </c>
      <c r="H23" s="11" t="inlineStr">
        <is>
          <t>—</t>
        </is>
      </c>
      <c r="I23" s="11" t="inlineStr">
        <is>
          <t>—</t>
        </is>
      </c>
      <c r="J23" s="11" t="inlineStr">
        <is>
          <t>—</t>
        </is>
      </c>
      <c r="K23" s="12" t="n"/>
      <c r="L23" s="12" t="n"/>
      <c r="M23" s="12" t="inlineStr">
        <is>
          <t>OpEx 8% EGI; 5% vacancy (Ryan)</t>
        </is>
      </c>
    </row>
    <row r="24" ht="15.75" customHeight="1" s="51">
      <c r="A24" s="12" t="inlineStr">
        <is>
          <t>12260 Pennsylvania St</t>
        </is>
      </c>
      <c r="B24" s="12" t="inlineStr">
        <is>
          <t>Whole</t>
        </is>
      </c>
      <c r="C24" s="12" t="inlineStr">
        <is>
          <t>Proforma single-tenant</t>
        </is>
      </c>
      <c r="D24" s="12" t="inlineStr">
        <is>
          <t>Proforma NNN</t>
        </is>
      </c>
      <c r="E24" s="12" t="n"/>
      <c r="F24" s="14" t="n">
        <v>237290</v>
      </c>
      <c r="G24" s="15" t="n">
        <v>10</v>
      </c>
      <c r="H24" s="11" t="inlineStr">
        <is>
          <t>—</t>
        </is>
      </c>
      <c r="I24" s="11" t="inlineStr">
        <is>
          <t>—</t>
        </is>
      </c>
      <c r="J24" s="11" t="inlineStr">
        <is>
          <t>—</t>
        </is>
      </c>
      <c r="K24" s="12" t="n"/>
      <c r="L24" s="12" t="n"/>
      <c r="M24" s="12" t="inlineStr">
        <is>
          <t>Face rent $10; actual tenant $9.50/sf NNN as of 1/1/24; 7% vac, 10% OpEx (Ryan)</t>
        </is>
      </c>
    </row>
    <row r="25" ht="15.75" customHeight="1" s="51">
      <c r="A25" s="12" t="inlineStr">
        <is>
          <t>6770 E. 56th Ave</t>
        </is>
      </c>
      <c r="B25" s="12" t="inlineStr">
        <is>
          <t>Whole</t>
        </is>
      </c>
      <c r="C25" s="12" t="inlineStr">
        <is>
          <t>Proforma single-tenant</t>
        </is>
      </c>
      <c r="D25" s="12" t="inlineStr">
        <is>
          <t>Proforma</t>
        </is>
      </c>
      <c r="E25" s="12" t="n"/>
      <c r="F25" s="14" t="n">
        <v>115824</v>
      </c>
      <c r="G25" s="15" t="n">
        <v>12</v>
      </c>
      <c r="H25" s="11" t="inlineStr">
        <is>
          <t>—</t>
        </is>
      </c>
      <c r="I25" s="11" t="inlineStr">
        <is>
          <t>—</t>
        </is>
      </c>
      <c r="J25" s="11" t="inlineStr">
        <is>
          <t>—</t>
        </is>
      </c>
      <c r="K25" s="12" t="n"/>
      <c r="L25" s="12" t="n"/>
      <c r="M25" s="12" t="inlineStr">
        <is>
          <t>$12/sf; 95% occ; 5% expenses (Property Tax Advisors)</t>
        </is>
      </c>
    </row>
    <row r="26" ht="15.75" customHeight="1" s="51">
      <c r="A26" s="12" t="inlineStr">
        <is>
          <t>5650 Washington St</t>
        </is>
      </c>
      <c r="B26" s="12" t="inlineStr">
        <is>
          <t>Multiple</t>
        </is>
      </c>
      <c r="C26" s="12" t="inlineStr">
        <is>
          <t>Actual multi-tenant (modified gross)</t>
        </is>
      </c>
      <c r="D26" s="12" t="inlineStr">
        <is>
          <t>Modified Gross</t>
        </is>
      </c>
      <c r="E26" s="12" t="n"/>
      <c r="F26" s="12" t="n"/>
      <c r="G26" s="12" t="n"/>
      <c r="H26" s="11" t="inlineStr">
        <is>
          <t>—</t>
        </is>
      </c>
      <c r="I26" s="11" t="inlineStr">
        <is>
          <t>—</t>
        </is>
      </c>
      <c r="J26" s="11" t="inlineStr">
        <is>
          <t>—</t>
        </is>
      </c>
      <c r="K26" s="12" t="n"/>
      <c r="L26" s="12" t="n"/>
      <c r="M26" s="12" t="inlineStr">
        <is>
          <t>Actual rents $10.28-$31.48/sf; majority $13-17/sf; $15/sf applied to vacant space. Detailed rent roll embedded as image in appraisal.</t>
        </is>
      </c>
    </row>
    <row r="27" ht="15.75" customHeight="1" s="51">
      <c r="A27" s="37" t="inlineStr">
        <is>
          <t>584 batch — actual tenant leases</t>
        </is>
      </c>
      <c r="B27" s="38" t="n"/>
      <c r="C27" s="38" t="n"/>
      <c r="D27" s="38" t="n"/>
      <c r="E27" s="38" t="n"/>
      <c r="F27" s="38" t="n"/>
      <c r="G27" s="38" t="n"/>
      <c r="H27" s="38" t="n"/>
      <c r="I27" s="38" t="n"/>
      <c r="J27" s="38" t="n"/>
      <c r="K27" s="38" t="n"/>
      <c r="L27" s="38" t="n"/>
      <c r="M27" s="38" t="n"/>
      <c r="N27" s="38" t="n"/>
    </row>
    <row r="28" ht="15.75" customHeight="1" s="51">
      <c r="A28" s="17" t="inlineStr">
        <is>
          <t>DEN3 - Bull Crossing</t>
        </is>
      </c>
      <c r="B28" s="17" t="inlineStr">
        <is>
          <t>Whole</t>
        </is>
      </c>
      <c r="C28" s="17" t="inlineStr">
        <is>
          <t>Amazon.com Services LLC</t>
        </is>
      </c>
      <c r="D28" s="17" t="inlineStr">
        <is>
          <t>Actual NNN</t>
        </is>
      </c>
      <c r="E28" s="36" t="n">
        <v>475890.21</v>
      </c>
      <c r="F28" s="36" t="n">
        <v>5710682.52</v>
      </c>
      <c r="G28" s="20" t="n">
        <v>6.66</v>
      </c>
      <c r="H28" s="17" t="inlineStr">
        <is>
          <t>7/23/2018</t>
        </is>
      </c>
      <c r="I28" s="17" t="inlineStr">
        <is>
          <t>7/31/2033</t>
        </is>
      </c>
      <c r="J28" s="17" t="inlineStr">
        <is>
          <t>4 x 5-yr renewal options @ market rate</t>
        </is>
      </c>
      <c r="K28" s="17" t="n"/>
      <c r="L28" s="17" t="n"/>
      <c r="M28" s="17" t="inlineStr">
        <is>
          <t>Landlord: 144 Bull Crossing Associates LLC. Rent escalates to $7.62/SF by 2032-33. Holdover option 8/1/2033-1/31/2034 at 100% rent.</t>
        </is>
      </c>
      <c r="N28" s="18" t="inlineStr">
        <is>
          <t>584</t>
        </is>
      </c>
    </row>
    <row r="29" ht="15.75" customHeight="1" s="51">
      <c r="A29" s="17" t="inlineStr">
        <is>
          <t>DEN7</t>
        </is>
      </c>
      <c r="B29" s="17" t="inlineStr">
        <is>
          <t>Whole</t>
        </is>
      </c>
      <c r="C29" s="17" t="inlineStr">
        <is>
          <t>Amazon.com Services LLC</t>
        </is>
      </c>
      <c r="D29" s="17" t="inlineStr">
        <is>
          <t>Actual NNN</t>
        </is>
      </c>
      <c r="E29" s="36" t="n">
        <v>268425.22</v>
      </c>
      <c r="F29" s="36" t="n">
        <v>3221102.64</v>
      </c>
      <c r="G29" s="20" t="n">
        <v>5.8</v>
      </c>
      <c r="H29" s="17" t="inlineStr">
        <is>
          <t>6/22/2020</t>
        </is>
      </c>
      <c r="I29" s="17" t="inlineStr">
        <is>
          <t>6/30/2027</t>
        </is>
      </c>
      <c r="J29" s="17" t="inlineStr">
        <is>
          <t>2 x 5-yr renewal options @ 100% market rate</t>
        </is>
      </c>
      <c r="K29" s="17" t="n"/>
      <c r="L29" s="17" t="n"/>
      <c r="M29" s="17" t="inlineStr">
        <is>
          <t>Landlord: FR Aurora Commerce Center Phase I LLC. Year-1 rent (3/22/2020-3/31/2021) fully abated. Escalates from $5.25/SF (2021) to $5.80/SF (2024-25).</t>
        </is>
      </c>
      <c r="N29" s="18" t="inlineStr">
        <is>
          <t>584</t>
        </is>
      </c>
    </row>
    <row r="30" ht="15.75" customHeight="1" s="51">
      <c r="A30" s="17" t="inlineStr">
        <is>
          <t>DEN2 - PR Park 70</t>
        </is>
      </c>
      <c r="B30" s="17" t="inlineStr">
        <is>
          <t>Whole</t>
        </is>
      </c>
      <c r="C30" s="17" t="inlineStr">
        <is>
          <t>Amazon.com Services LLC</t>
        </is>
      </c>
      <c r="D30" s="17" t="inlineStr">
        <is>
          <t>Actual NNN</t>
        </is>
      </c>
      <c r="E30" s="36" t="n">
        <v>496149.88</v>
      </c>
      <c r="F30" s="36" t="n">
        <v>5953798.55</v>
      </c>
      <c r="G30" s="20" t="n">
        <v>5.86</v>
      </c>
      <c r="H30" s="17" t="inlineStr">
        <is>
          <t>9/10/2017</t>
        </is>
      </c>
      <c r="I30" s="17" t="inlineStr">
        <is>
          <t>9/30/2032</t>
        </is>
      </c>
      <c r="J30" s="17" t="inlineStr">
        <is>
          <t>Up to 4 x 5-yr renewal options @ 100% market rate</t>
        </is>
      </c>
      <c r="K30" s="17" t="n"/>
      <c r="L30" s="17" t="n"/>
      <c r="M30" s="17" t="inlineStr">
        <is>
          <t>Landlord: PRISA LHC LLC dba Park 70 Building Venture 11 LLC (PGIM). Escalates from $5.77/SF (2022-23) to $6.41/SF by 2029-30.</t>
        </is>
      </c>
      <c r="N30" s="18" t="inlineStr">
        <is>
          <t>584</t>
        </is>
      </c>
    </row>
    <row r="31" ht="15.75" customHeight="1" s="51">
      <c r="A31" s="17" t="inlineStr">
        <is>
          <t>Home Depot Denver</t>
        </is>
      </c>
      <c r="B31" s="17" t="inlineStr">
        <is>
          <t>Whole</t>
        </is>
      </c>
      <c r="C31" s="17" t="inlineStr">
        <is>
          <t>Home Depot</t>
        </is>
      </c>
      <c r="D31" s="17" t="inlineStr">
        <is>
          <t>Actual NNN</t>
        </is>
      </c>
      <c r="E31" s="17" t="n"/>
      <c r="F31" s="36" t="n">
        <v>880000</v>
      </c>
      <c r="G31" s="20" t="n">
        <v>4</v>
      </c>
      <c r="H31" s="17" t="inlineStr">
        <is>
          <t>—</t>
        </is>
      </c>
      <c r="I31" s="17" t="inlineStr">
        <is>
          <t>—</t>
        </is>
      </c>
      <c r="J31" s="17" t="inlineStr">
        <is>
          <t>—</t>
        </is>
      </c>
      <c r="K31" s="17" t="n"/>
      <c r="L31" s="17" t="n"/>
      <c r="M31" s="17" t="inlineStr">
        <is>
          <t>Pro forma narrative states 'Current lease @ $4.00/NNN' ($880,000/yr on 220,000 SF); however the doc's own 3-yr Income &amp; Expense History shows YE2024 Base Rent of $1,088,974 ($4.95/SF) — both figures reproduced as documented; discrepancy not resolved in source.</t>
        </is>
      </c>
      <c r="N31" s="18" t="inlineStr">
        <is>
          <t>584</t>
        </is>
      </c>
    </row>
    <row r="32" ht="15.75" customHeight="1" s="51">
      <c r="A32" s="17" t="inlineStr">
        <is>
          <t>2780 N. Tower Road</t>
        </is>
      </c>
      <c r="B32" s="17" t="inlineStr">
        <is>
          <t>Whole</t>
        </is>
      </c>
      <c r="C32" s="17" t="inlineStr">
        <is>
          <t>Single tenant (GL ref. 'SRO Tower Road')</t>
        </is>
      </c>
      <c r="D32" s="17" t="inlineStr">
        <is>
          <t>Actual NNN</t>
        </is>
      </c>
      <c r="E32" s="17" t="n"/>
      <c r="F32" s="36" t="n">
        <v>3047376</v>
      </c>
      <c r="G32" s="20" t="n">
        <v>7.91</v>
      </c>
      <c r="H32" s="17" t="inlineStr">
        <is>
          <t>12/21/2021</t>
        </is>
      </c>
      <c r="I32" s="17" t="inlineStr">
        <is>
          <t>—</t>
        </is>
      </c>
      <c r="J32" s="17" t="inlineStr">
        <is>
          <t>—</t>
        </is>
      </c>
      <c r="K32" s="17" t="n"/>
      <c r="L32" s="17" t="n"/>
      <c r="M32" s="17" t="inlineStr">
        <is>
          <t>Lease originated 12/21/2021 @ $7.45/SF NNN; CPI escalations to $7.74/SF (2023 actual), $7.91/SF (2024 actual, per P&amp;L). Owner: 2780 North Tower Road, LLC.</t>
        </is>
      </c>
      <c r="N32" s="18" t="inlineStr">
        <is>
          <t>584</t>
        </is>
      </c>
    </row>
    <row r="33" ht="15.75" customHeight="1" s="51">
      <c r="A33" s="17" t="inlineStr">
        <is>
          <t>22100 E 26th Ave (ASB)</t>
        </is>
      </c>
      <c r="B33" s="17" t="inlineStr">
        <is>
          <t>Suite 0130, Bldg 01115C</t>
        </is>
      </c>
      <c r="C33" s="17" t="inlineStr">
        <is>
          <t>Pelsue Company</t>
        </is>
      </c>
      <c r="D33" s="17" t="inlineStr">
        <is>
          <t>Actual NNN</t>
        </is>
      </c>
      <c r="E33" s="36" t="n">
        <v>44672.23</v>
      </c>
      <c r="F33" s="36" t="n">
        <v>536066.76</v>
      </c>
      <c r="G33" s="20" t="n">
        <v>5.75</v>
      </c>
      <c r="H33" s="17" t="inlineStr">
        <is>
          <t>1/1/2024</t>
        </is>
      </c>
      <c r="I33" s="17" t="inlineStr">
        <is>
          <t>4/30/2034</t>
        </is>
      </c>
      <c r="J33" s="17" t="inlineStr">
        <is>
          <t>—</t>
        </is>
      </c>
      <c r="K33" s="36" t="n">
        <v>3751.64</v>
      </c>
      <c r="L33" s="17" t="n"/>
      <c r="M33" s="17" t="inlineStr">
        <is>
          <t>93,229 SF occupied of 406,959 SF total (22.91% occupied at DOV). Contractual increases to $60,035.74/mo ($7.73/SF) by 1/1/2034. Insurance recovery $3,547.71/mo; RE tax recovery $24,839.43/mo. Suite 0100 (313,730 SF) VACANT at DOV; new lease to Vederra signed for 5/1/2025-6/30/2033 (post-DOV).</t>
        </is>
      </c>
      <c r="N33" s="18" t="inlineStr">
        <is>
          <t>584</t>
        </is>
      </c>
    </row>
    <row r="34" ht="15.75" customHeight="1" s="51">
      <c r="A34" s="37" t="inlineStr">
        <is>
          <t>584 batch — tax-appeal / market proforma lease assumptions (not executed leases unless noted)</t>
        </is>
      </c>
      <c r="B34" s="38" t="n"/>
      <c r="C34" s="38" t="n"/>
      <c r="D34" s="38" t="n"/>
      <c r="E34" s="38" t="n"/>
      <c r="F34" s="38" t="n"/>
      <c r="G34" s="38" t="n"/>
      <c r="H34" s="38" t="n"/>
      <c r="I34" s="38" t="n"/>
      <c r="J34" s="38" t="n"/>
      <c r="K34" s="38" t="n"/>
      <c r="L34" s="38" t="n"/>
      <c r="M34" s="38" t="n"/>
      <c r="N34" s="38" t="n"/>
    </row>
    <row r="35" ht="15.75" customHeight="1" s="51">
      <c r="A35" s="17" t="inlineStr">
        <is>
          <t>20600 E. 35th Dr, Bldg 12</t>
        </is>
      </c>
      <c r="B35" s="17" t="inlineStr">
        <is>
          <t>Whole</t>
        </is>
      </c>
      <c r="C35" s="17" t="inlineStr">
        <is>
          <t>Proforma multi-tenant</t>
        </is>
      </c>
      <c r="D35" s="17" t="inlineStr">
        <is>
          <t>Proforma NNN</t>
        </is>
      </c>
      <c r="E35" s="17" t="n"/>
      <c r="F35" s="36" t="n">
        <v>2884875</v>
      </c>
      <c r="G35" s="20" t="n">
        <v>6.25</v>
      </c>
      <c r="H35" s="17" t="inlineStr">
        <is>
          <t>—</t>
        </is>
      </c>
      <c r="I35" s="17" t="inlineStr">
        <is>
          <t>—</t>
        </is>
      </c>
      <c r="J35" s="17" t="inlineStr">
        <is>
          <t>—</t>
        </is>
      </c>
      <c r="K35" s="17" t="n"/>
      <c r="L35" s="17" t="n"/>
      <c r="M35" s="17" t="inlineStr">
        <is>
          <t>100% vacant at DOV 6/30/2024; 10% vacancy, 5% expense allowance (Sterling)</t>
        </is>
      </c>
      <c r="N35" s="18" t="inlineStr">
        <is>
          <t>584</t>
        </is>
      </c>
    </row>
    <row r="36" ht="15.75" customHeight="1" s="51">
      <c r="A36" s="17" t="inlineStr">
        <is>
          <t>Lovett 76 Logistics Center</t>
        </is>
      </c>
      <c r="B36" s="17" t="inlineStr">
        <is>
          <t>Whole</t>
        </is>
      </c>
      <c r="C36" s="17" t="inlineStr">
        <is>
          <t>Proforma single-tenant</t>
        </is>
      </c>
      <c r="D36" s="17" t="inlineStr">
        <is>
          <t>Proforma NNN</t>
        </is>
      </c>
      <c r="E36" s="17" t="n"/>
      <c r="F36" s="36" t="n">
        <v>3377055</v>
      </c>
      <c r="G36" s="20" t="n">
        <v>5.5</v>
      </c>
      <c r="H36" s="17" t="inlineStr">
        <is>
          <t>—</t>
        </is>
      </c>
      <c r="I36" s="17" t="inlineStr">
        <is>
          <t>—</t>
        </is>
      </c>
      <c r="J36" s="17" t="inlineStr">
        <is>
          <t>—</t>
        </is>
      </c>
      <c r="K36" s="17" t="n"/>
      <c r="L36" s="17" t="n"/>
      <c r="M36" s="17" t="inlineStr">
        <is>
          <t>5% vacancy; 8% opex (Ryan)</t>
        </is>
      </c>
      <c r="N36" s="18" t="inlineStr">
        <is>
          <t>584</t>
        </is>
      </c>
    </row>
    <row r="37" ht="15.75" customHeight="1" s="51">
      <c r="A37" s="17" t="inlineStr">
        <is>
          <t>20310 E. 35th Dr, Bldg 11</t>
        </is>
      </c>
      <c r="B37" s="17" t="inlineStr">
        <is>
          <t>Whole</t>
        </is>
      </c>
      <c r="C37" s="17" t="inlineStr">
        <is>
          <t>Proforma multi-tenant</t>
        </is>
      </c>
      <c r="D37" s="17" t="inlineStr">
        <is>
          <t>Proforma NNN</t>
        </is>
      </c>
      <c r="E37" s="17" t="n"/>
      <c r="F37" s="36" t="n">
        <v>1530750</v>
      </c>
      <c r="G37" s="20" t="n">
        <v>6.25</v>
      </c>
      <c r="H37" s="17" t="inlineStr">
        <is>
          <t>—</t>
        </is>
      </c>
      <c r="I37" s="17" t="inlineStr">
        <is>
          <t>—</t>
        </is>
      </c>
      <c r="J37" s="17" t="inlineStr">
        <is>
          <t>—</t>
        </is>
      </c>
      <c r="K37" s="17" t="n"/>
      <c r="L37" s="17" t="n"/>
      <c r="M37" s="17" t="inlineStr">
        <is>
          <t>100% vacant at DOV 6/30/2024; 10% vacancy, 5% expense allowance (Sterling)</t>
        </is>
      </c>
      <c r="N37" s="18" t="inlineStr">
        <is>
          <t>584</t>
        </is>
      </c>
    </row>
    <row r="38" ht="15.75" customHeight="1" s="51">
      <c r="A38" s="17" t="inlineStr">
        <is>
          <t>Denali Buildings 1, 2 &amp; 3 (combined)</t>
        </is>
      </c>
      <c r="B38" s="17" t="inlineStr">
        <is>
          <t>Whole (3 bldgs)</t>
        </is>
      </c>
      <c r="C38" s="17" t="inlineStr">
        <is>
          <t>Proforma multi-tenant</t>
        </is>
      </c>
      <c r="D38" s="17" t="inlineStr">
        <is>
          <t>Proforma NNN</t>
        </is>
      </c>
      <c r="E38" s="17" t="n"/>
      <c r="F38" s="36" t="n">
        <v>4752500</v>
      </c>
      <c r="G38" s="20" t="n">
        <v>6.25</v>
      </c>
      <c r="H38" s="17" t="inlineStr">
        <is>
          <t>—</t>
        </is>
      </c>
      <c r="I38" s="17" t="inlineStr">
        <is>
          <t>—</t>
        </is>
      </c>
      <c r="J38" s="17" t="inlineStr">
        <is>
          <t>—</t>
        </is>
      </c>
      <c r="K38" s="17" t="n"/>
      <c r="L38" s="17" t="n"/>
      <c r="M38" s="17" t="inlineStr">
        <is>
          <t>Combined 760,400 SF; 100% vacant at DOV; 10% vacancy, 5% expense allowance (Sterling). Applies pro-rata to R0218172/73/74.</t>
        </is>
      </c>
      <c r="N38" s="18" t="inlineStr">
        <is>
          <t>584</t>
        </is>
      </c>
    </row>
    <row r="39" ht="15.75" customHeight="1" s="51">
      <c r="A39" s="17" t="inlineStr">
        <is>
          <t>Broadway Logistics Center</t>
        </is>
      </c>
      <c r="B39" s="17" t="inlineStr">
        <is>
          <t>Whole</t>
        </is>
      </c>
      <c r="C39" s="17" t="inlineStr">
        <is>
          <t>Proforma single-tenant (actual: 100% vacant)</t>
        </is>
      </c>
      <c r="D39" s="17" t="inlineStr">
        <is>
          <t>Proforma NNN</t>
        </is>
      </c>
      <c r="E39" s="17" t="n"/>
      <c r="F39" s="36" t="n">
        <v>1105638</v>
      </c>
      <c r="G39" s="20" t="n">
        <v>5.5</v>
      </c>
      <c r="H39" s="17" t="inlineStr">
        <is>
          <t>—</t>
        </is>
      </c>
      <c r="I39" s="17" t="inlineStr">
        <is>
          <t>—</t>
        </is>
      </c>
      <c r="J39" s="17" t="inlineStr">
        <is>
          <t>—</t>
        </is>
      </c>
      <c r="K39" s="17" t="n"/>
      <c r="L39" s="17" t="n"/>
      <c r="M39" s="17" t="inlineStr">
        <is>
          <t>5% vacancy; 8% opex (Ryan). Actual rent roll (1/1/2025): both units VACANT, 201,329 SF.</t>
        </is>
      </c>
      <c r="N39" s="18" t="inlineStr">
        <is>
          <t>584</t>
        </is>
      </c>
    </row>
    <row r="40" ht="15.75" customHeight="1" s="51">
      <c r="A40" s="17" t="inlineStr">
        <is>
          <t>Majestic Commercenter Bldg 15</t>
        </is>
      </c>
      <c r="B40" s="17" t="inlineStr">
        <is>
          <t>Whole</t>
        </is>
      </c>
      <c r="C40" s="17" t="inlineStr">
        <is>
          <t>Single tenant (name not disclosed in document)</t>
        </is>
      </c>
      <c r="D40" s="17" t="inlineStr">
        <is>
          <t>Actual NNN</t>
        </is>
      </c>
      <c r="E40" s="17" t="n"/>
      <c r="F40" s="36" t="n">
        <v>4123728.27</v>
      </c>
      <c r="G40" s="20" t="n">
        <v>5.87</v>
      </c>
      <c r="H40" s="17" t="inlineStr">
        <is>
          <t>—</t>
        </is>
      </c>
      <c r="I40" s="17" t="inlineStr">
        <is>
          <t>—</t>
        </is>
      </c>
      <c r="J40" s="17" t="inlineStr">
        <is>
          <t>—</t>
        </is>
      </c>
      <c r="K40" s="17" t="n"/>
      <c r="L40" s="17" t="n"/>
      <c r="M40" s="17" t="inlineStr">
        <is>
          <t>Actual FY2024 GL 'Industrial Rental Income'; property 100% occupied at DOV</t>
        </is>
      </c>
      <c r="N40" s="18" t="inlineStr">
        <is>
          <t>584</t>
        </is>
      </c>
    </row>
    <row r="41" ht="15.75" customHeight="1" s="51">
      <c r="A41" s="17" t="inlineStr">
        <is>
          <t>Majestic Commercenter Bldg 29</t>
        </is>
      </c>
      <c r="B41" s="17" t="inlineStr">
        <is>
          <t>Whole (aggregate)</t>
        </is>
      </c>
      <c r="C41" s="17" t="inlineStr">
        <is>
          <t>Multi-tenant (names not itemized)</t>
        </is>
      </c>
      <c r="D41" s="17" t="inlineStr">
        <is>
          <t>Actual NNN (aggregate)</t>
        </is>
      </c>
      <c r="E41" s="17" t="n"/>
      <c r="F41" s="36" t="n">
        <v>2361897.18</v>
      </c>
      <c r="G41" s="20" t="n">
        <v>5.22</v>
      </c>
      <c r="H41" s="17" t="inlineStr">
        <is>
          <t>—</t>
        </is>
      </c>
      <c r="I41" s="17" t="inlineStr">
        <is>
          <t>—</t>
        </is>
      </c>
      <c r="J41" s="17" t="inlineStr">
        <is>
          <t>—</t>
        </is>
      </c>
      <c r="K41" s="17" t="n"/>
      <c r="L41" s="17" t="n"/>
      <c r="M41" s="17" t="inlineStr">
        <is>
          <t>Actual FY2024 GL 'Industrial Rental Income'; property 100% occupied. Large 'Tenant TI Reimb Income' ($1.1M) suggests recent turnover/lease-up.</t>
        </is>
      </c>
      <c r="N41" s="18" t="inlineStr">
        <is>
          <t>584</t>
        </is>
      </c>
    </row>
    <row r="42" ht="15.75" customHeight="1" s="51">
      <c r="A42" s="17" t="inlineStr">
        <is>
          <t>Majestic Commercenter Bldg 26</t>
        </is>
      </c>
      <c r="B42" s="17" t="inlineStr">
        <is>
          <t>Whole</t>
        </is>
      </c>
      <c r="C42" s="17" t="inlineStr">
        <is>
          <t>Proforma single-tenant (property actually 100% occupied)</t>
        </is>
      </c>
      <c r="D42" s="17" t="inlineStr">
        <is>
          <t>Proforma NNN</t>
        </is>
      </c>
      <c r="E42" s="17" t="n"/>
      <c r="F42" s="36" t="n">
        <v>1250000</v>
      </c>
      <c r="G42" s="20" t="n">
        <v>6.25</v>
      </c>
      <c r="H42" s="17" t="inlineStr">
        <is>
          <t>—</t>
        </is>
      </c>
      <c r="I42" s="17" t="inlineStr">
        <is>
          <t>—</t>
        </is>
      </c>
      <c r="J42" s="17" t="inlineStr">
        <is>
          <t>—</t>
        </is>
      </c>
      <c r="K42" s="17" t="n"/>
      <c r="L42" s="17" t="n"/>
      <c r="M42" s="17" t="inlineStr">
        <is>
          <t>10% vacancy, 5% expense allowance (Sterling). Actual FY2024 total revenue (incl. reimbursements) $1,780,473.56.</t>
        </is>
      </c>
      <c r="N42" s="18" t="inlineStr">
        <is>
          <t>584</t>
        </is>
      </c>
    </row>
    <row r="43" ht="15.75" customHeight="1" s="51">
      <c r="A43" s="17" t="inlineStr">
        <is>
          <t>Majestic Commercenter Bldg 24</t>
        </is>
      </c>
      <c r="B43" s="17" t="inlineStr">
        <is>
          <t>Whole</t>
        </is>
      </c>
      <c r="C43" s="17" t="inlineStr">
        <is>
          <t>Multi-tenant (names not itemized)</t>
        </is>
      </c>
      <c r="D43" s="17" t="inlineStr">
        <is>
          <t>Proforma NNN</t>
        </is>
      </c>
      <c r="E43" s="17" t="n"/>
      <c r="F43" s="36" t="n">
        <v>1343938</v>
      </c>
      <c r="G43" s="20" t="n">
        <v>6.25</v>
      </c>
      <c r="H43" s="17" t="inlineStr">
        <is>
          <t>—</t>
        </is>
      </c>
      <c r="I43" s="17" t="inlineStr">
        <is>
          <t>—</t>
        </is>
      </c>
      <c r="J43" s="17" t="inlineStr">
        <is>
          <t>—</t>
        </is>
      </c>
      <c r="K43" s="17" t="n"/>
      <c r="L43" s="17" t="n"/>
      <c r="M43" s="17" t="inlineStr">
        <is>
          <t>10% vacancy, 5% expense allowance (Sterling). Actual FY2024 total revenue $2,567,319.80.</t>
        </is>
      </c>
      <c r="N43" s="18" t="inlineStr">
        <is>
          <t>584</t>
        </is>
      </c>
    </row>
    <row r="44" ht="15.75" customHeight="1" s="51">
      <c r="A44" s="17" t="inlineStr">
        <is>
          <t>Majestic Commercenter Bldg 22</t>
        </is>
      </c>
      <c r="B44" s="17" t="inlineStr">
        <is>
          <t>Whole</t>
        </is>
      </c>
      <c r="C44" s="17" t="inlineStr">
        <is>
          <t>Multi-tenant (75% occupied at DOV)</t>
        </is>
      </c>
      <c r="D44" s="17" t="inlineStr">
        <is>
          <t>Proforma NNN</t>
        </is>
      </c>
      <c r="E44" s="17" t="n"/>
      <c r="F44" s="36" t="n">
        <v>1250563</v>
      </c>
      <c r="G44" s="20" t="n">
        <v>6.25</v>
      </c>
      <c r="H44" s="17" t="inlineStr">
        <is>
          <t>—</t>
        </is>
      </c>
      <c r="I44" s="17" t="inlineStr">
        <is>
          <t>—</t>
        </is>
      </c>
      <c r="J44" s="17" t="inlineStr">
        <is>
          <t>—</t>
        </is>
      </c>
      <c r="K44" s="17" t="n"/>
      <c r="L44" s="17" t="n"/>
      <c r="M44" s="17" t="inlineStr">
        <is>
          <t>10% vacancy, 5% expense allowance (Sterling); 15% excess vacancy discount applied (25% actual vs 10% normal). Actual FY2024 total revenue $1,648,443.25.</t>
        </is>
      </c>
      <c r="N44" s="18" t="inlineStr">
        <is>
          <t>584</t>
        </is>
      </c>
    </row>
    <row r="45" ht="15.75" customHeight="1" s="51">
      <c r="A45" s="17" t="inlineStr">
        <is>
          <t>Shamrock Foods</t>
        </is>
      </c>
      <c r="B45" s="17" t="inlineStr">
        <is>
          <t>Whole</t>
        </is>
      </c>
      <c r="C45" s="17" t="inlineStr">
        <is>
          <t>Proforma (hypothetical — owner-occupied, no actual tenant)</t>
        </is>
      </c>
      <c r="D45" s="17" t="inlineStr">
        <is>
          <t>Proforma NNN</t>
        </is>
      </c>
      <c r="E45" s="17" t="n"/>
      <c r="F45" s="36" t="n">
        <v>2061894</v>
      </c>
      <c r="G45" s="20" t="n">
        <v>6.25</v>
      </c>
      <c r="H45" s="17" t="inlineStr">
        <is>
          <t>—</t>
        </is>
      </c>
      <c r="I45" s="17" t="inlineStr">
        <is>
          <t>—</t>
        </is>
      </c>
      <c r="J45" s="17" t="inlineStr">
        <is>
          <t>—</t>
        </is>
      </c>
      <c r="K45" s="17" t="n"/>
      <c r="L45" s="17" t="n"/>
      <c r="M45" s="17" t="inlineStr">
        <is>
          <t>Appeal uses hypothetical fee-simple market lease; 8% vacancy, 3%+3%+1% opex (DMA)</t>
        </is>
      </c>
      <c r="N45" s="18" t="inlineStr">
        <is>
          <t>584</t>
        </is>
      </c>
    </row>
    <row r="46" ht="15.75" customHeight="1" s="51"/>
    <row r="47" ht="15.75" customHeight="1" s="51"/>
    <row r="48" ht="15.75" customHeight="1" s="51"/>
    <row r="49" ht="15.75" customHeight="1" s="51"/>
    <row r="50" ht="15.75" customHeight="1" s="51"/>
    <row r="51" ht="15.75" customHeight="1" s="51"/>
    <row r="52" ht="15.75" customHeight="1" s="51"/>
    <row r="53" ht="15.75" customHeight="1" s="51"/>
    <row r="54" ht="15.75" customHeight="1" s="51"/>
    <row r="55" ht="15.75" customHeight="1" s="51"/>
    <row r="56" ht="15.75" customHeight="1" s="51"/>
    <row r="57" ht="15.75" customHeight="1" s="51"/>
    <row r="58" ht="15.75" customHeight="1" s="51"/>
    <row r="59" ht="15.75" customHeight="1" s="51"/>
    <row r="60" ht="15.75" customHeight="1" s="51"/>
    <row r="61" ht="15.75" customHeight="1" s="51"/>
    <row r="62" ht="15.75" customHeight="1" s="51"/>
    <row r="63" ht="15.75" customHeight="1" s="51"/>
    <row r="64" ht="15.75" customHeight="1" s="51"/>
    <row r="65" ht="15.75" customHeight="1" s="51"/>
    <row r="66" ht="15.75" customHeight="1" s="51"/>
    <row r="67" ht="15.75" customHeight="1" s="51"/>
    <row r="68" ht="15.75" customHeight="1" s="51"/>
    <row r="69" ht="15.75" customHeight="1" s="51"/>
    <row r="70" ht="15.75" customHeight="1" s="51"/>
    <row r="71" ht="15.75" customHeight="1" s="51"/>
    <row r="72" ht="15.75" customHeight="1" s="51"/>
    <row r="73" ht="15.75" customHeight="1" s="51"/>
    <row r="74" ht="15.75" customHeight="1" s="51"/>
    <row r="75" ht="15.75" customHeight="1" s="51"/>
    <row r="76" ht="15.75" customHeight="1" s="51"/>
    <row r="77" ht="15.75" customHeight="1" s="51"/>
    <row r="78" ht="15.75" customHeight="1" s="51"/>
    <row r="79" ht="15.75" customHeight="1" s="51"/>
    <row r="80" ht="15.75" customHeight="1" s="51"/>
    <row r="81" ht="15.75" customHeight="1" s="51"/>
    <row r="82" ht="15.75" customHeight="1" s="51"/>
    <row r="83" ht="15.75" customHeight="1" s="51"/>
    <row r="84" ht="15.75" customHeight="1" s="51"/>
    <row r="85" ht="15.75" customHeight="1" s="51"/>
    <row r="86" ht="15.75" customHeight="1" s="51"/>
    <row r="87" ht="15.75" customHeight="1" s="51"/>
    <row r="88" ht="15.75" customHeight="1" s="51"/>
    <row r="89" ht="15.75" customHeight="1" s="51"/>
    <row r="90" ht="15.75" customHeight="1" s="51"/>
    <row r="91" ht="15.75" customHeight="1" s="51"/>
    <row r="92" ht="15.75" customHeight="1" s="51"/>
    <row r="93" ht="15.75" customHeight="1" s="51"/>
    <row r="94" ht="15.75" customHeight="1" s="51"/>
    <row r="95" ht="15.75" customHeight="1" s="51"/>
    <row r="96" ht="15.75" customHeight="1" s="51"/>
    <row r="97" ht="15.75" customHeight="1" s="51"/>
    <row r="98" ht="15.75" customHeight="1" s="51"/>
    <row r="99" ht="15.75" customHeight="1" s="51"/>
    <row r="100" ht="15.75" customHeight="1" s="51"/>
    <row r="101" ht="15.75" customHeight="1" s="51"/>
    <row r="102" ht="15.75" customHeight="1" s="51"/>
    <row r="103" ht="15.75" customHeight="1" s="51"/>
    <row r="104" ht="15.75" customHeight="1" s="51"/>
    <row r="105" ht="15.75" customHeight="1" s="51"/>
    <row r="106" ht="15.75" customHeight="1" s="51"/>
    <row r="107" ht="15.75" customHeight="1" s="51"/>
    <row r="108" ht="15.75" customHeight="1" s="51"/>
    <row r="109" ht="15.75" customHeight="1" s="51"/>
    <row r="110" ht="15.75" customHeight="1" s="51"/>
    <row r="111" ht="15.75" customHeight="1" s="51"/>
    <row r="112" ht="15.75" customHeight="1" s="51"/>
    <row r="113" ht="15.75" customHeight="1" s="51"/>
    <row r="114" ht="15.75" customHeight="1" s="51"/>
    <row r="115" ht="15.75" customHeight="1" s="51"/>
    <row r="116" ht="15.75" customHeight="1" s="51"/>
    <row r="117" ht="15.75" customHeight="1" s="51"/>
    <row r="118" ht="15.75" customHeight="1" s="51"/>
    <row r="119" ht="15.75" customHeight="1" s="51"/>
    <row r="120" ht="15.75" customHeight="1" s="51"/>
    <row r="121" ht="15.75" customHeight="1" s="51"/>
    <row r="122" ht="15.75" customHeight="1" s="51"/>
    <row r="123" ht="15.75" customHeight="1" s="51"/>
    <row r="124" ht="15.75" customHeight="1" s="51"/>
    <row r="125" ht="15.75" customHeight="1" s="51"/>
    <row r="126" ht="15.75" customHeight="1" s="51"/>
    <row r="127" ht="15.75" customHeight="1" s="51"/>
    <row r="128" ht="15.75" customHeight="1" s="51"/>
    <row r="129" ht="15.75" customHeight="1" s="51"/>
    <row r="130" ht="15.75" customHeight="1" s="51"/>
    <row r="131" ht="15.75" customHeight="1" s="51"/>
    <row r="132" ht="15.75" customHeight="1" s="51"/>
    <row r="133" ht="15.75" customHeight="1" s="51"/>
    <row r="134" ht="15.75" customHeight="1" s="51"/>
    <row r="135" ht="15.75" customHeight="1" s="51"/>
    <row r="136" ht="15.75" customHeight="1" s="51"/>
    <row r="137" ht="15.75" customHeight="1" s="51"/>
    <row r="138" ht="15.75" customHeight="1" s="51"/>
    <row r="139" ht="15.75" customHeight="1" s="51"/>
    <row r="140" ht="15.75" customHeight="1" s="51"/>
    <row r="141" ht="15.75" customHeight="1" s="51"/>
    <row r="142" ht="15.75" customHeight="1" s="51"/>
    <row r="143" ht="15.75" customHeight="1" s="51"/>
    <row r="144" ht="15.75" customHeight="1" s="51"/>
    <row r="145" ht="15.75" customHeight="1" s="51"/>
    <row r="146" ht="15.75" customHeight="1" s="51"/>
    <row r="147" ht="15.75" customHeight="1" s="51"/>
    <row r="148" ht="15.75" customHeight="1" s="51"/>
    <row r="149" ht="15.75" customHeight="1" s="51"/>
    <row r="150" ht="15.75" customHeight="1" s="51"/>
    <row r="151" ht="15.75" customHeight="1" s="51"/>
    <row r="152" ht="15.75" customHeight="1" s="51"/>
    <row r="153" ht="15.75" customHeight="1" s="51"/>
    <row r="154" ht="15.75" customHeight="1" s="51"/>
    <row r="155" ht="15.75" customHeight="1" s="51"/>
    <row r="156" ht="15.75" customHeight="1" s="51"/>
    <row r="157" ht="15.75" customHeight="1" s="51"/>
    <row r="158" ht="15.75" customHeight="1" s="51"/>
    <row r="159" ht="15.75" customHeight="1" s="51"/>
    <row r="160" ht="15.75" customHeight="1" s="51"/>
    <row r="161" ht="15.75" customHeight="1" s="51"/>
    <row r="162" ht="15.75" customHeight="1" s="51"/>
    <row r="163" ht="15.75" customHeight="1" s="51"/>
    <row r="164" ht="15.75" customHeight="1" s="51"/>
    <row r="165" ht="15.75" customHeight="1" s="51"/>
    <row r="166" ht="15.75" customHeight="1" s="51"/>
    <row r="167" ht="15.75" customHeight="1" s="51"/>
    <row r="168" ht="15.75" customHeight="1" s="51"/>
    <row r="169" ht="15.75" customHeight="1" s="51"/>
    <row r="170" ht="15.75" customHeight="1" s="51"/>
    <row r="171" ht="15.75" customHeight="1" s="51"/>
    <row r="172" ht="15.75" customHeight="1" s="51"/>
    <row r="173" ht="15.75" customHeight="1" s="51"/>
    <row r="174" ht="15.75" customHeight="1" s="51"/>
    <row r="175" ht="15.75" customHeight="1" s="51"/>
    <row r="176" ht="15.75" customHeight="1" s="51"/>
    <row r="177" ht="15.75" customHeight="1" s="51"/>
    <row r="178" ht="15.75" customHeight="1" s="51"/>
    <row r="179" ht="15.75" customHeight="1" s="51"/>
    <row r="180" ht="15.75" customHeight="1" s="51"/>
    <row r="181" ht="15.75" customHeight="1" s="51"/>
    <row r="182" ht="15.75" customHeight="1" s="51"/>
    <row r="183" ht="15.75" customHeight="1" s="51"/>
    <row r="184" ht="15.75" customHeight="1" s="51"/>
    <row r="185" ht="15.75" customHeight="1" s="51"/>
    <row r="186" ht="15.75" customHeight="1" s="51"/>
    <row r="187" ht="15.75" customHeight="1" s="51"/>
    <row r="188" ht="15.75" customHeight="1" s="51"/>
    <row r="189" ht="15.75" customHeight="1" s="51"/>
    <row r="190" ht="15.75" customHeight="1" s="51"/>
    <row r="191" ht="15.75" customHeight="1" s="51"/>
    <row r="192" ht="15.75" customHeight="1" s="51"/>
    <row r="193" ht="15.75" customHeight="1" s="51"/>
    <row r="194" ht="15.75" customHeight="1" s="51"/>
    <row r="195" ht="15.75" customHeight="1" s="51"/>
    <row r="196" ht="15.75" customHeight="1" s="51"/>
    <row r="197" ht="15.75" customHeight="1" s="51"/>
    <row r="198" ht="15.75" customHeight="1" s="51"/>
    <row r="199" ht="15.75" customHeight="1" s="51"/>
    <row r="200" ht="15.75" customHeight="1" s="51"/>
    <row r="201" ht="15.75" customHeight="1" s="51"/>
    <row r="202" ht="15.75" customHeight="1" s="51"/>
    <row r="203" ht="15.75" customHeight="1" s="51"/>
    <row r="204" ht="15.75" customHeight="1" s="51"/>
    <row r="205" ht="15.75" customHeight="1" s="51"/>
    <row r="206" ht="15.75" customHeight="1" s="51"/>
    <row r="207" ht="15.75" customHeight="1" s="51"/>
    <row r="208" ht="15.75" customHeight="1" s="51"/>
    <row r="209" ht="15.75" customHeight="1" s="51"/>
    <row r="210" ht="15.75" customHeight="1" s="51"/>
    <row r="211" ht="15.75" customHeight="1" s="51"/>
    <row r="212" ht="15.75" customHeight="1" s="51"/>
    <row r="213" ht="15.75" customHeight="1" s="51"/>
    <row r="214" ht="15.75" customHeight="1" s="51"/>
    <row r="215" ht="15.75" customHeight="1" s="51"/>
    <row r="216" ht="15.75" customHeight="1" s="51"/>
    <row r="217" ht="15.75" customHeight="1" s="51"/>
    <row r="218" ht="15.75" customHeight="1" s="51"/>
    <row r="219" ht="15.75" customHeight="1" s="51"/>
    <row r="220" ht="15.75" customHeight="1" s="51"/>
    <row r="221" ht="15.75" customHeight="1" s="51"/>
    <row r="222" ht="15.75" customHeight="1" s="51"/>
    <row r="223" ht="15.75" customHeight="1" s="51"/>
    <row r="224" ht="15.75" customHeight="1" s="51"/>
    <row r="225" ht="15.75" customHeight="1" s="51"/>
    <row r="226" ht="15.75" customHeight="1" s="51"/>
    <row r="227" ht="15.75" customHeight="1" s="51"/>
    <row r="228" ht="15.75" customHeight="1" s="51"/>
    <row r="229" ht="15.75" customHeight="1" s="51"/>
    <row r="230" ht="15.75" customHeight="1" s="51"/>
    <row r="231" ht="15.75" customHeight="1" s="51"/>
    <row r="232" ht="15.75" customHeight="1" s="51"/>
    <row r="233" ht="15.75" customHeight="1" s="51"/>
    <row r="234" ht="15.75" customHeight="1" s="51"/>
    <row r="235" ht="15.75" customHeight="1" s="51"/>
    <row r="236" ht="15.75" customHeight="1" s="51"/>
    <row r="237" ht="15.75" customHeight="1" s="51"/>
    <row r="238" ht="15.75" customHeight="1" s="51"/>
    <row r="239" ht="15.75" customHeight="1" s="51"/>
    <row r="240" ht="15.75" customHeight="1" s="51"/>
    <row r="241" ht="15.75" customHeight="1" s="51"/>
    <row r="242" ht="15.75" customHeight="1" s="51"/>
    <row r="243" ht="15.75" customHeight="1" s="51"/>
    <row r="244" ht="15.75" customHeight="1" s="51"/>
    <row r="245" ht="15.75" customHeight="1" s="51"/>
    <row r="246" ht="15.75" customHeight="1" s="51"/>
    <row r="247" ht="15.75" customHeight="1" s="51"/>
    <row r="248" ht="15.75" customHeight="1" s="51"/>
    <row r="249" ht="15.75" customHeight="1" s="51"/>
    <row r="250" ht="15.75" customHeight="1" s="51"/>
    <row r="251" ht="15.75" customHeight="1" s="51"/>
    <row r="252" ht="15.75" customHeight="1" s="51"/>
    <row r="253" ht="15.75" customHeight="1" s="51"/>
    <row r="254" ht="15.75" customHeight="1" s="51"/>
    <row r="255" ht="15.75" customHeight="1" s="51"/>
    <row r="256" ht="15.75" customHeight="1" s="51"/>
    <row r="257" ht="15.75" customHeight="1" s="51"/>
    <row r="258" ht="15.75" customHeight="1" s="51"/>
    <row r="259" ht="15.75" customHeight="1" s="51"/>
    <row r="260" ht="15.75" customHeight="1" s="51"/>
    <row r="261" ht="15.75" customHeight="1" s="51"/>
    <row r="262" ht="15.75" customHeight="1" s="51"/>
    <row r="263" ht="15.75" customHeight="1" s="51"/>
    <row r="264" ht="15.75" customHeight="1" s="51"/>
    <row r="265" ht="15.75" customHeight="1" s="51"/>
    <row r="266" ht="15.75" customHeight="1" s="51"/>
    <row r="267" ht="15.75" customHeight="1" s="51"/>
    <row r="268" ht="15.75" customHeight="1" s="51"/>
    <row r="269" ht="15.75" customHeight="1" s="51"/>
    <row r="270" ht="15.75" customHeight="1" s="51"/>
    <row r="271" ht="15.75" customHeight="1" s="51"/>
    <row r="272" ht="15.75" customHeight="1" s="51"/>
    <row r="273" ht="15.75" customHeight="1" s="51"/>
    <row r="274" ht="15.75" customHeight="1" s="51"/>
    <row r="275" ht="15.75" customHeight="1" s="51"/>
    <row r="276" ht="15.75" customHeight="1" s="51"/>
    <row r="277" ht="15.75" customHeight="1" s="51"/>
    <row r="278" ht="15.75" customHeight="1" s="51"/>
    <row r="279" ht="15.75" customHeight="1" s="51"/>
    <row r="280" ht="15.75" customHeight="1" s="51"/>
    <row r="281" ht="15.75" customHeight="1" s="51"/>
    <row r="282" ht="15.75" customHeight="1" s="51"/>
    <row r="283" ht="15.75" customHeight="1" s="51"/>
    <row r="284" ht="15.75" customHeight="1" s="51"/>
    <row r="285" ht="15.75" customHeight="1" s="51"/>
    <row r="286" ht="15.75" customHeight="1" s="51"/>
    <row r="287" ht="15.75" customHeight="1" s="51"/>
    <row r="288" ht="15.75" customHeight="1" s="51"/>
    <row r="289" ht="15.75" customHeight="1" s="51"/>
    <row r="290" ht="15.75" customHeight="1" s="51"/>
    <row r="291" ht="15.75" customHeight="1" s="51"/>
    <row r="292" ht="15.75" customHeight="1" s="51"/>
    <row r="293" ht="15.75" customHeight="1" s="51"/>
    <row r="294" ht="15.75" customHeight="1" s="51"/>
    <row r="295" ht="15.75" customHeight="1" s="51"/>
    <row r="296" ht="15.75" customHeight="1" s="51"/>
    <row r="297" ht="15.75" customHeight="1" s="51"/>
    <row r="298" ht="15.75" customHeight="1" s="51"/>
    <row r="299" ht="15.75" customHeight="1" s="51"/>
    <row r="300" ht="15.75" customHeight="1" s="51"/>
    <row r="301" ht="15.75" customHeight="1" s="51"/>
    <row r="302" ht="15.75" customHeight="1" s="51"/>
    <row r="303" ht="15.75" customHeight="1" s="51"/>
    <row r="304" ht="15.75" customHeight="1" s="51"/>
    <row r="305" ht="15.75" customHeight="1" s="51"/>
    <row r="306" ht="15.75" customHeight="1" s="51"/>
    <row r="307" ht="15.75" customHeight="1" s="51"/>
    <row r="308" ht="15.75" customHeight="1" s="51"/>
    <row r="309" ht="15.75" customHeight="1" s="51"/>
    <row r="310" ht="15.75" customHeight="1" s="51"/>
    <row r="311" ht="15.75" customHeight="1" s="51"/>
    <row r="312" ht="15.75" customHeight="1" s="51"/>
    <row r="313" ht="15.75" customHeight="1" s="51"/>
    <row r="314" ht="15.75" customHeight="1" s="51"/>
    <row r="315" ht="15.75" customHeight="1" s="51"/>
    <row r="316" ht="15.75" customHeight="1" s="51"/>
    <row r="317" ht="15.75" customHeight="1" s="51"/>
    <row r="318" ht="15.75" customHeight="1" s="51"/>
    <row r="319" ht="15.75" customHeight="1" s="51"/>
    <row r="320" ht="15.75" customHeight="1" s="51"/>
    <row r="321" ht="15.75" customHeight="1" s="51"/>
    <row r="322" ht="15.75" customHeight="1" s="51"/>
    <row r="323" ht="15.75" customHeight="1" s="51"/>
    <row r="324" ht="15.75" customHeight="1" s="51"/>
    <row r="325" ht="15.75" customHeight="1" s="51"/>
    <row r="326" ht="15.75" customHeight="1" s="51"/>
    <row r="327" ht="15.75" customHeight="1" s="51"/>
    <row r="328" ht="15.75" customHeight="1" s="51"/>
    <row r="329" ht="15.75" customHeight="1" s="51"/>
    <row r="330" ht="15.75" customHeight="1" s="51"/>
    <row r="331" ht="15.75" customHeight="1" s="51"/>
    <row r="332" ht="15.75" customHeight="1" s="51"/>
    <row r="333" ht="15.75" customHeight="1" s="51"/>
    <row r="334" ht="15.75" customHeight="1" s="51"/>
    <row r="335" ht="15.75" customHeight="1" s="51"/>
    <row r="336" ht="15.75" customHeight="1" s="51"/>
    <row r="337" ht="15.75" customHeight="1" s="51"/>
    <row r="338" ht="15.75" customHeight="1" s="51"/>
    <row r="339" ht="15.75" customHeight="1" s="51"/>
    <row r="340" ht="15.75" customHeight="1" s="51"/>
    <row r="341" ht="15.75" customHeight="1" s="51"/>
    <row r="342" ht="15.75" customHeight="1" s="51"/>
    <row r="343" ht="15.75" customHeight="1" s="51"/>
    <row r="344" ht="15.75" customHeight="1" s="51"/>
    <row r="345" ht="15.75" customHeight="1" s="51"/>
    <row r="346" ht="15.75" customHeight="1" s="51"/>
    <row r="347" ht="15.75" customHeight="1" s="51"/>
    <row r="348" ht="15.75" customHeight="1" s="51"/>
    <row r="349" ht="15.75" customHeight="1" s="51"/>
    <row r="350" ht="15.75" customHeight="1" s="51"/>
    <row r="351" ht="15.75" customHeight="1" s="51"/>
    <row r="352" ht="15.75" customHeight="1" s="51"/>
    <row r="353" ht="15.75" customHeight="1" s="51"/>
    <row r="354" ht="15.75" customHeight="1" s="51"/>
    <row r="355" ht="15.75" customHeight="1" s="51"/>
    <row r="356" ht="15.75" customHeight="1" s="51"/>
    <row r="357" ht="15.75" customHeight="1" s="51"/>
    <row r="358" ht="15.75" customHeight="1" s="51"/>
    <row r="359" ht="15.75" customHeight="1" s="51"/>
    <row r="360" ht="15.75" customHeight="1" s="51"/>
    <row r="361" ht="15.75" customHeight="1" s="51"/>
    <row r="362" ht="15.75" customHeight="1" s="51"/>
    <row r="363" ht="15.75" customHeight="1" s="51"/>
    <row r="364" ht="15.75" customHeight="1" s="51"/>
    <row r="365" ht="15.75" customHeight="1" s="51"/>
    <row r="366" ht="15.75" customHeight="1" s="51"/>
    <row r="367" ht="15.75" customHeight="1" s="51"/>
    <row r="368" ht="15.75" customHeight="1" s="51"/>
    <row r="369" ht="15.75" customHeight="1" s="51"/>
    <row r="370" ht="15.75" customHeight="1" s="51"/>
    <row r="371" ht="15.75" customHeight="1" s="51"/>
    <row r="372" ht="15.75" customHeight="1" s="51"/>
    <row r="373" ht="15.75" customHeight="1" s="51"/>
    <row r="374" ht="15.75" customHeight="1" s="51"/>
    <row r="375" ht="15.75" customHeight="1" s="51"/>
    <row r="376" ht="15.75" customHeight="1" s="51"/>
    <row r="377" ht="15.75" customHeight="1" s="51"/>
    <row r="378" ht="15.75" customHeight="1" s="51"/>
    <row r="379" ht="15.75" customHeight="1" s="51"/>
    <row r="380" ht="15.75" customHeight="1" s="51"/>
    <row r="381" ht="15.75" customHeight="1" s="51"/>
    <row r="382" ht="15.75" customHeight="1" s="51"/>
    <row r="383" ht="15.75" customHeight="1" s="51"/>
    <row r="384" ht="15.75" customHeight="1" s="51"/>
    <row r="385" ht="15.75" customHeight="1" s="51"/>
    <row r="386" ht="15.75" customHeight="1" s="51"/>
    <row r="387" ht="15.75" customHeight="1" s="51"/>
    <row r="388" ht="15.75" customHeight="1" s="51"/>
    <row r="389" ht="15.75" customHeight="1" s="51"/>
    <row r="390" ht="15.75" customHeight="1" s="51"/>
    <row r="391" ht="15.75" customHeight="1" s="51"/>
    <row r="392" ht="15.75" customHeight="1" s="51"/>
    <row r="393" ht="15.75" customHeight="1" s="51"/>
    <row r="394" ht="15.75" customHeight="1" s="51"/>
    <row r="395" ht="15.75" customHeight="1" s="51"/>
    <row r="396" ht="15.75" customHeight="1" s="51"/>
    <row r="397" ht="15.75" customHeight="1" s="51"/>
    <row r="398" ht="15.75" customHeight="1" s="51"/>
    <row r="399" ht="15.75" customHeight="1" s="51"/>
    <row r="400" ht="15.75" customHeight="1" s="51"/>
    <row r="401" ht="15.75" customHeight="1" s="51"/>
    <row r="402" ht="15.75" customHeight="1" s="51"/>
    <row r="403" ht="15.75" customHeight="1" s="51"/>
    <row r="404" ht="15.75" customHeight="1" s="51"/>
    <row r="405" ht="15.75" customHeight="1" s="51"/>
    <row r="406" ht="15.75" customHeight="1" s="51"/>
    <row r="407" ht="15.75" customHeight="1" s="51"/>
    <row r="408" ht="15.75" customHeight="1" s="51"/>
    <row r="409" ht="15.75" customHeight="1" s="51"/>
    <row r="410" ht="15.75" customHeight="1" s="51"/>
    <row r="411" ht="15.75" customHeight="1" s="51"/>
    <row r="412" ht="15.75" customHeight="1" s="51"/>
    <row r="413" ht="15.75" customHeight="1" s="51"/>
    <row r="414" ht="15.75" customHeight="1" s="51"/>
    <row r="415" ht="15.75" customHeight="1" s="51"/>
    <row r="416" ht="15.75" customHeight="1" s="51"/>
    <row r="417" ht="15.75" customHeight="1" s="51"/>
    <row r="418" ht="15.75" customHeight="1" s="51"/>
    <row r="419" ht="15.75" customHeight="1" s="51"/>
    <row r="420" ht="15.75" customHeight="1" s="51"/>
    <row r="421" ht="15.75" customHeight="1" s="51"/>
    <row r="422" ht="15.75" customHeight="1" s="51"/>
    <row r="423" ht="15.75" customHeight="1" s="51"/>
    <row r="424" ht="15.75" customHeight="1" s="51"/>
    <row r="425" ht="15.75" customHeight="1" s="51"/>
    <row r="426" ht="15.75" customHeight="1" s="51"/>
    <row r="427" ht="15.75" customHeight="1" s="51"/>
    <row r="428" ht="15.75" customHeight="1" s="51"/>
    <row r="429" ht="15.75" customHeight="1" s="51"/>
    <row r="430" ht="15.75" customHeight="1" s="51"/>
    <row r="431" ht="15.75" customHeight="1" s="51"/>
    <row r="432" ht="15.75" customHeight="1" s="51"/>
    <row r="433" ht="15.75" customHeight="1" s="51"/>
    <row r="434" ht="15.75" customHeight="1" s="51"/>
    <row r="435" ht="15.75" customHeight="1" s="51"/>
    <row r="436" ht="15.75" customHeight="1" s="51"/>
    <row r="437" ht="15.75" customHeight="1" s="51"/>
    <row r="438" ht="15.75" customHeight="1" s="51"/>
    <row r="439" ht="15.75" customHeight="1" s="51"/>
    <row r="440" ht="15.75" customHeight="1" s="51"/>
    <row r="441" ht="15.75" customHeight="1" s="51"/>
    <row r="442" ht="15.75" customHeight="1" s="51"/>
    <row r="443" ht="15.75" customHeight="1" s="51"/>
    <row r="444" ht="15.75" customHeight="1" s="51"/>
    <row r="445" ht="15.75" customHeight="1" s="51"/>
    <row r="446" ht="15.75" customHeight="1" s="51"/>
    <row r="447" ht="15.75" customHeight="1" s="51"/>
    <row r="448" ht="15.75" customHeight="1" s="51"/>
    <row r="449" ht="15.75" customHeight="1" s="51"/>
    <row r="450" ht="15.75" customHeight="1" s="51"/>
    <row r="451" ht="15.75" customHeight="1" s="51"/>
    <row r="452" ht="15.75" customHeight="1" s="51"/>
    <row r="453" ht="15.75" customHeight="1" s="51"/>
    <row r="454" ht="15.75" customHeight="1" s="51"/>
    <row r="455" ht="15.75" customHeight="1" s="51"/>
    <row r="456" ht="15.75" customHeight="1" s="51"/>
    <row r="457" ht="15.75" customHeight="1" s="51"/>
    <row r="458" ht="15.75" customHeight="1" s="51"/>
    <row r="459" ht="15.75" customHeight="1" s="51"/>
    <row r="460" ht="15.75" customHeight="1" s="51"/>
    <row r="461" ht="15.75" customHeight="1" s="51"/>
    <row r="462" ht="15.75" customHeight="1" s="51"/>
    <row r="463" ht="15.75" customHeight="1" s="51"/>
    <row r="464" ht="15.75" customHeight="1" s="51"/>
    <row r="465" ht="15.75" customHeight="1" s="51"/>
    <row r="466" ht="15.75" customHeight="1" s="51"/>
    <row r="467" ht="15.75" customHeight="1" s="51"/>
    <row r="468" ht="15.75" customHeight="1" s="51"/>
    <row r="469" ht="15.75" customHeight="1" s="51"/>
    <row r="470" ht="15.75" customHeight="1" s="51"/>
    <row r="471" ht="15.75" customHeight="1" s="51"/>
    <row r="472" ht="15.75" customHeight="1" s="51"/>
    <row r="473" ht="15.75" customHeight="1" s="51"/>
    <row r="474" ht="15.75" customHeight="1" s="51"/>
    <row r="475" ht="15.75" customHeight="1" s="51"/>
    <row r="476" ht="15.75" customHeight="1" s="51"/>
    <row r="477" ht="15.75" customHeight="1" s="51"/>
    <row r="478" ht="15.75" customHeight="1" s="51"/>
    <row r="479" ht="15.75" customHeight="1" s="51"/>
    <row r="480" ht="15.75" customHeight="1" s="51"/>
    <row r="481" ht="15.75" customHeight="1" s="51"/>
    <row r="482" ht="15.75" customHeight="1" s="51"/>
    <row r="483" ht="15.75" customHeight="1" s="51"/>
    <row r="484" ht="15.75" customHeight="1" s="51"/>
    <row r="485" ht="15.75" customHeight="1" s="51"/>
    <row r="486" ht="15.75" customHeight="1" s="51"/>
    <row r="487" ht="15.75" customHeight="1" s="51"/>
    <row r="488" ht="15.75" customHeight="1" s="51"/>
    <row r="489" ht="15.75" customHeight="1" s="51"/>
    <row r="490" ht="15.75" customHeight="1" s="51"/>
    <row r="491" ht="15.75" customHeight="1" s="51"/>
    <row r="492" ht="15.75" customHeight="1" s="51"/>
    <row r="493" ht="15.75" customHeight="1" s="51"/>
    <row r="494" ht="15.75" customHeight="1" s="51"/>
    <row r="495" ht="15.75" customHeight="1" s="51"/>
    <row r="496" ht="15.75" customHeight="1" s="51"/>
    <row r="497" ht="15.75" customHeight="1" s="51"/>
    <row r="498" ht="15.75" customHeight="1" s="51"/>
    <row r="499" ht="15.75" customHeight="1" s="51"/>
    <row r="500" ht="15.75" customHeight="1" s="51"/>
    <row r="501" ht="15.75" customHeight="1" s="51"/>
    <row r="502" ht="15.75" customHeight="1" s="51"/>
    <row r="503" ht="15.75" customHeight="1" s="51"/>
    <row r="504" ht="15.75" customHeight="1" s="51"/>
    <row r="505" ht="15.75" customHeight="1" s="51"/>
    <row r="506" ht="15.75" customHeight="1" s="51"/>
    <row r="507" ht="15.75" customHeight="1" s="51"/>
    <row r="508" ht="15.75" customHeight="1" s="51"/>
    <row r="509" ht="15.75" customHeight="1" s="51"/>
    <row r="510" ht="15.75" customHeight="1" s="51"/>
    <row r="511" ht="15.75" customHeight="1" s="51"/>
    <row r="512" ht="15.75" customHeight="1" s="51"/>
    <row r="513" ht="15.75" customHeight="1" s="51"/>
    <row r="514" ht="15.75" customHeight="1" s="51"/>
    <row r="515" ht="15.75" customHeight="1" s="51"/>
    <row r="516" ht="15.75" customHeight="1" s="51"/>
    <row r="517" ht="15.75" customHeight="1" s="51"/>
    <row r="518" ht="15.75" customHeight="1" s="51"/>
    <row r="519" ht="15.75" customHeight="1" s="51"/>
    <row r="520" ht="15.75" customHeight="1" s="51"/>
    <row r="521" ht="15.75" customHeight="1" s="51"/>
    <row r="522" ht="15.75" customHeight="1" s="51"/>
    <row r="523" ht="15.75" customHeight="1" s="51"/>
    <row r="524" ht="15.75" customHeight="1" s="51"/>
    <row r="525" ht="15.75" customHeight="1" s="51"/>
    <row r="526" ht="15.75" customHeight="1" s="51"/>
    <row r="527" ht="15.75" customHeight="1" s="51"/>
    <row r="528" ht="15.75" customHeight="1" s="51"/>
    <row r="529" ht="15.75" customHeight="1" s="51"/>
    <row r="530" ht="15.75" customHeight="1" s="51"/>
    <row r="531" ht="15.75" customHeight="1" s="51"/>
    <row r="532" ht="15.75" customHeight="1" s="51"/>
    <row r="533" ht="15.75" customHeight="1" s="51"/>
    <row r="534" ht="15.75" customHeight="1" s="51"/>
    <row r="535" ht="15.75" customHeight="1" s="51"/>
    <row r="536" ht="15.75" customHeight="1" s="51"/>
    <row r="537" ht="15.75" customHeight="1" s="51"/>
    <row r="538" ht="15.75" customHeight="1" s="51"/>
    <row r="539" ht="15.75" customHeight="1" s="51"/>
    <row r="540" ht="15.75" customHeight="1" s="51"/>
    <row r="541" ht="15.75" customHeight="1" s="51"/>
    <row r="542" ht="15.75" customHeight="1" s="51"/>
    <row r="543" ht="15.75" customHeight="1" s="51"/>
    <row r="544" ht="15.75" customHeight="1" s="51"/>
    <row r="545" ht="15.75" customHeight="1" s="51"/>
    <row r="546" ht="15.75" customHeight="1" s="51"/>
    <row r="547" ht="15.75" customHeight="1" s="51"/>
    <row r="548" ht="15.75" customHeight="1" s="51"/>
    <row r="549" ht="15.75" customHeight="1" s="51"/>
    <row r="550" ht="15.75" customHeight="1" s="51"/>
    <row r="551" ht="15.75" customHeight="1" s="51"/>
    <row r="552" ht="15.75" customHeight="1" s="51"/>
    <row r="553" ht="15.75" customHeight="1" s="51"/>
    <row r="554" ht="15.75" customHeight="1" s="51"/>
    <row r="555" ht="15.75" customHeight="1" s="51"/>
    <row r="556" ht="15.75" customHeight="1" s="51"/>
    <row r="557" ht="15.75" customHeight="1" s="51"/>
    <row r="558" ht="15.75" customHeight="1" s="51"/>
    <row r="559" ht="15.75" customHeight="1" s="51"/>
    <row r="560" ht="15.75" customHeight="1" s="51"/>
    <row r="561" ht="15.75" customHeight="1" s="51"/>
    <row r="562" ht="15.75" customHeight="1" s="51"/>
    <row r="563" ht="15.75" customHeight="1" s="51"/>
    <row r="564" ht="15.75" customHeight="1" s="51"/>
    <row r="565" ht="15.75" customHeight="1" s="51"/>
    <row r="566" ht="15.75" customHeight="1" s="51"/>
    <row r="567" ht="15.75" customHeight="1" s="51"/>
    <row r="568" ht="15.75" customHeight="1" s="51"/>
    <row r="569" ht="15.75" customHeight="1" s="51"/>
    <row r="570" ht="15.75" customHeight="1" s="51"/>
    <row r="571" ht="15.75" customHeight="1" s="51"/>
    <row r="572" ht="15.75" customHeight="1" s="51"/>
    <row r="573" ht="15.75" customHeight="1" s="51"/>
    <row r="574" ht="15.75" customHeight="1" s="51"/>
    <row r="575" ht="15.75" customHeight="1" s="51"/>
    <row r="576" ht="15.75" customHeight="1" s="51"/>
    <row r="577" ht="15.75" customHeight="1" s="51"/>
    <row r="578" ht="15.75" customHeight="1" s="51"/>
    <row r="579" ht="15.75" customHeight="1" s="51"/>
    <row r="580" ht="15.75" customHeight="1" s="51"/>
    <row r="581" ht="15.75" customHeight="1" s="51"/>
    <row r="582" ht="15.75" customHeight="1" s="51"/>
    <row r="583" ht="15.75" customHeight="1" s="51"/>
    <row r="584" ht="15.75" customHeight="1" s="51"/>
    <row r="585" ht="15.75" customHeight="1" s="51"/>
    <row r="586" ht="15.75" customHeight="1" s="51"/>
    <row r="587" ht="15.75" customHeight="1" s="51"/>
    <row r="588" ht="15.75" customHeight="1" s="51"/>
    <row r="589" ht="15.75" customHeight="1" s="51"/>
    <row r="590" ht="15.75" customHeight="1" s="51"/>
    <row r="591" ht="15.75" customHeight="1" s="51"/>
    <row r="592" ht="15.75" customHeight="1" s="51"/>
    <row r="593" ht="15.75" customHeight="1" s="51"/>
    <row r="594" ht="15.75" customHeight="1" s="51"/>
    <row r="595" ht="15.75" customHeight="1" s="51"/>
    <row r="596" ht="15.75" customHeight="1" s="51"/>
    <row r="597" ht="15.75" customHeight="1" s="51"/>
    <row r="598" ht="15.75" customHeight="1" s="51"/>
    <row r="599" ht="15.75" customHeight="1" s="51"/>
    <row r="600" ht="15.75" customHeight="1" s="51"/>
    <row r="601" ht="15.75" customHeight="1" s="51"/>
    <row r="602" ht="15.75" customHeight="1" s="51"/>
    <row r="603" ht="15.75" customHeight="1" s="51"/>
    <row r="604" ht="15.75" customHeight="1" s="51"/>
    <row r="605" ht="15.75" customHeight="1" s="51"/>
    <row r="606" ht="15.75" customHeight="1" s="51"/>
    <row r="607" ht="15.75" customHeight="1" s="51"/>
    <row r="608" ht="15.75" customHeight="1" s="51"/>
    <row r="609" ht="15.75" customHeight="1" s="51"/>
    <row r="610" ht="15.75" customHeight="1" s="51"/>
    <row r="611" ht="15.75" customHeight="1" s="51"/>
    <row r="612" ht="15.75" customHeight="1" s="51"/>
    <row r="613" ht="15.75" customHeight="1" s="51"/>
    <row r="614" ht="15.75" customHeight="1" s="51"/>
    <row r="615" ht="15.75" customHeight="1" s="51"/>
    <row r="616" ht="15.75" customHeight="1" s="51"/>
    <row r="617" ht="15.75" customHeight="1" s="51"/>
    <row r="618" ht="15.75" customHeight="1" s="51"/>
    <row r="619" ht="15.75" customHeight="1" s="51"/>
    <row r="620" ht="15.75" customHeight="1" s="51"/>
    <row r="621" ht="15.75" customHeight="1" s="51"/>
    <row r="622" ht="15.75" customHeight="1" s="51"/>
    <row r="623" ht="15.75" customHeight="1" s="51"/>
    <row r="624" ht="15.75" customHeight="1" s="51"/>
    <row r="625" ht="15.75" customHeight="1" s="51"/>
    <row r="626" ht="15.75" customHeight="1" s="51"/>
    <row r="627" ht="15.75" customHeight="1" s="51"/>
    <row r="628" ht="15.75" customHeight="1" s="51"/>
    <row r="629" ht="15.75" customHeight="1" s="51"/>
    <row r="630" ht="15.75" customHeight="1" s="51"/>
    <row r="631" ht="15.75" customHeight="1" s="51"/>
    <row r="632" ht="15.75" customHeight="1" s="51"/>
    <row r="633" ht="15.75" customHeight="1" s="51"/>
    <row r="634" ht="15.75" customHeight="1" s="51"/>
    <row r="635" ht="15.75" customHeight="1" s="51"/>
    <row r="636" ht="15.75" customHeight="1" s="51"/>
    <row r="637" ht="15.75" customHeight="1" s="51"/>
    <row r="638" ht="15.75" customHeight="1" s="51"/>
    <row r="639" ht="15.75" customHeight="1" s="51"/>
    <row r="640" ht="15.75" customHeight="1" s="51"/>
    <row r="641" ht="15.75" customHeight="1" s="51"/>
    <row r="642" ht="15.75" customHeight="1" s="51"/>
    <row r="643" ht="15.75" customHeight="1" s="51"/>
    <row r="644" ht="15.75" customHeight="1" s="51"/>
    <row r="645" ht="15.75" customHeight="1" s="51"/>
    <row r="646" ht="15.75" customHeight="1" s="51"/>
    <row r="647" ht="15.75" customHeight="1" s="51"/>
    <row r="648" ht="15.75" customHeight="1" s="51"/>
    <row r="649" ht="15.75" customHeight="1" s="51"/>
    <row r="650" ht="15.75" customHeight="1" s="51"/>
    <row r="651" ht="15.75" customHeight="1" s="51"/>
    <row r="652" ht="15.75" customHeight="1" s="51"/>
    <row r="653" ht="15.75" customHeight="1" s="51"/>
    <row r="654" ht="15.75" customHeight="1" s="51"/>
    <row r="655" ht="15.75" customHeight="1" s="51"/>
    <row r="656" ht="15.75" customHeight="1" s="51"/>
    <row r="657" ht="15.75" customHeight="1" s="51"/>
    <row r="658" ht="15.75" customHeight="1" s="51"/>
    <row r="659" ht="15.75" customHeight="1" s="51"/>
    <row r="660" ht="15.75" customHeight="1" s="51"/>
    <row r="661" ht="15.75" customHeight="1" s="51"/>
    <row r="662" ht="15.75" customHeight="1" s="51"/>
    <row r="663" ht="15.75" customHeight="1" s="51"/>
    <row r="664" ht="15.75" customHeight="1" s="51"/>
    <row r="665" ht="15.75" customHeight="1" s="51"/>
    <row r="666" ht="15.75" customHeight="1" s="51"/>
    <row r="667" ht="15.75" customHeight="1" s="51"/>
    <row r="668" ht="15.75" customHeight="1" s="51"/>
    <row r="669" ht="15.75" customHeight="1" s="51"/>
    <row r="670" ht="15.75" customHeight="1" s="51"/>
    <row r="671" ht="15.75" customHeight="1" s="51"/>
    <row r="672" ht="15.75" customHeight="1" s="51"/>
    <row r="673" ht="15.75" customHeight="1" s="51"/>
    <row r="674" ht="15.75" customHeight="1" s="51"/>
    <row r="675" ht="15.75" customHeight="1" s="51"/>
    <row r="676" ht="15.75" customHeight="1" s="51"/>
    <row r="677" ht="15.75" customHeight="1" s="51"/>
    <row r="678" ht="15.75" customHeight="1" s="51"/>
    <row r="679" ht="15.75" customHeight="1" s="51"/>
    <row r="680" ht="15.75" customHeight="1" s="51"/>
    <row r="681" ht="15.75" customHeight="1" s="51"/>
    <row r="682" ht="15.75" customHeight="1" s="51"/>
    <row r="683" ht="15.75" customHeight="1" s="51"/>
    <row r="684" ht="15.75" customHeight="1" s="51"/>
    <row r="685" ht="15.75" customHeight="1" s="51"/>
    <row r="686" ht="15.75" customHeight="1" s="51"/>
    <row r="687" ht="15.75" customHeight="1" s="51"/>
    <row r="688" ht="15.75" customHeight="1" s="51"/>
    <row r="689" ht="15.75" customHeight="1" s="51"/>
    <row r="690" ht="15.75" customHeight="1" s="51"/>
    <row r="691" ht="15.75" customHeight="1" s="51"/>
    <row r="692" ht="15.75" customHeight="1" s="51"/>
    <row r="693" ht="15.75" customHeight="1" s="51"/>
    <row r="694" ht="15.75" customHeight="1" s="51"/>
    <row r="695" ht="15.75" customHeight="1" s="51"/>
    <row r="696" ht="15.75" customHeight="1" s="51"/>
    <row r="697" ht="15.75" customHeight="1" s="51"/>
    <row r="698" ht="15.75" customHeight="1" s="51"/>
    <row r="699" ht="15.75" customHeight="1" s="51"/>
    <row r="700" ht="15.75" customHeight="1" s="51"/>
    <row r="701" ht="15.75" customHeight="1" s="51"/>
    <row r="702" ht="15.75" customHeight="1" s="51"/>
    <row r="703" ht="15.75" customHeight="1" s="51"/>
    <row r="704" ht="15.75" customHeight="1" s="51"/>
    <row r="705" ht="15.75" customHeight="1" s="51"/>
    <row r="706" ht="15.75" customHeight="1" s="51"/>
    <row r="707" ht="15.75" customHeight="1" s="51"/>
    <row r="708" ht="15.75" customHeight="1" s="51"/>
    <row r="709" ht="15.75" customHeight="1" s="51"/>
    <row r="710" ht="15.75" customHeight="1" s="51"/>
    <row r="711" ht="15.75" customHeight="1" s="51"/>
    <row r="712" ht="15.75" customHeight="1" s="51"/>
    <row r="713" ht="15.75" customHeight="1" s="51"/>
    <row r="714" ht="15.75" customHeight="1" s="51"/>
    <row r="715" ht="15.75" customHeight="1" s="51"/>
    <row r="716" ht="15.75" customHeight="1" s="51"/>
    <row r="717" ht="15.75" customHeight="1" s="51"/>
    <row r="718" ht="15.75" customHeight="1" s="51"/>
    <row r="719" ht="15.75" customHeight="1" s="51"/>
    <row r="720" ht="15.75" customHeight="1" s="51"/>
    <row r="721" ht="15.75" customHeight="1" s="51"/>
    <row r="722" ht="15.75" customHeight="1" s="51"/>
    <row r="723" ht="15.75" customHeight="1" s="51"/>
    <row r="724" ht="15.75" customHeight="1" s="51"/>
    <row r="725" ht="15.75" customHeight="1" s="51"/>
    <row r="726" ht="15.75" customHeight="1" s="51"/>
    <row r="727" ht="15.75" customHeight="1" s="51"/>
    <row r="728" ht="15.75" customHeight="1" s="51"/>
    <row r="729" ht="15.75" customHeight="1" s="51"/>
    <row r="730" ht="15.75" customHeight="1" s="51"/>
    <row r="731" ht="15.75" customHeight="1" s="51"/>
    <row r="732" ht="15.75" customHeight="1" s="51"/>
    <row r="733" ht="15.75" customHeight="1" s="51"/>
    <row r="734" ht="15.75" customHeight="1" s="51"/>
    <row r="735" ht="15.75" customHeight="1" s="51"/>
    <row r="736" ht="15.75" customHeight="1" s="51"/>
    <row r="737" ht="15.75" customHeight="1" s="51"/>
    <row r="738" ht="15.75" customHeight="1" s="51"/>
    <row r="739" ht="15.75" customHeight="1" s="51"/>
    <row r="740" ht="15.75" customHeight="1" s="51"/>
    <row r="741" ht="15.75" customHeight="1" s="51"/>
    <row r="742" ht="15.75" customHeight="1" s="51"/>
    <row r="743" ht="15.75" customHeight="1" s="51"/>
    <row r="744" ht="15.75" customHeight="1" s="51"/>
    <row r="745" ht="15.75" customHeight="1" s="51"/>
    <row r="746" ht="15.75" customHeight="1" s="51"/>
    <row r="747" ht="15.75" customHeight="1" s="51"/>
    <row r="748" ht="15.75" customHeight="1" s="51"/>
    <row r="749" ht="15.75" customHeight="1" s="51"/>
    <row r="750" ht="15.75" customHeight="1" s="51"/>
    <row r="751" ht="15.75" customHeight="1" s="51"/>
    <row r="752" ht="15.75" customHeight="1" s="51"/>
    <row r="753" ht="15.75" customHeight="1" s="51"/>
    <row r="754" ht="15.75" customHeight="1" s="51"/>
    <row r="755" ht="15.75" customHeight="1" s="51"/>
    <row r="756" ht="15.75" customHeight="1" s="51"/>
    <row r="757" ht="15.75" customHeight="1" s="51"/>
    <row r="758" ht="15.75" customHeight="1" s="51"/>
    <row r="759" ht="15.75" customHeight="1" s="51"/>
    <row r="760" ht="15.75" customHeight="1" s="51"/>
    <row r="761" ht="15.75" customHeight="1" s="51"/>
    <row r="762" ht="15.75" customHeight="1" s="51"/>
    <row r="763" ht="15.75" customHeight="1" s="51"/>
    <row r="764" ht="15.75" customHeight="1" s="51"/>
    <row r="765" ht="15.75" customHeight="1" s="51"/>
    <row r="766" ht="15.75" customHeight="1" s="51"/>
    <row r="767" ht="15.75" customHeight="1" s="51"/>
    <row r="768" ht="15.75" customHeight="1" s="51"/>
    <row r="769" ht="15.75" customHeight="1" s="51"/>
    <row r="770" ht="15.75" customHeight="1" s="51"/>
    <row r="771" ht="15.75" customHeight="1" s="51"/>
    <row r="772" ht="15.75" customHeight="1" s="51"/>
    <row r="773" ht="15.75" customHeight="1" s="51"/>
    <row r="774" ht="15.75" customHeight="1" s="51"/>
    <row r="775" ht="15.75" customHeight="1" s="51"/>
    <row r="776" ht="15.75" customHeight="1" s="51"/>
    <row r="777" ht="15.75" customHeight="1" s="51"/>
    <row r="778" ht="15.75" customHeight="1" s="51"/>
    <row r="779" ht="15.75" customHeight="1" s="51"/>
    <row r="780" ht="15.75" customHeight="1" s="51"/>
    <row r="781" ht="15.75" customHeight="1" s="51"/>
    <row r="782" ht="15.75" customHeight="1" s="51"/>
    <row r="783" ht="15.75" customHeight="1" s="51"/>
    <row r="784" ht="15.75" customHeight="1" s="51"/>
    <row r="785" ht="15.75" customHeight="1" s="51"/>
    <row r="786" ht="15.75" customHeight="1" s="51"/>
    <row r="787" ht="15.75" customHeight="1" s="51"/>
    <row r="788" ht="15.75" customHeight="1" s="51"/>
    <row r="789" ht="15.75" customHeight="1" s="51"/>
    <row r="790" ht="15.75" customHeight="1" s="51"/>
    <row r="791" ht="15.75" customHeight="1" s="51"/>
    <row r="792" ht="15.75" customHeight="1" s="51"/>
    <row r="793" ht="15.75" customHeight="1" s="51"/>
    <row r="794" ht="15.75" customHeight="1" s="51"/>
    <row r="795" ht="15.75" customHeight="1" s="51"/>
    <row r="796" ht="15.75" customHeight="1" s="51"/>
    <row r="797" ht="15.75" customHeight="1" s="51"/>
    <row r="798" ht="15.75" customHeight="1" s="51"/>
    <row r="799" ht="15.75" customHeight="1" s="51"/>
    <row r="800" ht="15.75" customHeight="1" s="51"/>
    <row r="801" ht="15.75" customHeight="1" s="51"/>
    <row r="802" ht="15.75" customHeight="1" s="51"/>
    <row r="803" ht="15.75" customHeight="1" s="51"/>
    <row r="804" ht="15.75" customHeight="1" s="51"/>
    <row r="805" ht="15.75" customHeight="1" s="51"/>
    <row r="806" ht="15.75" customHeight="1" s="51"/>
    <row r="807" ht="15.75" customHeight="1" s="51"/>
    <row r="808" ht="15.75" customHeight="1" s="51"/>
    <row r="809" ht="15.75" customHeight="1" s="51"/>
    <row r="810" ht="15.75" customHeight="1" s="51"/>
    <row r="811" ht="15.75" customHeight="1" s="51"/>
    <row r="812" ht="15.75" customHeight="1" s="51"/>
    <row r="813" ht="15.75" customHeight="1" s="51"/>
    <row r="814" ht="15.75" customHeight="1" s="51"/>
    <row r="815" ht="15.75" customHeight="1" s="51"/>
    <row r="816" ht="15.75" customHeight="1" s="51"/>
    <row r="817" ht="15.75" customHeight="1" s="51"/>
    <row r="818" ht="15.75" customHeight="1" s="51"/>
    <row r="819" ht="15.75" customHeight="1" s="51"/>
    <row r="820" ht="15.75" customHeight="1" s="51"/>
    <row r="821" ht="15.75" customHeight="1" s="51"/>
    <row r="822" ht="15.75" customHeight="1" s="51"/>
    <row r="823" ht="15.75" customHeight="1" s="51"/>
    <row r="824" ht="15.75" customHeight="1" s="51"/>
    <row r="825" ht="15.75" customHeight="1" s="51"/>
    <row r="826" ht="15.75" customHeight="1" s="51"/>
    <row r="827" ht="15.75" customHeight="1" s="51"/>
    <row r="828" ht="15.75" customHeight="1" s="51"/>
    <row r="829" ht="15.75" customHeight="1" s="51"/>
    <row r="830" ht="15.75" customHeight="1" s="51"/>
    <row r="831" ht="15.75" customHeight="1" s="51"/>
    <row r="832" ht="15.75" customHeight="1" s="51"/>
    <row r="833" ht="15.75" customHeight="1" s="51"/>
    <row r="834" ht="15.75" customHeight="1" s="51"/>
    <row r="835" ht="15.75" customHeight="1" s="51"/>
    <row r="836" ht="15.75" customHeight="1" s="51"/>
    <row r="837" ht="15.75" customHeight="1" s="51"/>
    <row r="838" ht="15.75" customHeight="1" s="51"/>
    <row r="839" ht="15.75" customHeight="1" s="51"/>
    <row r="840" ht="15.75" customHeight="1" s="51"/>
    <row r="841" ht="15.75" customHeight="1" s="51"/>
    <row r="842" ht="15.75" customHeight="1" s="51"/>
    <row r="843" ht="15.75" customHeight="1" s="51"/>
    <row r="844" ht="15.75" customHeight="1" s="51"/>
    <row r="845" ht="15.75" customHeight="1" s="51"/>
    <row r="846" ht="15.75" customHeight="1" s="51"/>
    <row r="847" ht="15.75" customHeight="1" s="51"/>
    <row r="848" ht="15.75" customHeight="1" s="51"/>
    <row r="849" ht="15.75" customHeight="1" s="51"/>
    <row r="850" ht="15.75" customHeight="1" s="51"/>
    <row r="851" ht="15.75" customHeight="1" s="51"/>
    <row r="852" ht="15.75" customHeight="1" s="51"/>
    <row r="853" ht="15.75" customHeight="1" s="51"/>
    <row r="854" ht="15.75" customHeight="1" s="51"/>
    <row r="855" ht="15.75" customHeight="1" s="51"/>
    <row r="856" ht="15.75" customHeight="1" s="51"/>
    <row r="857" ht="15.75" customHeight="1" s="51"/>
    <row r="858" ht="15.75" customHeight="1" s="51"/>
    <row r="859" ht="15.75" customHeight="1" s="51"/>
    <row r="860" ht="15.75" customHeight="1" s="51"/>
    <row r="861" ht="15.75" customHeight="1" s="51"/>
    <row r="862" ht="15.75" customHeight="1" s="51"/>
    <row r="863" ht="15.75" customHeight="1" s="51"/>
    <row r="864" ht="15.75" customHeight="1" s="51"/>
    <row r="865" ht="15.75" customHeight="1" s="51"/>
    <row r="866" ht="15.75" customHeight="1" s="51"/>
    <row r="867" ht="15.75" customHeight="1" s="51"/>
    <row r="868" ht="15.75" customHeight="1" s="51"/>
    <row r="869" ht="15.75" customHeight="1" s="51"/>
    <row r="870" ht="15.75" customHeight="1" s="51"/>
    <row r="871" ht="15.75" customHeight="1" s="51"/>
    <row r="872" ht="15.75" customHeight="1" s="51"/>
    <row r="873" ht="15.75" customHeight="1" s="51"/>
    <row r="874" ht="15.75" customHeight="1" s="51"/>
    <row r="875" ht="15.75" customHeight="1" s="51"/>
    <row r="876" ht="15.75" customHeight="1" s="51"/>
    <row r="877" ht="15.75" customHeight="1" s="51"/>
    <row r="878" ht="15.75" customHeight="1" s="51"/>
    <row r="879" ht="15.75" customHeight="1" s="51"/>
    <row r="880" ht="15.75" customHeight="1" s="51"/>
    <row r="881" ht="15.75" customHeight="1" s="51"/>
    <row r="882" ht="15.75" customHeight="1" s="51"/>
    <row r="883" ht="15.75" customHeight="1" s="51"/>
    <row r="884" ht="15.75" customHeight="1" s="51"/>
    <row r="885" ht="15.75" customHeight="1" s="51"/>
    <row r="886" ht="15.75" customHeight="1" s="51"/>
    <row r="887" ht="15.75" customHeight="1" s="51"/>
    <row r="888" ht="15.75" customHeight="1" s="51"/>
    <row r="889" ht="15.75" customHeight="1" s="51"/>
    <row r="890" ht="15.75" customHeight="1" s="51"/>
    <row r="891" ht="15.75" customHeight="1" s="51"/>
    <row r="892" ht="15.75" customHeight="1" s="51"/>
    <row r="893" ht="15.75" customHeight="1" s="51"/>
    <row r="894" ht="15.75" customHeight="1" s="51"/>
    <row r="895" ht="15.75" customHeight="1" s="51"/>
    <row r="896" ht="15.75" customHeight="1" s="51"/>
    <row r="897" ht="15.75" customHeight="1" s="51"/>
    <row r="898" ht="15.75" customHeight="1" s="51"/>
    <row r="899" ht="15.75" customHeight="1" s="51"/>
    <row r="900" ht="15.75" customHeight="1" s="51"/>
    <row r="901" ht="15.75" customHeight="1" s="51"/>
    <row r="902" ht="15.75" customHeight="1" s="51"/>
    <row r="903" ht="15.75" customHeight="1" s="51"/>
    <row r="904" ht="15.75" customHeight="1" s="51"/>
    <row r="905" ht="15.75" customHeight="1" s="51"/>
    <row r="906" ht="15.75" customHeight="1" s="51"/>
    <row r="907" ht="15.75" customHeight="1" s="51"/>
    <row r="908" ht="15.75" customHeight="1" s="51"/>
    <row r="909" ht="15.75" customHeight="1" s="51"/>
    <row r="910" ht="15.75" customHeight="1" s="51"/>
    <row r="911" ht="15.75" customHeight="1" s="51"/>
    <row r="912" ht="15.75" customHeight="1" s="51"/>
    <row r="913" ht="15.75" customHeight="1" s="51"/>
    <row r="914" ht="15.75" customHeight="1" s="51"/>
    <row r="915" ht="15.75" customHeight="1" s="51"/>
    <row r="916" ht="15.75" customHeight="1" s="51"/>
    <row r="917" ht="15.75" customHeight="1" s="51"/>
    <row r="918" ht="15.75" customHeight="1" s="51"/>
    <row r="919" ht="15.75" customHeight="1" s="51"/>
    <row r="920" ht="15.75" customHeight="1" s="51"/>
    <row r="921" ht="15.75" customHeight="1" s="51"/>
    <row r="922" ht="15.75" customHeight="1" s="51"/>
    <row r="923" ht="15.75" customHeight="1" s="51"/>
    <row r="924" ht="15.75" customHeight="1" s="51"/>
    <row r="925" ht="15.75" customHeight="1" s="51"/>
    <row r="926" ht="15.75" customHeight="1" s="51"/>
    <row r="927" ht="15.75" customHeight="1" s="51"/>
    <row r="928" ht="15.75" customHeight="1" s="51"/>
    <row r="929" ht="15.75" customHeight="1" s="51"/>
    <row r="930" ht="15.75" customHeight="1" s="51"/>
    <row r="931" ht="15.75" customHeight="1" s="51"/>
    <row r="932" ht="15.75" customHeight="1" s="51"/>
    <row r="933" ht="15.75" customHeight="1" s="51"/>
    <row r="934" ht="15.75" customHeight="1" s="51"/>
    <row r="935" ht="15.75" customHeight="1" s="51"/>
    <row r="936" ht="15.75" customHeight="1" s="51"/>
    <row r="937" ht="15.75" customHeight="1" s="51"/>
    <row r="938" ht="15.75" customHeight="1" s="51"/>
    <row r="939" ht="15.75" customHeight="1" s="51"/>
    <row r="940" ht="15.75" customHeight="1" s="51"/>
    <row r="941" ht="15.75" customHeight="1" s="51"/>
    <row r="942" ht="15.75" customHeight="1" s="51"/>
    <row r="943" ht="15.75" customHeight="1" s="51"/>
    <row r="944" ht="15.75" customHeight="1" s="51"/>
    <row r="945" ht="15.75" customHeight="1" s="51"/>
    <row r="946" ht="15.75" customHeight="1" s="51"/>
    <row r="947" ht="15.75" customHeight="1" s="51"/>
    <row r="948" ht="15.75" customHeight="1" s="51"/>
    <row r="949" ht="15.75" customHeight="1" s="51"/>
    <row r="950" ht="15.75" customHeight="1" s="51"/>
    <row r="951" ht="15.75" customHeight="1" s="51"/>
    <row r="952" ht="15.75" customHeight="1" s="51"/>
    <row r="953" ht="15.75" customHeight="1" s="51"/>
    <row r="954" ht="15.75" customHeight="1" s="51"/>
    <row r="955" ht="15.75" customHeight="1" s="51"/>
    <row r="956" ht="15.75" customHeight="1" s="51"/>
    <row r="957" ht="15.75" customHeight="1" s="51"/>
    <row r="958" ht="15.75" customHeight="1" s="51"/>
    <row r="959" ht="15.75" customHeight="1" s="51"/>
    <row r="960" ht="15.75" customHeight="1" s="51"/>
    <row r="961" ht="15.75" customHeight="1" s="51"/>
    <row r="962" ht="15.75" customHeight="1" s="51"/>
    <row r="963" ht="15.75" customHeight="1" s="51"/>
    <row r="964" ht="15.75" customHeight="1" s="51"/>
    <row r="965" ht="15.75" customHeight="1" s="51"/>
    <row r="966" ht="15.75" customHeight="1" s="51"/>
    <row r="967" ht="15.75" customHeight="1" s="51"/>
    <row r="968" ht="15.75" customHeight="1" s="51"/>
    <row r="969" ht="15.75" customHeight="1" s="51"/>
    <row r="970" ht="15.75" customHeight="1" s="51"/>
    <row r="971" ht="15.75" customHeight="1" s="51"/>
    <row r="972" ht="15.75" customHeight="1" s="51"/>
    <row r="973" ht="15.75" customHeight="1" s="51"/>
    <row r="974" ht="15.75" customHeight="1" s="51"/>
    <row r="975" ht="15.75" customHeight="1" s="51"/>
    <row r="976" ht="15.75" customHeight="1" s="51"/>
    <row r="977" ht="15.75" customHeight="1" s="51"/>
    <row r="978" ht="15.75" customHeight="1" s="51"/>
    <row r="979" ht="15.75" customHeight="1" s="51"/>
    <row r="980" ht="15.75" customHeight="1" s="51"/>
    <row r="981" ht="15.75" customHeight="1" s="51"/>
    <row r="982" ht="15.75" customHeight="1" s="51"/>
    <row r="983" ht="15.75" customHeight="1" s="51"/>
    <row r="984" ht="15.75" customHeight="1" s="51"/>
    <row r="985" ht="15.75" customHeight="1" s="51"/>
    <row r="986" ht="15.75" customHeight="1" s="51"/>
    <row r="987" ht="15.75" customHeight="1" s="51"/>
    <row r="988" ht="15.75" customHeight="1" s="51"/>
    <row r="989" ht="15.75" customHeight="1" s="51"/>
    <row r="990" ht="15.75" customHeight="1" s="51"/>
    <row r="991" ht="15.75" customHeight="1" s="51"/>
    <row r="992" ht="15.75" customHeight="1" s="51"/>
    <row r="993" ht="15.75" customHeight="1" s="51"/>
    <row r="994" ht="15.75" customHeight="1" s="51"/>
    <row r="995" ht="15.75" customHeight="1" s="51"/>
    <row r="996" ht="15.75" customHeight="1" s="51"/>
    <row r="997" ht="15.75" customHeight="1" s="51"/>
    <row r="998" ht="15.75" customHeight="1" s="51"/>
    <row r="999" ht="15.75" customHeight="1" s="51"/>
    <row r="1000" ht="15.75" customHeight="1" s="51"/>
  </sheetData>
  <mergeCells count="5">
    <mergeCell ref="A5:M5"/>
    <mergeCell ref="A2:N2"/>
    <mergeCell ref="A18:M18"/>
    <mergeCell ref="A21:M21"/>
    <mergeCell ref="A1:N1"/>
  </mergeCell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I50"/>
  <sheetViews>
    <sheetView workbookViewId="0">
      <pane ySplit="5" topLeftCell="A6" activePane="bottomLeft" state="frozen"/>
      <selection pane="bottomLeft" activeCell="B7" sqref="B7"/>
    </sheetView>
  </sheetViews>
  <sheetFormatPr baseColWidth="8" defaultColWidth="14.43" defaultRowHeight="15" customHeight="1"/>
  <cols>
    <col width="30" customWidth="1" style="51" min="1" max="1"/>
    <col width="13" customWidth="1" style="51" min="2" max="2"/>
    <col width="12" customWidth="1" style="51" min="3" max="3"/>
    <col width="13" customWidth="1" style="51" min="4" max="4"/>
    <col width="14" customWidth="1" style="51" min="5" max="6"/>
    <col width="10" customWidth="1" style="51" min="7" max="7"/>
    <col width="15" customWidth="1" style="51" min="8" max="8"/>
    <col width="9" customWidth="1" style="51" min="9" max="9"/>
    <col width="8.710000000000001" customWidth="1" style="51" min="10" max="26"/>
  </cols>
  <sheetData>
    <row r="1" ht="25.5" customHeight="1" s="51">
      <c r="A1" s="52" t="inlineStr">
        <is>
          <t>ASSESSMENTS &amp; VALUATION</t>
        </is>
      </c>
    </row>
    <row r="2" ht="13.5" customHeight="1" s="51">
      <c r="A2" s="53" t="inlineStr">
        <is>
          <t>Assessed/county values and income-approach proformas across the tax-appeal &amp; appraisal documents</t>
        </is>
      </c>
    </row>
    <row r="4">
      <c r="A4" s="61" t="inlineStr">
        <is>
          <t>A. Assessed / County Values</t>
        </is>
      </c>
      <c r="B4" s="59" t="n"/>
      <c r="C4" s="59" t="n"/>
      <c r="D4" s="59" t="n"/>
      <c r="E4" s="59" t="n"/>
      <c r="F4" s="59" t="n"/>
      <c r="G4" s="59" t="n"/>
      <c r="H4" s="60" t="n"/>
    </row>
    <row r="5" ht="30" customHeight="1" s="51">
      <c r="A5" s="6" t="inlineStr">
        <is>
          <t>Property</t>
        </is>
      </c>
      <c r="B5" s="6" t="inlineStr">
        <is>
          <t>Assess/Tax Yr</t>
        </is>
      </c>
      <c r="C5" s="6" t="inlineStr">
        <is>
          <t>Assessor / County Value</t>
        </is>
      </c>
      <c r="D5" s="6" t="inlineStr">
        <is>
          <t>Value PSF</t>
        </is>
      </c>
      <c r="E5" s="6" t="inlineStr">
        <is>
          <t>Taxpayer / Petitioner Opinion</t>
        </is>
      </c>
      <c r="F5" s="6" t="inlineStr">
        <is>
          <t>Opinion PSF</t>
        </is>
      </c>
      <c r="G5" s="6" t="inlineStr">
        <is>
          <t>Prior-Yr Value</t>
        </is>
      </c>
      <c r="H5" s="6" t="inlineStr">
        <is>
          <t>Source</t>
        </is>
      </c>
      <c r="I5" s="9" t="inlineStr">
        <is>
          <t>Batch</t>
        </is>
      </c>
    </row>
    <row r="6">
      <c r="A6" s="12" t="inlineStr">
        <is>
          <t>7205 Gilpin Way (R0178308)</t>
        </is>
      </c>
      <c r="B6" s="11" t="inlineStr">
        <is>
          <t>2025</t>
        </is>
      </c>
      <c r="C6" s="14" t="n">
        <v>5150325</v>
      </c>
      <c r="D6" s="15" t="n">
        <v>150.47</v>
      </c>
      <c r="E6" s="14" t="n">
        <v>4832500</v>
      </c>
      <c r="F6" s="15" t="n">
        <v>141.19</v>
      </c>
      <c r="G6" s="14" t="n">
        <v>4999770</v>
      </c>
      <c r="H6" s="12" t="inlineStr">
        <is>
          <t>R0178308</t>
        </is>
      </c>
    </row>
    <row r="7">
      <c r="A7" s="12" t="inlineStr">
        <is>
          <t>17608 E. 24th Dr (R0169133)</t>
        </is>
      </c>
      <c r="B7" s="11" t="inlineStr">
        <is>
          <t>2025</t>
        </is>
      </c>
      <c r="C7" s="14" t="n">
        <v>3408546</v>
      </c>
      <c r="D7" s="15" t="n"/>
      <c r="E7" s="14" t="n">
        <v>3050000</v>
      </c>
      <c r="F7" s="15" t="n">
        <v>145.86</v>
      </c>
      <c r="G7" s="14" t="n">
        <v>2900000</v>
      </c>
      <c r="H7" s="12" t="inlineStr">
        <is>
          <t>R0169133 (cover)</t>
        </is>
      </c>
    </row>
    <row r="8">
      <c r="A8" s="12" t="inlineStr">
        <is>
          <t>12260 Pennsylvania St (R0024442)</t>
        </is>
      </c>
      <c r="B8" s="11" t="inlineStr">
        <is>
          <t>2025</t>
        </is>
      </c>
      <c r="C8" s="14" t="n">
        <v>3876387</v>
      </c>
      <c r="D8" s="15" t="n">
        <v>163.36</v>
      </c>
      <c r="E8" s="14" t="n">
        <v>2837000</v>
      </c>
      <c r="F8" s="15" t="n">
        <v>119.56</v>
      </c>
      <c r="G8" s="14" t="n">
        <v>2000000</v>
      </c>
      <c r="H8" s="12" t="inlineStr">
        <is>
          <t>R0024442</t>
        </is>
      </c>
    </row>
    <row r="9">
      <c r="A9" s="12" t="inlineStr">
        <is>
          <t>6770 E. 56th Ave (R0092302)</t>
        </is>
      </c>
      <c r="B9" s="11" t="inlineStr">
        <is>
          <t>2026</t>
        </is>
      </c>
      <c r="C9" s="14" t="n">
        <v>1815434</v>
      </c>
      <c r="D9" s="15" t="n">
        <v>188.09</v>
      </c>
      <c r="E9" s="14" t="n">
        <v>1493032</v>
      </c>
      <c r="F9" s="15" t="n">
        <v>154.69</v>
      </c>
      <c r="G9" s="14" t="n"/>
      <c r="H9" s="12" t="inlineStr">
        <is>
          <t>R0092302</t>
        </is>
      </c>
    </row>
    <row r="10">
      <c r="A10" s="12" t="inlineStr">
        <is>
          <t>5970 Marion Drive</t>
        </is>
      </c>
      <c r="B10" s="11" t="inlineStr">
        <is>
          <t>2025 (assigned)</t>
        </is>
      </c>
      <c r="C10" s="14" t="n">
        <v>2527915</v>
      </c>
      <c r="D10" s="15" t="n">
        <v>175.55</v>
      </c>
      <c r="E10" s="14" t="n">
        <v>2460577</v>
      </c>
      <c r="F10" s="15" t="n"/>
      <c r="G10" s="14" t="n"/>
      <c r="H10" s="12" t="inlineStr">
        <is>
          <t>5970 Marion xlsx (income block)</t>
        </is>
      </c>
    </row>
    <row r="11">
      <c r="A11" s="17" t="inlineStr">
        <is>
          <t>Lovett 76 Logistics Center (R0213058)</t>
        </is>
      </c>
      <c r="B11" s="17" t="inlineStr">
        <is>
          <t>2025</t>
        </is>
      </c>
      <c r="C11" s="19" t="n">
        <v>70695025</v>
      </c>
      <c r="D11" s="20" t="n">
        <v>115.14</v>
      </c>
      <c r="E11" s="19" t="n">
        <v>45408400</v>
      </c>
      <c r="F11" s="20" t="n">
        <v>73.95</v>
      </c>
      <c r="G11" s="19" t="n">
        <v>60663799</v>
      </c>
      <c r="H11" s="17" t="inlineStr">
        <is>
          <t>R0213058</t>
        </is>
      </c>
      <c r="I11" s="18" t="inlineStr">
        <is>
          <t>584</t>
        </is>
      </c>
    </row>
    <row r="12" ht="27.75" customHeight="1" s="51">
      <c r="A12" s="17" t="inlineStr">
        <is>
          <t>Denali Bldg 1 (R0218172)</t>
        </is>
      </c>
      <c r="B12" s="17" t="inlineStr">
        <is>
          <t>2025</t>
        </is>
      </c>
      <c r="C12" s="19" t="n">
        <v>40319703</v>
      </c>
      <c r="D12" s="20" t="n">
        <v>114.11</v>
      </c>
      <c r="E12" s="19" t="n">
        <v>16841375</v>
      </c>
      <c r="F12" s="17" t="n"/>
      <c r="G12" s="17" t="n"/>
      <c r="H12" s="17" t="inlineStr">
        <is>
          <t>R0218172</t>
        </is>
      </c>
      <c r="I12" s="18" t="inlineStr">
        <is>
          <t>584</t>
        </is>
      </c>
    </row>
    <row r="13">
      <c r="A13" s="17" t="inlineStr">
        <is>
          <t>Denali Bldg 2 (R0218173)</t>
        </is>
      </c>
      <c r="B13" s="17" t="inlineStr">
        <is>
          <t>2025</t>
        </is>
      </c>
      <c r="C13" s="19" t="n">
        <v>22901099</v>
      </c>
      <c r="D13" s="20" t="n">
        <v>111.28</v>
      </c>
      <c r="E13" s="19" t="n">
        <v>9808844</v>
      </c>
      <c r="F13" s="17" t="n"/>
      <c r="G13" s="17" t="n"/>
      <c r="H13" s="17" t="inlineStr">
        <is>
          <t>R0218172</t>
        </is>
      </c>
      <c r="I13" s="18" t="inlineStr">
        <is>
          <t>584</t>
        </is>
      </c>
    </row>
    <row r="14">
      <c r="A14" s="17" t="inlineStr">
        <is>
          <t>Denali Bldg 3 (R0218174)</t>
        </is>
      </c>
      <c r="B14" s="17" t="inlineStr">
        <is>
          <t>2025</t>
        </is>
      </c>
      <c r="C14" s="19" t="n">
        <v>22610267</v>
      </c>
      <c r="D14" s="20" t="n">
        <v>112.35</v>
      </c>
      <c r="E14" s="19" t="n">
        <v>9591982</v>
      </c>
      <c r="F14" s="17" t="n"/>
      <c r="G14" s="17" t="n"/>
      <c r="H14" s="17" t="inlineStr">
        <is>
          <t>R0218172</t>
        </is>
      </c>
      <c r="I14" s="18" t="inlineStr">
        <is>
          <t>584</t>
        </is>
      </c>
    </row>
    <row r="15" ht="30" customHeight="1" s="51">
      <c r="A15" s="17" t="inlineStr">
        <is>
          <t>Broadway Logistics Center (R0217136)</t>
        </is>
      </c>
      <c r="B15" s="17" t="inlineStr">
        <is>
          <t>2025</t>
        </is>
      </c>
      <c r="C15" s="19" t="n">
        <v>25207046</v>
      </c>
      <c r="D15" s="20" t="n">
        <v>125.39</v>
      </c>
      <c r="E15" s="19" t="n">
        <v>14866600</v>
      </c>
      <c r="F15" s="20" t="n">
        <v>73.95</v>
      </c>
      <c r="G15" s="19" t="n">
        <v>22843356</v>
      </c>
      <c r="H15" s="17" t="inlineStr">
        <is>
          <t>R0217136</t>
        </is>
      </c>
      <c r="I15" s="18" t="inlineStr">
        <is>
          <t>584</t>
        </is>
      </c>
    </row>
    <row r="16">
      <c r="A16" s="17" t="inlineStr">
        <is>
          <t>DEN3 - Bull Crossing (R0198789, leasehold)</t>
        </is>
      </c>
      <c r="B16" s="17" t="inlineStr">
        <is>
          <t>2025</t>
        </is>
      </c>
      <c r="C16" s="19" t="n">
        <v>91498458</v>
      </c>
      <c r="D16" s="20" t="n">
        <v>106.72</v>
      </c>
      <c r="E16" s="19" t="n">
        <v>73627000</v>
      </c>
      <c r="F16" s="20" t="n">
        <v>85.87</v>
      </c>
      <c r="G16" s="17" t="n"/>
      <c r="H16" s="17" t="inlineStr">
        <is>
          <t>R0198789</t>
        </is>
      </c>
      <c r="I16" s="18" t="inlineStr">
        <is>
          <t>584</t>
        </is>
      </c>
    </row>
    <row r="17">
      <c r="A17" s="17" t="inlineStr">
        <is>
          <t>DEN7 (R0198530, leasehold)</t>
        </is>
      </c>
      <c r="B17" s="17" t="inlineStr">
        <is>
          <t>2025</t>
        </is>
      </c>
      <c r="C17" s="19" t="n">
        <v>58528163</v>
      </c>
      <c r="D17" s="20" t="n">
        <v>105.3</v>
      </c>
      <c r="E17" s="19" t="n">
        <v>41529000</v>
      </c>
      <c r="F17" s="20" t="n">
        <v>74.70999999999999</v>
      </c>
      <c r="G17" s="17" t="n"/>
      <c r="H17" s="17" t="inlineStr">
        <is>
          <t>R0198530</t>
        </is>
      </c>
      <c r="I17" s="18" t="inlineStr">
        <is>
          <t>584</t>
        </is>
      </c>
    </row>
    <row r="18">
      <c r="A18" s="17" t="inlineStr">
        <is>
          <t>DEN2 - PR Park 70 (R0191292, leasehold)</t>
        </is>
      </c>
      <c r="B18" s="17" t="inlineStr">
        <is>
          <t>2025</t>
        </is>
      </c>
      <c r="C18" s="19" t="n">
        <v>91704470</v>
      </c>
      <c r="D18" s="20" t="n">
        <v>90.25</v>
      </c>
      <c r="E18" s="19" t="n">
        <v>76761000</v>
      </c>
      <c r="F18" s="20" t="n">
        <v>75.54000000000001</v>
      </c>
      <c r="G18" s="17" t="n"/>
      <c r="H18" s="17" t="inlineStr">
        <is>
          <t>R0191292</t>
        </is>
      </c>
      <c r="I18" s="18" t="inlineStr">
        <is>
          <t>584</t>
        </is>
      </c>
    </row>
    <row r="19">
      <c r="A19" s="17" t="inlineStr">
        <is>
          <t>Home Depot Denver (R0180551)</t>
        </is>
      </c>
      <c r="B19" s="17" t="inlineStr">
        <is>
          <t>2025</t>
        </is>
      </c>
      <c r="C19" s="19" t="n">
        <v>36400834</v>
      </c>
      <c r="D19" s="20" t="n">
        <v>165.46</v>
      </c>
      <c r="E19" s="19" t="n">
        <v>16062800</v>
      </c>
      <c r="F19" s="20" t="n">
        <v>73.01000000000001</v>
      </c>
      <c r="G19" s="19" t="n">
        <v>18700000</v>
      </c>
      <c r="H19" s="17" t="inlineStr">
        <is>
          <t>R0180551</t>
        </is>
      </c>
      <c r="I19" s="18" t="inlineStr">
        <is>
          <t>584</t>
        </is>
      </c>
    </row>
    <row r="20">
      <c r="A20" s="17" t="inlineStr">
        <is>
          <t>22100 E 26th Ave (R0172848)</t>
        </is>
      </c>
      <c r="B20" s="17" t="inlineStr">
        <is>
          <t>2025</t>
        </is>
      </c>
      <c r="C20" s="19" t="n">
        <v>43077347</v>
      </c>
      <c r="D20" s="20" t="n">
        <v>105.85</v>
      </c>
      <c r="E20" s="19" t="n">
        <v>31001000</v>
      </c>
      <c r="F20" s="20" t="n">
        <v>76.18000000000001</v>
      </c>
      <c r="G20" s="19" t="n">
        <v>32680000</v>
      </c>
      <c r="H20" s="17" t="inlineStr">
        <is>
          <t>R0172848</t>
        </is>
      </c>
      <c r="I20" s="18" t="inlineStr">
        <is>
          <t>584</t>
        </is>
      </c>
    </row>
    <row r="21" ht="15.75" customHeight="1" s="51">
      <c r="A21" s="17" t="inlineStr">
        <is>
          <t>Shamrock Foods (R0092655)</t>
        </is>
      </c>
      <c r="B21" s="17" t="inlineStr">
        <is>
          <t>2025</t>
        </is>
      </c>
      <c r="C21" s="19" t="n">
        <v>36703938</v>
      </c>
      <c r="D21" s="17" t="n"/>
      <c r="E21" s="19" t="n">
        <v>24502171</v>
      </c>
      <c r="F21" s="20" t="n">
        <v>74.27</v>
      </c>
      <c r="G21" s="19" t="n">
        <v>26392240</v>
      </c>
      <c r="H21" s="17" t="inlineStr">
        <is>
          <t>R0092655</t>
        </is>
      </c>
      <c r="I21" s="18" t="inlineStr">
        <is>
          <t>584</t>
        </is>
      </c>
    </row>
    <row r="22" ht="27.75" customHeight="1" s="51">
      <c r="A22" s="48" t="inlineStr">
        <is>
          <t xml:space="preserve">  [584 BATCH] Historical detail — R0180551 (Home Depot): 2025 Land $4,876,931 ($6.50/SF) + Improvement $31,523,903 = Total $36,400,834; 2024 prior-year value $18,700,000 (+94.66% YoY, reappraisal-cycle jump). R0172848 (22100 E 26th): building was only 28% occupied at 6/30/2024 DOV (multi-tenant lease-up in progress). R0092655 (Shamrock Foods): 2024 value $26,392,240 (Land $4,783,965 + Bldg $21,608,275); 2025 value +39.07% YoY; owner-occupied, appeal uses hypothetical market-lease income approach. R0198530/R0198789/R0191292 are Amazon leasehold/possessory-interest appeals filed on the tenant's behalf against Assessor's value for the fee-simple parcel; R0198530's Notice of Determination (8/14/2025) affirmed the Assessor's value unchanged, taxpayer proceeding to County Board of Equalization.</t>
        </is>
      </c>
    </row>
    <row r="23" ht="15.75" customHeight="1" s="51">
      <c r="A23" s="41" t="inlineStr">
        <is>
          <t>Historical detail — R0178308: 2025 Land $1,125,150 / Imp $4,025,175 / Total $5,150,325; 2024 Total $4,999,770.  R0169133: 2025 Land $992,519 / Imp $2,122,296 / schedule Total $3,114,815 (cover shows $3,408,546); 2024 Total $2,900,000.  R0024442: 2024 County $2,000,000 → 2025 $3,876,387 (+93.8%).</t>
        </is>
      </c>
      <c r="B23" s="59" t="n"/>
      <c r="C23" s="59" t="n"/>
      <c r="D23" s="59" t="n"/>
      <c r="E23" s="59" t="n"/>
      <c r="F23" s="59" t="n"/>
      <c r="G23" s="59" t="n"/>
      <c r="H23" s="60" t="n"/>
    </row>
    <row r="24" ht="15.75" customHeight="1" s="51"/>
    <row r="25" ht="15.75" customHeight="1" s="51">
      <c r="A25" s="61" t="inlineStr">
        <is>
          <t>B. Income-Approach Proformas</t>
        </is>
      </c>
      <c r="B25" s="59" t="n"/>
      <c r="C25" s="59" t="n"/>
      <c r="D25" s="59" t="n"/>
      <c r="E25" s="59" t="n"/>
      <c r="F25" s="59" t="n"/>
      <c r="G25" s="59" t="n"/>
      <c r="H25" s="60" t="n"/>
    </row>
    <row r="26" ht="15.75" customHeight="1" s="51">
      <c r="A26" s="6" t="inlineStr">
        <is>
          <t>Property</t>
        </is>
      </c>
      <c r="B26" s="6" t="inlineStr">
        <is>
          <t>PGI</t>
        </is>
      </c>
      <c r="C26" s="6" t="inlineStr">
        <is>
          <t>Vacancy</t>
        </is>
      </c>
      <c r="D26" s="6" t="inlineStr">
        <is>
          <t>EGI</t>
        </is>
      </c>
      <c r="E26" s="6" t="inlineStr">
        <is>
          <t>Operating Exp</t>
        </is>
      </c>
      <c r="F26" s="6" t="inlineStr">
        <is>
          <t>NOI</t>
        </is>
      </c>
      <c r="G26" s="6" t="inlineStr">
        <is>
          <t>Cap Rate</t>
        </is>
      </c>
      <c r="H26" s="6" t="inlineStr">
        <is>
          <t>Indicated Value</t>
        </is>
      </c>
      <c r="I26" s="9" t="inlineStr">
        <is>
          <t>Batch</t>
        </is>
      </c>
    </row>
    <row r="27" ht="15.75" customHeight="1" s="51">
      <c r="A27" s="12" t="inlineStr">
        <is>
          <t>7205 Gilpin Way</t>
        </is>
      </c>
      <c r="B27" s="14" t="n">
        <v>359394</v>
      </c>
      <c r="C27" s="14" t="n">
        <v>-17970</v>
      </c>
      <c r="D27" s="14" t="n">
        <v>341424</v>
      </c>
      <c r="E27" s="14" t="n">
        <v>-27314</v>
      </c>
      <c r="F27" s="24" t="n">
        <v>314110</v>
      </c>
      <c r="G27" s="25" t="n">
        <v>0.065</v>
      </c>
      <c r="H27" s="24" t="n">
        <v>4832500</v>
      </c>
    </row>
    <row r="28" ht="15.75" customHeight="1" s="51">
      <c r="A28" s="12" t="inlineStr">
        <is>
          <t>17608 E. 24th Dr</t>
        </is>
      </c>
      <c r="B28" s="14" t="n">
        <v>209100</v>
      </c>
      <c r="C28" s="14" t="n">
        <v>-10455</v>
      </c>
      <c r="D28" s="14" t="n">
        <v>198645</v>
      </c>
      <c r="E28" s="14" t="n">
        <v>-15892</v>
      </c>
      <c r="F28" s="24" t="n">
        <v>182753</v>
      </c>
      <c r="G28" s="25" t="n">
        <v>0.06</v>
      </c>
      <c r="H28" s="24" t="n">
        <v>3050000</v>
      </c>
    </row>
    <row r="29" ht="15.75" customHeight="1" s="51">
      <c r="A29" s="12" t="inlineStr">
        <is>
          <t>12260 Pennsylvania St</t>
        </is>
      </c>
      <c r="B29" s="14" t="n">
        <v>237290</v>
      </c>
      <c r="C29" s="14" t="n">
        <v>-16610</v>
      </c>
      <c r="D29" s="14" t="n">
        <v>220680</v>
      </c>
      <c r="E29" s="14" t="n">
        <v>-22068</v>
      </c>
      <c r="F29" s="24" t="n">
        <v>198612</v>
      </c>
      <c r="G29" s="25" t="n">
        <v>0.07000000000000001</v>
      </c>
      <c r="H29" s="24" t="n">
        <v>2837000</v>
      </c>
    </row>
    <row r="30" ht="15.75" customHeight="1" s="51">
      <c r="A30" s="12" t="inlineStr">
        <is>
          <t>6770 E. 56th Ave</t>
        </is>
      </c>
      <c r="B30" s="14" t="n">
        <v>115824</v>
      </c>
      <c r="C30" s="14" t="n">
        <v>-5791</v>
      </c>
      <c r="D30" s="14" t="n">
        <v>110033</v>
      </c>
      <c r="E30" s="14" t="n">
        <v>-5502</v>
      </c>
      <c r="F30" s="24" t="n">
        <v>104531</v>
      </c>
      <c r="G30" s="25" t="n">
        <v>0.07000000000000001</v>
      </c>
      <c r="H30" s="24" t="n">
        <v>1493302</v>
      </c>
    </row>
    <row r="31" ht="15.75" customHeight="1" s="51">
      <c r="A31" s="12" t="inlineStr">
        <is>
          <t>5970 Marion Drive (mkt)</t>
        </is>
      </c>
      <c r="B31" s="14" t="n">
        <v>172800</v>
      </c>
      <c r="C31" s="14" t="n">
        <v>-8640</v>
      </c>
      <c r="D31" s="14" t="n">
        <v>164160</v>
      </c>
      <c r="E31" s="14" t="n">
        <v>-4223</v>
      </c>
      <c r="F31" s="24" t="n">
        <v>159937</v>
      </c>
      <c r="G31" s="25" t="n">
        <v>0.065</v>
      </c>
      <c r="H31" s="24" t="n">
        <v>2460577</v>
      </c>
    </row>
    <row r="32" ht="15.75" customHeight="1" s="51">
      <c r="A32" s="17" t="inlineStr">
        <is>
          <t>20600 E. 35th Dr, Bldg 12</t>
        </is>
      </c>
      <c r="B32" s="19" t="n">
        <v>2884875</v>
      </c>
      <c r="C32" s="19" t="n">
        <v>-288488</v>
      </c>
      <c r="D32" s="19" t="n">
        <v>2596388</v>
      </c>
      <c r="E32" s="19" t="n">
        <v>-129819</v>
      </c>
      <c r="F32" s="19" t="n">
        <v>2466568</v>
      </c>
      <c r="G32" s="29" t="n">
        <v>0.07630000000000001</v>
      </c>
      <c r="H32" s="19" t="n">
        <v>23875600</v>
      </c>
      <c r="I32" s="18" t="inlineStr">
        <is>
          <t>584</t>
        </is>
      </c>
    </row>
    <row r="33" ht="15.75" customHeight="1" s="51">
      <c r="A33" s="17" t="inlineStr">
        <is>
          <t>Lovett 76 Logistics Center</t>
        </is>
      </c>
      <c r="B33" s="19" t="n">
        <v>3377055</v>
      </c>
      <c r="C33" s="19" t="n">
        <v>-168853</v>
      </c>
      <c r="D33" s="19" t="n">
        <v>3208202</v>
      </c>
      <c r="E33" s="19" t="n">
        <v>-256656</v>
      </c>
      <c r="F33" s="19" t="n">
        <v>2951546</v>
      </c>
      <c r="G33" s="29" t="n">
        <v>0.065</v>
      </c>
      <c r="H33" s="19" t="n">
        <v>45408400</v>
      </c>
      <c r="I33" s="18" t="inlineStr">
        <is>
          <t>584</t>
        </is>
      </c>
    </row>
    <row r="34" ht="15.75" customHeight="1" s="51">
      <c r="A34" s="17" t="inlineStr">
        <is>
          <t>20310 E. 35th Dr, Bldg 11</t>
        </is>
      </c>
      <c r="B34" s="19" t="n">
        <v>1530750</v>
      </c>
      <c r="C34" s="19" t="n">
        <v>-153075</v>
      </c>
      <c r="D34" s="19" t="n">
        <v>1377675</v>
      </c>
      <c r="E34" s="19" t="n">
        <v>-68884</v>
      </c>
      <c r="F34" s="19" t="n">
        <v>1308791</v>
      </c>
      <c r="G34" s="29" t="n">
        <v>0.07630000000000001</v>
      </c>
      <c r="H34" s="19" t="n">
        <v>12668600</v>
      </c>
      <c r="I34" s="18" t="inlineStr">
        <is>
          <t>584</t>
        </is>
      </c>
    </row>
    <row r="35" ht="15.75" customHeight="1" s="51">
      <c r="A35" s="17" t="inlineStr">
        <is>
          <t>Denali Buildings 1,2,3 (combined)</t>
        </is>
      </c>
      <c r="B35" s="19" t="n">
        <v>4752500</v>
      </c>
      <c r="C35" s="19" t="n">
        <v>-475250</v>
      </c>
      <c r="D35" s="19" t="n">
        <v>4277250</v>
      </c>
      <c r="E35" s="19" t="n">
        <v>-213863</v>
      </c>
      <c r="F35" s="19" t="n">
        <v>4063388</v>
      </c>
      <c r="G35" s="29" t="n">
        <v>0.081</v>
      </c>
      <c r="H35" s="19" t="n">
        <v>36242200</v>
      </c>
      <c r="I35" s="18" t="inlineStr">
        <is>
          <t>584</t>
        </is>
      </c>
    </row>
    <row r="36" ht="15.75" customHeight="1" s="51">
      <c r="A36" s="17" t="inlineStr">
        <is>
          <t>2780 N. Tower Road</t>
        </is>
      </c>
      <c r="B36" s="19" t="n">
        <v>2412500</v>
      </c>
      <c r="C36" s="19" t="n">
        <v>-120625</v>
      </c>
      <c r="D36" s="19" t="n">
        <v>2291875</v>
      </c>
      <c r="E36" s="19" t="n">
        <v>-114594</v>
      </c>
      <c r="F36" s="19" t="n">
        <v>2177281</v>
      </c>
      <c r="G36" s="29" t="n">
        <v>0.075</v>
      </c>
      <c r="H36" s="19" t="n">
        <v>29030400</v>
      </c>
      <c r="I36" s="18" t="inlineStr">
        <is>
          <t>584</t>
        </is>
      </c>
    </row>
    <row r="37" ht="15.75" customHeight="1" s="51">
      <c r="A37" s="17" t="inlineStr">
        <is>
          <t>Broadway Logistics Center</t>
        </is>
      </c>
      <c r="B37" s="19" t="n">
        <v>1105638</v>
      </c>
      <c r="C37" s="19" t="n">
        <v>-55282</v>
      </c>
      <c r="D37" s="19" t="n">
        <v>1050356</v>
      </c>
      <c r="E37" s="19" t="n">
        <v>-84028</v>
      </c>
      <c r="F37" s="19" t="n">
        <v>966327</v>
      </c>
      <c r="G37" s="29" t="n">
        <v>0.065</v>
      </c>
      <c r="H37" s="19" t="n">
        <v>14866600</v>
      </c>
      <c r="I37" s="18" t="inlineStr">
        <is>
          <t>584</t>
        </is>
      </c>
    </row>
    <row r="38" ht="15.75" customHeight="1" s="51">
      <c r="A38" s="17" t="inlineStr">
        <is>
          <t>DEN3 - Bull Crossing (Amazon, actual rent)</t>
        </is>
      </c>
      <c r="B38" s="19" t="n">
        <v>5710683</v>
      </c>
      <c r="C38" s="19" t="n">
        <v>-285534</v>
      </c>
      <c r="D38" s="19" t="n">
        <v>5425148</v>
      </c>
      <c r="E38" s="19" t="n">
        <v>-271257</v>
      </c>
      <c r="F38" s="19" t="n">
        <v>5153891</v>
      </c>
      <c r="G38" s="29" t="n">
        <v>0.07000000000000001</v>
      </c>
      <c r="H38" s="19" t="n">
        <v>73627000</v>
      </c>
      <c r="I38" s="18" t="inlineStr">
        <is>
          <t>584</t>
        </is>
      </c>
    </row>
    <row r="39" ht="15.75" customHeight="1" s="51">
      <c r="A39" s="17" t="inlineStr">
        <is>
          <t>DEN7 (Amazon, actual rent)</t>
        </is>
      </c>
      <c r="B39" s="19" t="n">
        <v>3221103</v>
      </c>
      <c r="C39" s="19" t="n">
        <v>-161055</v>
      </c>
      <c r="D39" s="19" t="n">
        <v>3060048</v>
      </c>
      <c r="E39" s="19" t="n">
        <v>-153002</v>
      </c>
      <c r="F39" s="19" t="n">
        <v>2907045</v>
      </c>
      <c r="G39" s="29" t="n">
        <v>0.07000000000000001</v>
      </c>
      <c r="H39" s="19" t="n">
        <v>41529000</v>
      </c>
      <c r="I39" s="18" t="inlineStr">
        <is>
          <t>584</t>
        </is>
      </c>
    </row>
    <row r="40" ht="15.75" customHeight="1" s="51">
      <c r="A40" s="17" t="inlineStr">
        <is>
          <t>Majestic Commercenter Bldg 15</t>
        </is>
      </c>
      <c r="B40" s="19" t="n">
        <v>4390569</v>
      </c>
      <c r="C40" s="19" t="n">
        <v>-439057</v>
      </c>
      <c r="D40" s="19" t="n">
        <v>3951512</v>
      </c>
      <c r="E40" s="19" t="n">
        <v>-197576</v>
      </c>
      <c r="F40" s="19" t="n">
        <v>3753936</v>
      </c>
      <c r="G40" s="29" t="n">
        <v>0.07630000000000001</v>
      </c>
      <c r="H40" s="19" t="n">
        <v>49199700</v>
      </c>
      <c r="I40" s="18" t="inlineStr">
        <is>
          <t>584</t>
        </is>
      </c>
    </row>
    <row r="41" ht="15.75" customHeight="1" s="51">
      <c r="A41" s="17" t="inlineStr">
        <is>
          <t>DEN2 - PR Park 70 (Amazon, actual rent)</t>
        </is>
      </c>
      <c r="B41" s="19" t="n">
        <v>5953799</v>
      </c>
      <c r="C41" s="19" t="n">
        <v>-297690</v>
      </c>
      <c r="D41" s="19" t="n">
        <v>5656109</v>
      </c>
      <c r="E41" s="19" t="n">
        <v>-282805</v>
      </c>
      <c r="F41" s="19" t="n">
        <v>5373303</v>
      </c>
      <c r="G41" s="29" t="n">
        <v>0.07000000000000001</v>
      </c>
      <c r="H41" s="19" t="n">
        <v>76761000</v>
      </c>
      <c r="I41" s="18" t="inlineStr">
        <is>
          <t>584</t>
        </is>
      </c>
    </row>
    <row r="42" ht="15.75" customHeight="1" s="51">
      <c r="A42" s="17" t="inlineStr">
        <is>
          <t>Majestic Commercenter Bldg 29</t>
        </is>
      </c>
      <c r="B42" s="19" t="n">
        <v>2827500</v>
      </c>
      <c r="C42" s="19" t="n">
        <v>-282750</v>
      </c>
      <c r="D42" s="19" t="n">
        <v>2544750</v>
      </c>
      <c r="E42" s="19" t="n">
        <v>-127238</v>
      </c>
      <c r="F42" s="19" t="n">
        <v>2417513</v>
      </c>
      <c r="G42" s="29" t="n">
        <v>0.07630000000000001</v>
      </c>
      <c r="H42" s="19" t="n">
        <v>31684300</v>
      </c>
      <c r="I42" s="18" t="inlineStr">
        <is>
          <t>584</t>
        </is>
      </c>
    </row>
    <row r="43" ht="15.75" customHeight="1" s="51">
      <c r="A43" s="17" t="inlineStr">
        <is>
          <t>Majestic Commercenter Bldg 26</t>
        </is>
      </c>
      <c r="B43" s="19" t="n">
        <v>1250000</v>
      </c>
      <c r="C43" s="19" t="n">
        <v>-125000</v>
      </c>
      <c r="D43" s="19" t="n">
        <v>1125000</v>
      </c>
      <c r="E43" s="19" t="n">
        <v>-56250</v>
      </c>
      <c r="F43" s="19" t="n">
        <v>1068750</v>
      </c>
      <c r="G43" s="29" t="n">
        <v>0.07630000000000001</v>
      </c>
      <c r="H43" s="19" t="n">
        <v>14007200</v>
      </c>
      <c r="I43" s="18" t="inlineStr">
        <is>
          <t>584</t>
        </is>
      </c>
    </row>
    <row r="44" ht="15.75" customHeight="1" s="51">
      <c r="A44" s="17" t="inlineStr">
        <is>
          <t>Home Depot Denver</t>
        </is>
      </c>
      <c r="B44" s="19" t="n">
        <v>1194600</v>
      </c>
      <c r="C44" s="19" t="n">
        <v>-59730</v>
      </c>
      <c r="D44" s="19" t="n">
        <v>1134870</v>
      </c>
      <c r="E44" s="19" t="n">
        <v>-90790</v>
      </c>
      <c r="F44" s="19" t="n">
        <v>1044080</v>
      </c>
      <c r="G44" s="29" t="n">
        <v>0.065</v>
      </c>
      <c r="H44" s="19" t="n">
        <v>16062800</v>
      </c>
      <c r="I44" s="18" t="inlineStr">
        <is>
          <t>584</t>
        </is>
      </c>
    </row>
    <row r="45" ht="15.75" customHeight="1" s="51">
      <c r="A45" s="17" t="inlineStr">
        <is>
          <t>22100 E 26th Ave (ASB)</t>
        </is>
      </c>
      <c r="B45" s="19" t="n">
        <v>2340014</v>
      </c>
      <c r="C45" s="19" t="n">
        <v>-234001</v>
      </c>
      <c r="D45" s="19" t="n">
        <v>2106013</v>
      </c>
      <c r="E45" s="19" t="n">
        <v>-168481</v>
      </c>
      <c r="F45" s="19" t="n">
        <v>1937532</v>
      </c>
      <c r="G45" s="29" t="n">
        <v>0.0625</v>
      </c>
      <c r="H45" s="19" t="n">
        <v>31001000</v>
      </c>
      <c r="I45" s="18" t="inlineStr">
        <is>
          <t>584</t>
        </is>
      </c>
    </row>
    <row r="46" ht="15.75" customHeight="1" s="51">
      <c r="A46" s="17" t="inlineStr">
        <is>
          <t>Majestic Commercenter Bldg 24</t>
        </is>
      </c>
      <c r="B46" s="19" t="n">
        <v>1343938</v>
      </c>
      <c r="C46" s="19" t="n">
        <v>-134394</v>
      </c>
      <c r="D46" s="19" t="n">
        <v>1209544</v>
      </c>
      <c r="E46" s="19" t="n">
        <v>-60477</v>
      </c>
      <c r="F46" s="19" t="n">
        <v>1149067</v>
      </c>
      <c r="G46" s="29" t="n">
        <v>0.07630000000000001</v>
      </c>
      <c r="H46" s="19" t="n">
        <v>15059900</v>
      </c>
      <c r="I46" s="18" t="inlineStr">
        <is>
          <t>584</t>
        </is>
      </c>
    </row>
    <row r="47" ht="15.75" customHeight="1" s="51">
      <c r="A47" s="17" t="inlineStr">
        <is>
          <t>Majestic Commercenter Bldg 22</t>
        </is>
      </c>
      <c r="B47" s="19" t="n">
        <v>1250563</v>
      </c>
      <c r="C47" s="19" t="n">
        <v>-125056</v>
      </c>
      <c r="D47" s="19" t="n">
        <v>1125506</v>
      </c>
      <c r="E47" s="19" t="n">
        <v>-56275</v>
      </c>
      <c r="F47" s="19" t="n">
        <v>1069231</v>
      </c>
      <c r="G47" s="29" t="n">
        <v>0.07630000000000001</v>
      </c>
      <c r="H47" s="19" t="n">
        <v>13402900</v>
      </c>
      <c r="I47" s="18" t="inlineStr">
        <is>
          <t>584</t>
        </is>
      </c>
    </row>
    <row r="48" ht="15.75" customHeight="1" s="51">
      <c r="A48" s="17" t="inlineStr">
        <is>
          <t>Shamrock Foods (hypothetical mkt lease)</t>
        </is>
      </c>
      <c r="B48" s="19" t="n">
        <v>2061894</v>
      </c>
      <c r="C48" s="19" t="n">
        <v>-164952</v>
      </c>
      <c r="D48" s="19" t="n">
        <v>1896942</v>
      </c>
      <c r="E48" s="19" t="n">
        <v>-132786</v>
      </c>
      <c r="F48" s="19" t="n">
        <v>1764156</v>
      </c>
      <c r="G48" s="29" t="n">
        <v>0.07199999999999999</v>
      </c>
      <c r="H48" s="19" t="n">
        <v>24502171</v>
      </c>
      <c r="I48" s="18" t="inlineStr">
        <is>
          <t>584</t>
        </is>
      </c>
    </row>
    <row r="49" ht="15.75" customHeight="1" s="51">
      <c r="A49" s="48" t="inlineStr">
        <is>
          <t xml:space="preserve">  [584 BATCH] Proforma figures as reported by each preparer (Sterling Property Tax Specialists, Ryan LLC, Amazon corporate, or DMA). Several proformas (Bldg 12, Bldg 11, Denali, 2780 N Tower, Bldg 15, Bldg 29, Bldg 26, Bldg 24, Bldg 22) include a county Metro-District mill-levy ETR load on top of the market cap rate (7.63% or 8.10% loaded vs 7.00% unloaded). Bldg 12, Bldg 11, Denali, and Bldg 22 indicated values include a further excess-vacancy/lease-up discount beyond this NOI/cap-rate line (see notes on each source document) — the 'Indicated Value' column already reflects that final discount.</t>
        </is>
      </c>
    </row>
    <row r="50" ht="15.75" customHeight="1" s="51">
      <c r="A50" s="41" t="inlineStr">
        <is>
          <t>Proforma vacancy/EGI figures as reported by each preparer (Ryan, Property Tax Advisors, or owner's analysis). 5970 Marion figures are from the owner's income-approach block in the 2024 P&amp;L workbook (PGI $172,800, 95% occ, NOI $159,938, 6.5% cap → $2,460,577; assigned $2,527,915).</t>
        </is>
      </c>
      <c r="B50" s="59" t="n"/>
      <c r="C50" s="59" t="n"/>
      <c r="D50" s="59" t="n"/>
      <c r="E50" s="59" t="n"/>
      <c r="F50" s="59" t="n"/>
      <c r="G50" s="59" t="n"/>
      <c r="H50" s="60" t="n"/>
    </row>
    <row r="51" ht="15.75" customHeight="1" s="51"/>
    <row r="52" ht="15.75" customHeight="1" s="51"/>
    <row r="53" ht="15.75" customHeight="1" s="51"/>
    <row r="54" ht="15.75" customHeight="1" s="51"/>
    <row r="55" ht="15.75" customHeight="1" s="51"/>
    <row r="56" ht="15.75" customHeight="1" s="51"/>
    <row r="57" ht="15.75" customHeight="1" s="51"/>
    <row r="58" ht="15.75" customHeight="1" s="51"/>
    <row r="59" ht="15.75" customHeight="1" s="51"/>
    <row r="60" ht="15.75" customHeight="1" s="51"/>
    <row r="61" ht="15.75" customHeight="1" s="51"/>
    <row r="62" ht="15.75" customHeight="1" s="51"/>
    <row r="63" ht="15.75" customHeight="1" s="51"/>
    <row r="64" ht="15.75" customHeight="1" s="51"/>
    <row r="65" ht="15.75" customHeight="1" s="51"/>
    <row r="66" ht="15.75" customHeight="1" s="51"/>
    <row r="67" ht="15.75" customHeight="1" s="51"/>
    <row r="68" ht="15.75" customHeight="1" s="51"/>
    <row r="69" ht="15.75" customHeight="1" s="51"/>
    <row r="70" ht="15.75" customHeight="1" s="51"/>
    <row r="71" ht="15.75" customHeight="1" s="51"/>
    <row r="72" ht="15.75" customHeight="1" s="51"/>
    <row r="73" ht="15.75" customHeight="1" s="51"/>
    <row r="74" ht="15.75" customHeight="1" s="51"/>
    <row r="75" ht="15.75" customHeight="1" s="51"/>
    <row r="76" ht="15.75" customHeight="1" s="51"/>
    <row r="77" ht="15.75" customHeight="1" s="51"/>
    <row r="78" ht="15.75" customHeight="1" s="51"/>
    <row r="79" ht="15.75" customHeight="1" s="51"/>
    <row r="80" ht="15.75" customHeight="1" s="51"/>
    <row r="81" ht="15.75" customHeight="1" s="51"/>
    <row r="82" ht="15.75" customHeight="1" s="51"/>
    <row r="83" ht="15.75" customHeight="1" s="51"/>
    <row r="84" ht="15.75" customHeight="1" s="51"/>
    <row r="85" ht="15.75" customHeight="1" s="51"/>
    <row r="86" ht="15.75" customHeight="1" s="51"/>
    <row r="87" ht="15.75" customHeight="1" s="51"/>
    <row r="88" ht="15.75" customHeight="1" s="51"/>
    <row r="89" ht="15.75" customHeight="1" s="51"/>
    <row r="90" ht="15.75" customHeight="1" s="51"/>
    <row r="91" ht="15.75" customHeight="1" s="51"/>
    <row r="92" ht="15.75" customHeight="1" s="51"/>
    <row r="93" ht="15.75" customHeight="1" s="51"/>
    <row r="94" ht="15.75" customHeight="1" s="51"/>
    <row r="95" ht="15.75" customHeight="1" s="51"/>
    <row r="96" ht="15.75" customHeight="1" s="51"/>
    <row r="97" ht="15.75" customHeight="1" s="51"/>
    <row r="98" ht="15.75" customHeight="1" s="51"/>
    <row r="99" ht="15.75" customHeight="1" s="51"/>
    <row r="100" ht="15.75" customHeight="1" s="51"/>
    <row r="101" ht="15.75" customHeight="1" s="51"/>
    <row r="102" ht="15.75" customHeight="1" s="51"/>
    <row r="103" ht="15.75" customHeight="1" s="51"/>
    <row r="104" ht="15.75" customHeight="1" s="51"/>
    <row r="105" ht="15.75" customHeight="1" s="51"/>
    <row r="106" ht="15.75" customHeight="1" s="51"/>
    <row r="107" ht="15.75" customHeight="1" s="51"/>
    <row r="108" ht="15.75" customHeight="1" s="51"/>
    <row r="109" ht="15.75" customHeight="1" s="51"/>
    <row r="110" ht="15.75" customHeight="1" s="51"/>
    <row r="111" ht="15.75" customHeight="1" s="51"/>
    <row r="112" ht="15.75" customHeight="1" s="51"/>
    <row r="113" ht="15.75" customHeight="1" s="51"/>
    <row r="114" ht="15.75" customHeight="1" s="51"/>
    <row r="115" ht="15.75" customHeight="1" s="51"/>
    <row r="116" ht="15.75" customHeight="1" s="51"/>
    <row r="117" ht="15.75" customHeight="1" s="51"/>
    <row r="118" ht="15.75" customHeight="1" s="51"/>
    <row r="119" ht="15.75" customHeight="1" s="51"/>
    <row r="120" ht="15.75" customHeight="1" s="51"/>
    <row r="121" ht="15.75" customHeight="1" s="51"/>
    <row r="122" ht="15.75" customHeight="1" s="51"/>
    <row r="123" ht="15.75" customHeight="1" s="51"/>
    <row r="124" ht="15.75" customHeight="1" s="51"/>
    <row r="125" ht="15.75" customHeight="1" s="51"/>
    <row r="126" ht="15.75" customHeight="1" s="51"/>
    <row r="127" ht="15.75" customHeight="1" s="51"/>
    <row r="128" ht="15.75" customHeight="1" s="51"/>
    <row r="129" ht="15.75" customHeight="1" s="51"/>
    <row r="130" ht="15.75" customHeight="1" s="51"/>
    <row r="131" ht="15.75" customHeight="1" s="51"/>
    <row r="132" ht="15.75" customHeight="1" s="51"/>
    <row r="133" ht="15.75" customHeight="1" s="51"/>
    <row r="134" ht="15.75" customHeight="1" s="51"/>
    <row r="135" ht="15.75" customHeight="1" s="51"/>
    <row r="136" ht="15.75" customHeight="1" s="51"/>
    <row r="137" ht="15.75" customHeight="1" s="51"/>
    <row r="138" ht="15.75" customHeight="1" s="51"/>
    <row r="139" ht="15.75" customHeight="1" s="51"/>
    <row r="140" ht="15.75" customHeight="1" s="51"/>
    <row r="141" ht="15.75" customHeight="1" s="51"/>
    <row r="142" ht="15.75" customHeight="1" s="51"/>
    <row r="143" ht="15.75" customHeight="1" s="51"/>
    <row r="144" ht="15.75" customHeight="1" s="51"/>
    <row r="145" ht="15.75" customHeight="1" s="51"/>
    <row r="146" ht="15.75" customHeight="1" s="51"/>
    <row r="147" ht="15.75" customHeight="1" s="51"/>
    <row r="148" ht="15.75" customHeight="1" s="51"/>
    <row r="149" ht="15.75" customHeight="1" s="51"/>
    <row r="150" ht="15.75" customHeight="1" s="51"/>
    <row r="151" ht="15.75" customHeight="1" s="51"/>
    <row r="152" ht="15.75" customHeight="1" s="51"/>
    <row r="153" ht="15.75" customHeight="1" s="51"/>
    <row r="154" ht="15.75" customHeight="1" s="51"/>
    <row r="155" ht="15.75" customHeight="1" s="51"/>
    <row r="156" ht="15.75" customHeight="1" s="51"/>
    <row r="157" ht="15.75" customHeight="1" s="51"/>
    <row r="158" ht="15.75" customHeight="1" s="51"/>
    <row r="159" ht="15.75" customHeight="1" s="51"/>
    <row r="160" ht="15.75" customHeight="1" s="51"/>
    <row r="161" ht="15.75" customHeight="1" s="51"/>
    <row r="162" ht="15.75" customHeight="1" s="51"/>
    <row r="163" ht="15.75" customHeight="1" s="51"/>
    <row r="164" ht="15.75" customHeight="1" s="51"/>
    <row r="165" ht="15.75" customHeight="1" s="51"/>
    <row r="166" ht="15.75" customHeight="1" s="51"/>
    <row r="167" ht="15.75" customHeight="1" s="51"/>
    <row r="168" ht="15.75" customHeight="1" s="51"/>
    <row r="169" ht="15.75" customHeight="1" s="51"/>
    <row r="170" ht="15.75" customHeight="1" s="51"/>
    <row r="171" ht="15.75" customHeight="1" s="51"/>
    <row r="172" ht="15.75" customHeight="1" s="51"/>
    <row r="173" ht="15.75" customHeight="1" s="51"/>
    <row r="174" ht="15.75" customHeight="1" s="51"/>
    <row r="175" ht="15.75" customHeight="1" s="51"/>
    <row r="176" ht="15.75" customHeight="1" s="51"/>
    <row r="177" ht="15.75" customHeight="1" s="51"/>
    <row r="178" ht="15.75" customHeight="1" s="51"/>
    <row r="179" ht="15.75" customHeight="1" s="51"/>
    <row r="180" ht="15.75" customHeight="1" s="51"/>
    <row r="181" ht="15.75" customHeight="1" s="51"/>
    <row r="182" ht="15.75" customHeight="1" s="51"/>
    <row r="183" ht="15.75" customHeight="1" s="51"/>
    <row r="184" ht="15.75" customHeight="1" s="51"/>
    <row r="185" ht="15.75" customHeight="1" s="51"/>
    <row r="186" ht="15.75" customHeight="1" s="51"/>
    <row r="187" ht="15.75" customHeight="1" s="51"/>
    <row r="188" ht="15.75" customHeight="1" s="51"/>
    <row r="189" ht="15.75" customHeight="1" s="51"/>
    <row r="190" ht="15.75" customHeight="1" s="51"/>
    <row r="191" ht="15.75" customHeight="1" s="51"/>
    <row r="192" ht="15.75" customHeight="1" s="51"/>
    <row r="193" ht="15.75" customHeight="1" s="51"/>
    <row r="194" ht="15.75" customHeight="1" s="51"/>
    <row r="195" ht="15.75" customHeight="1" s="51"/>
    <row r="196" ht="15.75" customHeight="1" s="51"/>
    <row r="197" ht="15.75" customHeight="1" s="51"/>
    <row r="198" ht="15.75" customHeight="1" s="51"/>
    <row r="199" ht="15.75" customHeight="1" s="51"/>
    <row r="200" ht="15.75" customHeight="1" s="51"/>
    <row r="201" ht="15.75" customHeight="1" s="51"/>
    <row r="202" ht="15.75" customHeight="1" s="51"/>
    <row r="203" ht="15.75" customHeight="1" s="51"/>
    <row r="204" ht="15.75" customHeight="1" s="51"/>
    <row r="205" ht="15.75" customHeight="1" s="51"/>
    <row r="206" ht="15.75" customHeight="1" s="51"/>
    <row r="207" ht="15.75" customHeight="1" s="51"/>
    <row r="208" ht="15.75" customHeight="1" s="51"/>
    <row r="209" ht="15.75" customHeight="1" s="51"/>
    <row r="210" ht="15.75" customHeight="1" s="51"/>
    <row r="211" ht="15.75" customHeight="1" s="51"/>
    <row r="212" ht="15.75" customHeight="1" s="51"/>
    <row r="213" ht="15.75" customHeight="1" s="51"/>
    <row r="214" ht="15.75" customHeight="1" s="51"/>
    <row r="215" ht="15.75" customHeight="1" s="51"/>
    <row r="216" ht="15.75" customHeight="1" s="51"/>
    <row r="217" ht="15.75" customHeight="1" s="51"/>
    <row r="218" ht="15.75" customHeight="1" s="51"/>
    <row r="219" ht="15.75" customHeight="1" s="51"/>
    <row r="220" ht="15.75" customHeight="1" s="51"/>
    <row r="221" ht="15.75" customHeight="1" s="51"/>
    <row r="222" ht="15.75" customHeight="1" s="51"/>
    <row r="223" ht="15.75" customHeight="1" s="51"/>
    <row r="224" ht="15.75" customHeight="1" s="51"/>
    <row r="225" ht="15.75" customHeight="1" s="51"/>
    <row r="226" ht="15.75" customHeight="1" s="51"/>
    <row r="227" ht="15.75" customHeight="1" s="51"/>
    <row r="228" ht="15.75" customHeight="1" s="51"/>
    <row r="229" ht="15.75" customHeight="1" s="51"/>
    <row r="230" ht="15.75" customHeight="1" s="51"/>
    <row r="231" ht="15.75" customHeight="1" s="51"/>
    <row r="232" ht="15.75" customHeight="1" s="51"/>
    <row r="233" ht="15.75" customHeight="1" s="51"/>
    <row r="234" ht="15.75" customHeight="1" s="51"/>
    <row r="235" ht="15.75" customHeight="1" s="51"/>
    <row r="236" ht="15.75" customHeight="1" s="51"/>
    <row r="237" ht="15.75" customHeight="1" s="51"/>
    <row r="238" ht="15.75" customHeight="1" s="51"/>
    <row r="239" ht="15.75" customHeight="1" s="51"/>
    <row r="240" ht="15.75" customHeight="1" s="51"/>
    <row r="241" ht="15.75" customHeight="1" s="51"/>
    <row r="242" ht="15.75" customHeight="1" s="51"/>
    <row r="243" ht="15.75" customHeight="1" s="51"/>
    <row r="244" ht="15.75" customHeight="1" s="51"/>
    <row r="245" ht="15.75" customHeight="1" s="51"/>
    <row r="246" ht="15.75" customHeight="1" s="51"/>
    <row r="247" ht="15.75" customHeight="1" s="51"/>
    <row r="248" ht="15.75" customHeight="1" s="51"/>
    <row r="249" ht="15.75" customHeight="1" s="51"/>
    <row r="250" ht="15.75" customHeight="1" s="51"/>
    <row r="251" ht="15.75" customHeight="1" s="51"/>
    <row r="252" ht="15.75" customHeight="1" s="51"/>
    <row r="253" ht="15.75" customHeight="1" s="51"/>
    <row r="254" ht="15.75" customHeight="1" s="51"/>
    <row r="255" ht="15.75" customHeight="1" s="51"/>
    <row r="256" ht="15.75" customHeight="1" s="51"/>
    <row r="257" ht="15.75" customHeight="1" s="51"/>
    <row r="258" ht="15.75" customHeight="1" s="51"/>
    <row r="259" ht="15.75" customHeight="1" s="51"/>
    <row r="260" ht="15.75" customHeight="1" s="51"/>
    <row r="261" ht="15.75" customHeight="1" s="51"/>
    <row r="262" ht="15.75" customHeight="1" s="51"/>
    <row r="263" ht="15.75" customHeight="1" s="51"/>
    <row r="264" ht="15.75" customHeight="1" s="51"/>
    <row r="265" ht="15.75" customHeight="1" s="51"/>
    <row r="266" ht="15.75" customHeight="1" s="51"/>
    <row r="267" ht="15.75" customHeight="1" s="51"/>
    <row r="268" ht="15.75" customHeight="1" s="51"/>
    <row r="269" ht="15.75" customHeight="1" s="51"/>
    <row r="270" ht="15.75" customHeight="1" s="51"/>
    <row r="271" ht="15.75" customHeight="1" s="51"/>
    <row r="272" ht="15.75" customHeight="1" s="51"/>
    <row r="273" ht="15.75" customHeight="1" s="51"/>
    <row r="274" ht="15.75" customHeight="1" s="51"/>
    <row r="275" ht="15.75" customHeight="1" s="51"/>
    <row r="276" ht="15.75" customHeight="1" s="51"/>
    <row r="277" ht="15.75" customHeight="1" s="51"/>
    <row r="278" ht="15.75" customHeight="1" s="51"/>
    <row r="279" ht="15.75" customHeight="1" s="51"/>
    <row r="280" ht="15.75" customHeight="1" s="51"/>
    <row r="281" ht="15.75" customHeight="1" s="51"/>
    <row r="282" ht="15.75" customHeight="1" s="51"/>
    <row r="283" ht="15.75" customHeight="1" s="51"/>
    <row r="284" ht="15.75" customHeight="1" s="51"/>
    <row r="285" ht="15.75" customHeight="1" s="51"/>
    <row r="286" ht="15.75" customHeight="1" s="51"/>
    <row r="287" ht="15.75" customHeight="1" s="51"/>
    <row r="288" ht="15.75" customHeight="1" s="51"/>
    <row r="289" ht="15.75" customHeight="1" s="51"/>
    <row r="290" ht="15.75" customHeight="1" s="51"/>
    <row r="291" ht="15.75" customHeight="1" s="51"/>
    <row r="292" ht="15.75" customHeight="1" s="51"/>
    <row r="293" ht="15.75" customHeight="1" s="51"/>
    <row r="294" ht="15.75" customHeight="1" s="51"/>
    <row r="295" ht="15.75" customHeight="1" s="51"/>
    <row r="296" ht="15.75" customHeight="1" s="51"/>
    <row r="297" ht="15.75" customHeight="1" s="51"/>
    <row r="298" ht="15.75" customHeight="1" s="51"/>
    <row r="299" ht="15.75" customHeight="1" s="51"/>
    <row r="300" ht="15.75" customHeight="1" s="51"/>
    <row r="301" ht="15.75" customHeight="1" s="51"/>
    <row r="302" ht="15.75" customHeight="1" s="51"/>
    <row r="303" ht="15.75" customHeight="1" s="51"/>
    <row r="304" ht="15.75" customHeight="1" s="51"/>
    <row r="305" ht="15.75" customHeight="1" s="51"/>
    <row r="306" ht="15.75" customHeight="1" s="51"/>
    <row r="307" ht="15.75" customHeight="1" s="51"/>
    <row r="308" ht="15.75" customHeight="1" s="51"/>
    <row r="309" ht="15.75" customHeight="1" s="51"/>
    <row r="310" ht="15.75" customHeight="1" s="51"/>
    <row r="311" ht="15.75" customHeight="1" s="51"/>
    <row r="312" ht="15.75" customHeight="1" s="51"/>
    <row r="313" ht="15.75" customHeight="1" s="51"/>
    <row r="314" ht="15.75" customHeight="1" s="51"/>
    <row r="315" ht="15.75" customHeight="1" s="51"/>
    <row r="316" ht="15.75" customHeight="1" s="51"/>
    <row r="317" ht="15.75" customHeight="1" s="51"/>
    <row r="318" ht="15.75" customHeight="1" s="51"/>
    <row r="319" ht="15.75" customHeight="1" s="51"/>
    <row r="320" ht="15.75" customHeight="1" s="51"/>
    <row r="321" ht="15.75" customHeight="1" s="51"/>
    <row r="322" ht="15.75" customHeight="1" s="51"/>
    <row r="323" ht="15.75" customHeight="1" s="51"/>
    <row r="324" ht="15.75" customHeight="1" s="51"/>
    <row r="325" ht="15.75" customHeight="1" s="51"/>
    <row r="326" ht="15.75" customHeight="1" s="51"/>
    <row r="327" ht="15.75" customHeight="1" s="51"/>
    <row r="328" ht="15.75" customHeight="1" s="51"/>
    <row r="329" ht="15.75" customHeight="1" s="51"/>
    <row r="330" ht="15.75" customHeight="1" s="51"/>
    <row r="331" ht="15.75" customHeight="1" s="51"/>
    <row r="332" ht="15.75" customHeight="1" s="51"/>
    <row r="333" ht="15.75" customHeight="1" s="51"/>
    <row r="334" ht="15.75" customHeight="1" s="51"/>
    <row r="335" ht="15.75" customHeight="1" s="51"/>
    <row r="336" ht="15.75" customHeight="1" s="51"/>
    <row r="337" ht="15.75" customHeight="1" s="51"/>
    <row r="338" ht="15.75" customHeight="1" s="51"/>
    <row r="339" ht="15.75" customHeight="1" s="51"/>
    <row r="340" ht="15.75" customHeight="1" s="51"/>
    <row r="341" ht="15.75" customHeight="1" s="51"/>
    <row r="342" ht="15.75" customHeight="1" s="51"/>
    <row r="343" ht="15.75" customHeight="1" s="51"/>
    <row r="344" ht="15.75" customHeight="1" s="51"/>
    <row r="345" ht="15.75" customHeight="1" s="51"/>
    <row r="346" ht="15.75" customHeight="1" s="51"/>
    <row r="347" ht="15.75" customHeight="1" s="51"/>
    <row r="348" ht="15.75" customHeight="1" s="51"/>
    <row r="349" ht="15.75" customHeight="1" s="51"/>
    <row r="350" ht="15.75" customHeight="1" s="51"/>
    <row r="351" ht="15.75" customHeight="1" s="51"/>
    <row r="352" ht="15.75" customHeight="1" s="51"/>
    <row r="353" ht="15.75" customHeight="1" s="51"/>
    <row r="354" ht="15.75" customHeight="1" s="51"/>
    <row r="355" ht="15.75" customHeight="1" s="51"/>
    <row r="356" ht="15.75" customHeight="1" s="51"/>
    <row r="357" ht="15.75" customHeight="1" s="51"/>
    <row r="358" ht="15.75" customHeight="1" s="51"/>
    <row r="359" ht="15.75" customHeight="1" s="51"/>
    <row r="360" ht="15.75" customHeight="1" s="51"/>
    <row r="361" ht="15.75" customHeight="1" s="51"/>
    <row r="362" ht="15.75" customHeight="1" s="51"/>
    <row r="363" ht="15.75" customHeight="1" s="51"/>
    <row r="364" ht="15.75" customHeight="1" s="51"/>
    <row r="365" ht="15.75" customHeight="1" s="51"/>
    <row r="366" ht="15.75" customHeight="1" s="51"/>
    <row r="367" ht="15.75" customHeight="1" s="51"/>
    <row r="368" ht="15.75" customHeight="1" s="51"/>
    <row r="369" ht="15.75" customHeight="1" s="51"/>
    <row r="370" ht="15.75" customHeight="1" s="51"/>
    <row r="371" ht="15.75" customHeight="1" s="51"/>
    <row r="372" ht="15.75" customHeight="1" s="51"/>
    <row r="373" ht="15.75" customHeight="1" s="51"/>
    <row r="374" ht="15.75" customHeight="1" s="51"/>
    <row r="375" ht="15.75" customHeight="1" s="51"/>
    <row r="376" ht="15.75" customHeight="1" s="51"/>
    <row r="377" ht="15.75" customHeight="1" s="51"/>
    <row r="378" ht="15.75" customHeight="1" s="51"/>
    <row r="379" ht="15.75" customHeight="1" s="51"/>
    <row r="380" ht="15.75" customHeight="1" s="51"/>
    <row r="381" ht="15.75" customHeight="1" s="51"/>
    <row r="382" ht="15.75" customHeight="1" s="51"/>
    <row r="383" ht="15.75" customHeight="1" s="51"/>
    <row r="384" ht="15.75" customHeight="1" s="51"/>
    <row r="385" ht="15.75" customHeight="1" s="51"/>
    <row r="386" ht="15.75" customHeight="1" s="51"/>
    <row r="387" ht="15.75" customHeight="1" s="51"/>
    <row r="388" ht="15.75" customHeight="1" s="51"/>
    <row r="389" ht="15.75" customHeight="1" s="51"/>
    <row r="390" ht="15.75" customHeight="1" s="51"/>
    <row r="391" ht="15.75" customHeight="1" s="51"/>
    <row r="392" ht="15.75" customHeight="1" s="51"/>
    <row r="393" ht="15.75" customHeight="1" s="51"/>
    <row r="394" ht="15.75" customHeight="1" s="51"/>
    <row r="395" ht="15.75" customHeight="1" s="51"/>
    <row r="396" ht="15.75" customHeight="1" s="51"/>
    <row r="397" ht="15.75" customHeight="1" s="51"/>
    <row r="398" ht="15.75" customHeight="1" s="51"/>
    <row r="399" ht="15.75" customHeight="1" s="51"/>
    <row r="400" ht="15.75" customHeight="1" s="51"/>
    <row r="401" ht="15.75" customHeight="1" s="51"/>
    <row r="402" ht="15.75" customHeight="1" s="51"/>
    <row r="403" ht="15.75" customHeight="1" s="51"/>
    <row r="404" ht="15.75" customHeight="1" s="51"/>
    <row r="405" ht="15.75" customHeight="1" s="51"/>
    <row r="406" ht="15.75" customHeight="1" s="51"/>
    <row r="407" ht="15.75" customHeight="1" s="51"/>
    <row r="408" ht="15.75" customHeight="1" s="51"/>
    <row r="409" ht="15.75" customHeight="1" s="51"/>
    <row r="410" ht="15.75" customHeight="1" s="51"/>
    <row r="411" ht="15.75" customHeight="1" s="51"/>
    <row r="412" ht="15.75" customHeight="1" s="51"/>
    <row r="413" ht="15.75" customHeight="1" s="51"/>
    <row r="414" ht="15.75" customHeight="1" s="51"/>
    <row r="415" ht="15.75" customHeight="1" s="51"/>
    <row r="416" ht="15.75" customHeight="1" s="51"/>
    <row r="417" ht="15.75" customHeight="1" s="51"/>
    <row r="418" ht="15.75" customHeight="1" s="51"/>
    <row r="419" ht="15.75" customHeight="1" s="51"/>
    <row r="420" ht="15.75" customHeight="1" s="51"/>
    <row r="421" ht="15.75" customHeight="1" s="51"/>
    <row r="422" ht="15.75" customHeight="1" s="51"/>
    <row r="423" ht="15.75" customHeight="1" s="51"/>
    <row r="424" ht="15.75" customHeight="1" s="51"/>
    <row r="425" ht="15.75" customHeight="1" s="51"/>
    <row r="426" ht="15.75" customHeight="1" s="51"/>
    <row r="427" ht="15.75" customHeight="1" s="51"/>
    <row r="428" ht="15.75" customHeight="1" s="51"/>
    <row r="429" ht="15.75" customHeight="1" s="51"/>
    <row r="430" ht="15.75" customHeight="1" s="51"/>
    <row r="431" ht="15.75" customHeight="1" s="51"/>
    <row r="432" ht="15.75" customHeight="1" s="51"/>
    <row r="433" ht="15.75" customHeight="1" s="51"/>
    <row r="434" ht="15.75" customHeight="1" s="51"/>
    <row r="435" ht="15.75" customHeight="1" s="51"/>
    <row r="436" ht="15.75" customHeight="1" s="51"/>
    <row r="437" ht="15.75" customHeight="1" s="51"/>
    <row r="438" ht="15.75" customHeight="1" s="51"/>
    <row r="439" ht="15.75" customHeight="1" s="51"/>
    <row r="440" ht="15.75" customHeight="1" s="51"/>
    <row r="441" ht="15.75" customHeight="1" s="51"/>
    <row r="442" ht="15.75" customHeight="1" s="51"/>
    <row r="443" ht="15.75" customHeight="1" s="51"/>
    <row r="444" ht="15.75" customHeight="1" s="51"/>
    <row r="445" ht="15.75" customHeight="1" s="51"/>
    <row r="446" ht="15.75" customHeight="1" s="51"/>
    <row r="447" ht="15.75" customHeight="1" s="51"/>
    <row r="448" ht="15.75" customHeight="1" s="51"/>
    <row r="449" ht="15.75" customHeight="1" s="51"/>
    <row r="450" ht="15.75" customHeight="1" s="51"/>
    <row r="451" ht="15.75" customHeight="1" s="51"/>
    <row r="452" ht="15.75" customHeight="1" s="51"/>
    <row r="453" ht="15.75" customHeight="1" s="51"/>
    <row r="454" ht="15.75" customHeight="1" s="51"/>
    <row r="455" ht="15.75" customHeight="1" s="51"/>
    <row r="456" ht="15.75" customHeight="1" s="51"/>
    <row r="457" ht="15.75" customHeight="1" s="51"/>
    <row r="458" ht="15.75" customHeight="1" s="51"/>
    <row r="459" ht="15.75" customHeight="1" s="51"/>
    <row r="460" ht="15.75" customHeight="1" s="51"/>
    <row r="461" ht="15.75" customHeight="1" s="51"/>
    <row r="462" ht="15.75" customHeight="1" s="51"/>
    <row r="463" ht="15.75" customHeight="1" s="51"/>
    <row r="464" ht="15.75" customHeight="1" s="51"/>
    <row r="465" ht="15.75" customHeight="1" s="51"/>
    <row r="466" ht="15.75" customHeight="1" s="51"/>
    <row r="467" ht="15.75" customHeight="1" s="51"/>
    <row r="468" ht="15.75" customHeight="1" s="51"/>
    <row r="469" ht="15.75" customHeight="1" s="51"/>
    <row r="470" ht="15.75" customHeight="1" s="51"/>
    <row r="471" ht="15.75" customHeight="1" s="51"/>
    <row r="472" ht="15.75" customHeight="1" s="51"/>
    <row r="473" ht="15.75" customHeight="1" s="51"/>
    <row r="474" ht="15.75" customHeight="1" s="51"/>
    <row r="475" ht="15.75" customHeight="1" s="51"/>
    <row r="476" ht="15.75" customHeight="1" s="51"/>
    <row r="477" ht="15.75" customHeight="1" s="51"/>
    <row r="478" ht="15.75" customHeight="1" s="51"/>
    <row r="479" ht="15.75" customHeight="1" s="51"/>
    <row r="480" ht="15.75" customHeight="1" s="51"/>
    <row r="481" ht="15.75" customHeight="1" s="51"/>
    <row r="482" ht="15.75" customHeight="1" s="51"/>
    <row r="483" ht="15.75" customHeight="1" s="51"/>
    <row r="484" ht="15.75" customHeight="1" s="51"/>
    <row r="485" ht="15.75" customHeight="1" s="51"/>
    <row r="486" ht="15.75" customHeight="1" s="51"/>
    <row r="487" ht="15.75" customHeight="1" s="51"/>
    <row r="488" ht="15.75" customHeight="1" s="51"/>
    <row r="489" ht="15.75" customHeight="1" s="51"/>
    <row r="490" ht="15.75" customHeight="1" s="51"/>
    <row r="491" ht="15.75" customHeight="1" s="51"/>
    <row r="492" ht="15.75" customHeight="1" s="51"/>
    <row r="493" ht="15.75" customHeight="1" s="51"/>
    <row r="494" ht="15.75" customHeight="1" s="51"/>
    <row r="495" ht="15.75" customHeight="1" s="51"/>
    <row r="496" ht="15.75" customHeight="1" s="51"/>
    <row r="497" ht="15.75" customHeight="1" s="51"/>
    <row r="498" ht="15.75" customHeight="1" s="51"/>
    <row r="499" ht="15.75" customHeight="1" s="51"/>
    <row r="500" ht="15.75" customHeight="1" s="51"/>
    <row r="501" ht="15.75" customHeight="1" s="51"/>
    <row r="502" ht="15.75" customHeight="1" s="51"/>
    <row r="503" ht="15.75" customHeight="1" s="51"/>
    <row r="504" ht="15.75" customHeight="1" s="51"/>
    <row r="505" ht="15.75" customHeight="1" s="51"/>
    <row r="506" ht="15.75" customHeight="1" s="51"/>
    <row r="507" ht="15.75" customHeight="1" s="51"/>
    <row r="508" ht="15.75" customHeight="1" s="51"/>
    <row r="509" ht="15.75" customHeight="1" s="51"/>
    <row r="510" ht="15.75" customHeight="1" s="51"/>
    <row r="511" ht="15.75" customHeight="1" s="51"/>
    <row r="512" ht="15.75" customHeight="1" s="51"/>
    <row r="513" ht="15.75" customHeight="1" s="51"/>
    <row r="514" ht="15.75" customHeight="1" s="51"/>
    <row r="515" ht="15.75" customHeight="1" s="51"/>
    <row r="516" ht="15.75" customHeight="1" s="51"/>
    <row r="517" ht="15.75" customHeight="1" s="51"/>
    <row r="518" ht="15.75" customHeight="1" s="51"/>
    <row r="519" ht="15.75" customHeight="1" s="51"/>
    <row r="520" ht="15.75" customHeight="1" s="51"/>
    <row r="521" ht="15.75" customHeight="1" s="51"/>
    <row r="522" ht="15.75" customHeight="1" s="51"/>
    <row r="523" ht="15.75" customHeight="1" s="51"/>
    <row r="524" ht="15.75" customHeight="1" s="51"/>
    <row r="525" ht="15.75" customHeight="1" s="51"/>
    <row r="526" ht="15.75" customHeight="1" s="51"/>
    <row r="527" ht="15.75" customHeight="1" s="51"/>
    <row r="528" ht="15.75" customHeight="1" s="51"/>
    <row r="529" ht="15.75" customHeight="1" s="51"/>
    <row r="530" ht="15.75" customHeight="1" s="51"/>
    <row r="531" ht="15.75" customHeight="1" s="51"/>
    <row r="532" ht="15.75" customHeight="1" s="51"/>
    <row r="533" ht="15.75" customHeight="1" s="51"/>
    <row r="534" ht="15.75" customHeight="1" s="51"/>
    <row r="535" ht="15.75" customHeight="1" s="51"/>
    <row r="536" ht="15.75" customHeight="1" s="51"/>
    <row r="537" ht="15.75" customHeight="1" s="51"/>
    <row r="538" ht="15.75" customHeight="1" s="51"/>
    <row r="539" ht="15.75" customHeight="1" s="51"/>
    <row r="540" ht="15.75" customHeight="1" s="51"/>
    <row r="541" ht="15.75" customHeight="1" s="51"/>
    <row r="542" ht="15.75" customHeight="1" s="51"/>
    <row r="543" ht="15.75" customHeight="1" s="51"/>
    <row r="544" ht="15.75" customHeight="1" s="51"/>
    <row r="545" ht="15.75" customHeight="1" s="51"/>
    <row r="546" ht="15.75" customHeight="1" s="51"/>
    <row r="547" ht="15.75" customHeight="1" s="51"/>
    <row r="548" ht="15.75" customHeight="1" s="51"/>
    <row r="549" ht="15.75" customHeight="1" s="51"/>
    <row r="550" ht="15.75" customHeight="1" s="51"/>
    <row r="551" ht="15.75" customHeight="1" s="51"/>
    <row r="552" ht="15.75" customHeight="1" s="51"/>
    <row r="553" ht="15.75" customHeight="1" s="51"/>
    <row r="554" ht="15.75" customHeight="1" s="51"/>
    <row r="555" ht="15.75" customHeight="1" s="51"/>
    <row r="556" ht="15.75" customHeight="1" s="51"/>
    <row r="557" ht="15.75" customHeight="1" s="51"/>
    <row r="558" ht="15.75" customHeight="1" s="51"/>
    <row r="559" ht="15.75" customHeight="1" s="51"/>
    <row r="560" ht="15.75" customHeight="1" s="51"/>
    <row r="561" ht="15.75" customHeight="1" s="51"/>
    <row r="562" ht="15.75" customHeight="1" s="51"/>
    <row r="563" ht="15.75" customHeight="1" s="51"/>
    <row r="564" ht="15.75" customHeight="1" s="51"/>
    <row r="565" ht="15.75" customHeight="1" s="51"/>
    <row r="566" ht="15.75" customHeight="1" s="51"/>
    <row r="567" ht="15.75" customHeight="1" s="51"/>
    <row r="568" ht="15.75" customHeight="1" s="51"/>
    <row r="569" ht="15.75" customHeight="1" s="51"/>
    <row r="570" ht="15.75" customHeight="1" s="51"/>
    <row r="571" ht="15.75" customHeight="1" s="51"/>
    <row r="572" ht="15.75" customHeight="1" s="51"/>
    <row r="573" ht="15.75" customHeight="1" s="51"/>
    <row r="574" ht="15.75" customHeight="1" s="51"/>
    <row r="575" ht="15.75" customHeight="1" s="51"/>
    <row r="576" ht="15.75" customHeight="1" s="51"/>
    <row r="577" ht="15.75" customHeight="1" s="51"/>
    <row r="578" ht="15.75" customHeight="1" s="51"/>
    <row r="579" ht="15.75" customHeight="1" s="51"/>
    <row r="580" ht="15.75" customHeight="1" s="51"/>
    <row r="581" ht="15.75" customHeight="1" s="51"/>
    <row r="582" ht="15.75" customHeight="1" s="51"/>
    <row r="583" ht="15.75" customHeight="1" s="51"/>
    <row r="584" ht="15.75" customHeight="1" s="51"/>
    <row r="585" ht="15.75" customHeight="1" s="51"/>
    <row r="586" ht="15.75" customHeight="1" s="51"/>
    <row r="587" ht="15.75" customHeight="1" s="51"/>
    <row r="588" ht="15.75" customHeight="1" s="51"/>
    <row r="589" ht="15.75" customHeight="1" s="51"/>
    <row r="590" ht="15.75" customHeight="1" s="51"/>
    <row r="591" ht="15.75" customHeight="1" s="51"/>
    <row r="592" ht="15.75" customHeight="1" s="51"/>
    <row r="593" ht="15.75" customHeight="1" s="51"/>
    <row r="594" ht="15.75" customHeight="1" s="51"/>
    <row r="595" ht="15.75" customHeight="1" s="51"/>
    <row r="596" ht="15.75" customHeight="1" s="51"/>
    <row r="597" ht="15.75" customHeight="1" s="51"/>
    <row r="598" ht="15.75" customHeight="1" s="51"/>
    <row r="599" ht="15.75" customHeight="1" s="51"/>
    <row r="600" ht="15.75" customHeight="1" s="51"/>
    <row r="601" ht="15.75" customHeight="1" s="51"/>
    <row r="602" ht="15.75" customHeight="1" s="51"/>
    <row r="603" ht="15.75" customHeight="1" s="51"/>
    <row r="604" ht="15.75" customHeight="1" s="51"/>
    <row r="605" ht="15.75" customHeight="1" s="51"/>
    <row r="606" ht="15.75" customHeight="1" s="51"/>
    <row r="607" ht="15.75" customHeight="1" s="51"/>
    <row r="608" ht="15.75" customHeight="1" s="51"/>
    <row r="609" ht="15.75" customHeight="1" s="51"/>
    <row r="610" ht="15.75" customHeight="1" s="51"/>
    <row r="611" ht="15.75" customHeight="1" s="51"/>
    <row r="612" ht="15.75" customHeight="1" s="51"/>
    <row r="613" ht="15.75" customHeight="1" s="51"/>
    <row r="614" ht="15.75" customHeight="1" s="51"/>
    <row r="615" ht="15.75" customHeight="1" s="51"/>
    <row r="616" ht="15.75" customHeight="1" s="51"/>
    <row r="617" ht="15.75" customHeight="1" s="51"/>
    <row r="618" ht="15.75" customHeight="1" s="51"/>
    <row r="619" ht="15.75" customHeight="1" s="51"/>
    <row r="620" ht="15.75" customHeight="1" s="51"/>
    <row r="621" ht="15.75" customHeight="1" s="51"/>
    <row r="622" ht="15.75" customHeight="1" s="51"/>
    <row r="623" ht="15.75" customHeight="1" s="51"/>
    <row r="624" ht="15.75" customHeight="1" s="51"/>
    <row r="625" ht="15.75" customHeight="1" s="51"/>
    <row r="626" ht="15.75" customHeight="1" s="51"/>
    <row r="627" ht="15.75" customHeight="1" s="51"/>
    <row r="628" ht="15.75" customHeight="1" s="51"/>
    <row r="629" ht="15.75" customHeight="1" s="51"/>
    <row r="630" ht="15.75" customHeight="1" s="51"/>
    <row r="631" ht="15.75" customHeight="1" s="51"/>
    <row r="632" ht="15.75" customHeight="1" s="51"/>
    <row r="633" ht="15.75" customHeight="1" s="51"/>
    <row r="634" ht="15.75" customHeight="1" s="51"/>
    <row r="635" ht="15.75" customHeight="1" s="51"/>
    <row r="636" ht="15.75" customHeight="1" s="51"/>
    <row r="637" ht="15.75" customHeight="1" s="51"/>
    <row r="638" ht="15.75" customHeight="1" s="51"/>
    <row r="639" ht="15.75" customHeight="1" s="51"/>
    <row r="640" ht="15.75" customHeight="1" s="51"/>
    <row r="641" ht="15.75" customHeight="1" s="51"/>
    <row r="642" ht="15.75" customHeight="1" s="51"/>
    <row r="643" ht="15.75" customHeight="1" s="51"/>
    <row r="644" ht="15.75" customHeight="1" s="51"/>
    <row r="645" ht="15.75" customHeight="1" s="51"/>
    <row r="646" ht="15.75" customHeight="1" s="51"/>
    <row r="647" ht="15.75" customHeight="1" s="51"/>
    <row r="648" ht="15.75" customHeight="1" s="51"/>
    <row r="649" ht="15.75" customHeight="1" s="51"/>
    <row r="650" ht="15.75" customHeight="1" s="51"/>
    <row r="651" ht="15.75" customHeight="1" s="51"/>
    <row r="652" ht="15.75" customHeight="1" s="51"/>
    <row r="653" ht="15.75" customHeight="1" s="51"/>
    <row r="654" ht="15.75" customHeight="1" s="51"/>
    <row r="655" ht="15.75" customHeight="1" s="51"/>
    <row r="656" ht="15.75" customHeight="1" s="51"/>
    <row r="657" ht="15.75" customHeight="1" s="51"/>
    <row r="658" ht="15.75" customHeight="1" s="51"/>
    <row r="659" ht="15.75" customHeight="1" s="51"/>
    <row r="660" ht="15.75" customHeight="1" s="51"/>
    <row r="661" ht="15.75" customHeight="1" s="51"/>
    <row r="662" ht="15.75" customHeight="1" s="51"/>
    <row r="663" ht="15.75" customHeight="1" s="51"/>
    <row r="664" ht="15.75" customHeight="1" s="51"/>
    <row r="665" ht="15.75" customHeight="1" s="51"/>
    <row r="666" ht="15.75" customHeight="1" s="51"/>
    <row r="667" ht="15.75" customHeight="1" s="51"/>
    <row r="668" ht="15.75" customHeight="1" s="51"/>
    <row r="669" ht="15.75" customHeight="1" s="51"/>
    <row r="670" ht="15.75" customHeight="1" s="51"/>
    <row r="671" ht="15.75" customHeight="1" s="51"/>
    <row r="672" ht="15.75" customHeight="1" s="51"/>
    <row r="673" ht="15.75" customHeight="1" s="51"/>
    <row r="674" ht="15.75" customHeight="1" s="51"/>
    <row r="675" ht="15.75" customHeight="1" s="51"/>
    <row r="676" ht="15.75" customHeight="1" s="51"/>
    <row r="677" ht="15.75" customHeight="1" s="51"/>
    <row r="678" ht="15.75" customHeight="1" s="51"/>
    <row r="679" ht="15.75" customHeight="1" s="51"/>
    <row r="680" ht="15.75" customHeight="1" s="51"/>
    <row r="681" ht="15.75" customHeight="1" s="51"/>
    <row r="682" ht="15.75" customHeight="1" s="51"/>
    <row r="683" ht="15.75" customHeight="1" s="51"/>
    <row r="684" ht="15.75" customHeight="1" s="51"/>
    <row r="685" ht="15.75" customHeight="1" s="51"/>
    <row r="686" ht="15.75" customHeight="1" s="51"/>
    <row r="687" ht="15.75" customHeight="1" s="51"/>
    <row r="688" ht="15.75" customHeight="1" s="51"/>
    <row r="689" ht="15.75" customHeight="1" s="51"/>
    <row r="690" ht="15.75" customHeight="1" s="51"/>
    <row r="691" ht="15.75" customHeight="1" s="51"/>
    <row r="692" ht="15.75" customHeight="1" s="51"/>
    <row r="693" ht="15.75" customHeight="1" s="51"/>
    <row r="694" ht="15.75" customHeight="1" s="51"/>
    <row r="695" ht="15.75" customHeight="1" s="51"/>
    <row r="696" ht="15.75" customHeight="1" s="51"/>
    <row r="697" ht="15.75" customHeight="1" s="51"/>
    <row r="698" ht="15.75" customHeight="1" s="51"/>
    <row r="699" ht="15.75" customHeight="1" s="51"/>
    <row r="700" ht="15.75" customHeight="1" s="51"/>
    <row r="701" ht="15.75" customHeight="1" s="51"/>
    <row r="702" ht="15.75" customHeight="1" s="51"/>
    <row r="703" ht="15.75" customHeight="1" s="51"/>
    <row r="704" ht="15.75" customHeight="1" s="51"/>
    <row r="705" ht="15.75" customHeight="1" s="51"/>
    <row r="706" ht="15.75" customHeight="1" s="51"/>
    <row r="707" ht="15.75" customHeight="1" s="51"/>
    <row r="708" ht="15.75" customHeight="1" s="51"/>
    <row r="709" ht="15.75" customHeight="1" s="51"/>
    <row r="710" ht="15.75" customHeight="1" s="51"/>
    <row r="711" ht="15.75" customHeight="1" s="51"/>
    <row r="712" ht="15.75" customHeight="1" s="51"/>
    <row r="713" ht="15.75" customHeight="1" s="51"/>
    <row r="714" ht="15.75" customHeight="1" s="51"/>
    <row r="715" ht="15.75" customHeight="1" s="51"/>
    <row r="716" ht="15.75" customHeight="1" s="51"/>
    <row r="717" ht="15.75" customHeight="1" s="51"/>
    <row r="718" ht="15.75" customHeight="1" s="51"/>
    <row r="719" ht="15.75" customHeight="1" s="51"/>
    <row r="720" ht="15.75" customHeight="1" s="51"/>
    <row r="721" ht="15.75" customHeight="1" s="51"/>
    <row r="722" ht="15.75" customHeight="1" s="51"/>
    <row r="723" ht="15.75" customHeight="1" s="51"/>
    <row r="724" ht="15.75" customHeight="1" s="51"/>
    <row r="725" ht="15.75" customHeight="1" s="51"/>
    <row r="726" ht="15.75" customHeight="1" s="51"/>
    <row r="727" ht="15.75" customHeight="1" s="51"/>
    <row r="728" ht="15.75" customHeight="1" s="51"/>
    <row r="729" ht="15.75" customHeight="1" s="51"/>
    <row r="730" ht="15.75" customHeight="1" s="51"/>
    <row r="731" ht="15.75" customHeight="1" s="51"/>
    <row r="732" ht="15.75" customHeight="1" s="51"/>
    <row r="733" ht="15.75" customHeight="1" s="51"/>
    <row r="734" ht="15.75" customHeight="1" s="51"/>
    <row r="735" ht="15.75" customHeight="1" s="51"/>
    <row r="736" ht="15.75" customHeight="1" s="51"/>
    <row r="737" ht="15.75" customHeight="1" s="51"/>
    <row r="738" ht="15.75" customHeight="1" s="51"/>
    <row r="739" ht="15.75" customHeight="1" s="51"/>
    <row r="740" ht="15.75" customHeight="1" s="51"/>
    <row r="741" ht="15.75" customHeight="1" s="51"/>
    <row r="742" ht="15.75" customHeight="1" s="51"/>
    <row r="743" ht="15.75" customHeight="1" s="51"/>
    <row r="744" ht="15.75" customHeight="1" s="51"/>
    <row r="745" ht="15.75" customHeight="1" s="51"/>
    <row r="746" ht="15.75" customHeight="1" s="51"/>
    <row r="747" ht="15.75" customHeight="1" s="51"/>
    <row r="748" ht="15.75" customHeight="1" s="51"/>
    <row r="749" ht="15.75" customHeight="1" s="51"/>
    <row r="750" ht="15.75" customHeight="1" s="51"/>
    <row r="751" ht="15.75" customHeight="1" s="51"/>
    <row r="752" ht="15.75" customHeight="1" s="51"/>
    <row r="753" ht="15.75" customHeight="1" s="51"/>
    <row r="754" ht="15.75" customHeight="1" s="51"/>
    <row r="755" ht="15.75" customHeight="1" s="51"/>
    <row r="756" ht="15.75" customHeight="1" s="51"/>
    <row r="757" ht="15.75" customHeight="1" s="51"/>
    <row r="758" ht="15.75" customHeight="1" s="51"/>
    <row r="759" ht="15.75" customHeight="1" s="51"/>
    <row r="760" ht="15.75" customHeight="1" s="51"/>
    <row r="761" ht="15.75" customHeight="1" s="51"/>
    <row r="762" ht="15.75" customHeight="1" s="51"/>
    <row r="763" ht="15.75" customHeight="1" s="51"/>
    <row r="764" ht="15.75" customHeight="1" s="51"/>
    <row r="765" ht="15.75" customHeight="1" s="51"/>
    <row r="766" ht="15.75" customHeight="1" s="51"/>
    <row r="767" ht="15.75" customHeight="1" s="51"/>
    <row r="768" ht="15.75" customHeight="1" s="51"/>
    <row r="769" ht="15.75" customHeight="1" s="51"/>
    <row r="770" ht="15.75" customHeight="1" s="51"/>
    <row r="771" ht="15.75" customHeight="1" s="51"/>
    <row r="772" ht="15.75" customHeight="1" s="51"/>
    <row r="773" ht="15.75" customHeight="1" s="51"/>
    <row r="774" ht="15.75" customHeight="1" s="51"/>
    <row r="775" ht="15.75" customHeight="1" s="51"/>
    <row r="776" ht="15.75" customHeight="1" s="51"/>
    <row r="777" ht="15.75" customHeight="1" s="51"/>
    <row r="778" ht="15.75" customHeight="1" s="51"/>
    <row r="779" ht="15.75" customHeight="1" s="51"/>
    <row r="780" ht="15.75" customHeight="1" s="51"/>
    <row r="781" ht="15.75" customHeight="1" s="51"/>
    <row r="782" ht="15.75" customHeight="1" s="51"/>
    <row r="783" ht="15.75" customHeight="1" s="51"/>
    <row r="784" ht="15.75" customHeight="1" s="51"/>
    <row r="785" ht="15.75" customHeight="1" s="51"/>
    <row r="786" ht="15.75" customHeight="1" s="51"/>
    <row r="787" ht="15.75" customHeight="1" s="51"/>
    <row r="788" ht="15.75" customHeight="1" s="51"/>
    <row r="789" ht="15.75" customHeight="1" s="51"/>
    <row r="790" ht="15.75" customHeight="1" s="51"/>
    <row r="791" ht="15.75" customHeight="1" s="51"/>
    <row r="792" ht="15.75" customHeight="1" s="51"/>
    <row r="793" ht="15.75" customHeight="1" s="51"/>
    <row r="794" ht="15.75" customHeight="1" s="51"/>
    <row r="795" ht="15.75" customHeight="1" s="51"/>
    <row r="796" ht="15.75" customHeight="1" s="51"/>
    <row r="797" ht="15.75" customHeight="1" s="51"/>
    <row r="798" ht="15.75" customHeight="1" s="51"/>
    <row r="799" ht="15.75" customHeight="1" s="51"/>
    <row r="800" ht="15.75" customHeight="1" s="51"/>
    <row r="801" ht="15.75" customHeight="1" s="51"/>
    <row r="802" ht="15.75" customHeight="1" s="51"/>
    <row r="803" ht="15.75" customHeight="1" s="51"/>
    <row r="804" ht="15.75" customHeight="1" s="51"/>
    <row r="805" ht="15.75" customHeight="1" s="51"/>
    <row r="806" ht="15.75" customHeight="1" s="51"/>
    <row r="807" ht="15.75" customHeight="1" s="51"/>
    <row r="808" ht="15.75" customHeight="1" s="51"/>
    <row r="809" ht="15.75" customHeight="1" s="51"/>
    <row r="810" ht="15.75" customHeight="1" s="51"/>
    <row r="811" ht="15.75" customHeight="1" s="51"/>
    <row r="812" ht="15.75" customHeight="1" s="51"/>
    <row r="813" ht="15.75" customHeight="1" s="51"/>
    <row r="814" ht="15.75" customHeight="1" s="51"/>
    <row r="815" ht="15.75" customHeight="1" s="51"/>
    <row r="816" ht="15.75" customHeight="1" s="51"/>
    <row r="817" ht="15.75" customHeight="1" s="51"/>
    <row r="818" ht="15.75" customHeight="1" s="51"/>
    <row r="819" ht="15.75" customHeight="1" s="51"/>
    <row r="820" ht="15.75" customHeight="1" s="51"/>
    <row r="821" ht="15.75" customHeight="1" s="51"/>
    <row r="822" ht="15.75" customHeight="1" s="51"/>
    <row r="823" ht="15.75" customHeight="1" s="51"/>
    <row r="824" ht="15.75" customHeight="1" s="51"/>
    <row r="825" ht="15.75" customHeight="1" s="51"/>
    <row r="826" ht="15.75" customHeight="1" s="51"/>
    <row r="827" ht="15.75" customHeight="1" s="51"/>
    <row r="828" ht="15.75" customHeight="1" s="51"/>
    <row r="829" ht="15.75" customHeight="1" s="51"/>
    <row r="830" ht="15.75" customHeight="1" s="51"/>
    <row r="831" ht="15.75" customHeight="1" s="51"/>
    <row r="832" ht="15.75" customHeight="1" s="51"/>
    <row r="833" ht="15.75" customHeight="1" s="51"/>
    <row r="834" ht="15.75" customHeight="1" s="51"/>
    <row r="835" ht="15.75" customHeight="1" s="51"/>
    <row r="836" ht="15.75" customHeight="1" s="51"/>
    <row r="837" ht="15.75" customHeight="1" s="51"/>
    <row r="838" ht="15.75" customHeight="1" s="51"/>
    <row r="839" ht="15.75" customHeight="1" s="51"/>
    <row r="840" ht="15.75" customHeight="1" s="51"/>
    <row r="841" ht="15.75" customHeight="1" s="51"/>
    <row r="842" ht="15.75" customHeight="1" s="51"/>
    <row r="843" ht="15.75" customHeight="1" s="51"/>
    <row r="844" ht="15.75" customHeight="1" s="51"/>
    <row r="845" ht="15.75" customHeight="1" s="51"/>
    <row r="846" ht="15.75" customHeight="1" s="51"/>
    <row r="847" ht="15.75" customHeight="1" s="51"/>
    <row r="848" ht="15.75" customHeight="1" s="51"/>
    <row r="849" ht="15.75" customHeight="1" s="51"/>
    <row r="850" ht="15.75" customHeight="1" s="51"/>
    <row r="851" ht="15.75" customHeight="1" s="51"/>
    <row r="852" ht="15.75" customHeight="1" s="51"/>
    <row r="853" ht="15.75" customHeight="1" s="51"/>
    <row r="854" ht="15.75" customHeight="1" s="51"/>
    <row r="855" ht="15.75" customHeight="1" s="51"/>
    <row r="856" ht="15.75" customHeight="1" s="51"/>
    <row r="857" ht="15.75" customHeight="1" s="51"/>
    <row r="858" ht="15.75" customHeight="1" s="51"/>
    <row r="859" ht="15.75" customHeight="1" s="51"/>
    <row r="860" ht="15.75" customHeight="1" s="51"/>
    <row r="861" ht="15.75" customHeight="1" s="51"/>
    <row r="862" ht="15.75" customHeight="1" s="51"/>
    <row r="863" ht="15.75" customHeight="1" s="51"/>
    <row r="864" ht="15.75" customHeight="1" s="51"/>
    <row r="865" ht="15.75" customHeight="1" s="51"/>
    <row r="866" ht="15.75" customHeight="1" s="51"/>
    <row r="867" ht="15.75" customHeight="1" s="51"/>
    <row r="868" ht="15.75" customHeight="1" s="51"/>
    <row r="869" ht="15.75" customHeight="1" s="51"/>
    <row r="870" ht="15.75" customHeight="1" s="51"/>
    <row r="871" ht="15.75" customHeight="1" s="51"/>
    <row r="872" ht="15.75" customHeight="1" s="51"/>
    <row r="873" ht="15.75" customHeight="1" s="51"/>
    <row r="874" ht="15.75" customHeight="1" s="51"/>
    <row r="875" ht="15.75" customHeight="1" s="51"/>
    <row r="876" ht="15.75" customHeight="1" s="51"/>
    <row r="877" ht="15.75" customHeight="1" s="51"/>
    <row r="878" ht="15.75" customHeight="1" s="51"/>
    <row r="879" ht="15.75" customHeight="1" s="51"/>
    <row r="880" ht="15.75" customHeight="1" s="51"/>
    <row r="881" ht="15.75" customHeight="1" s="51"/>
    <row r="882" ht="15.75" customHeight="1" s="51"/>
    <row r="883" ht="15.75" customHeight="1" s="51"/>
    <row r="884" ht="15.75" customHeight="1" s="51"/>
    <row r="885" ht="15.75" customHeight="1" s="51"/>
    <row r="886" ht="15.75" customHeight="1" s="51"/>
    <row r="887" ht="15.75" customHeight="1" s="51"/>
    <row r="888" ht="15.75" customHeight="1" s="51"/>
    <row r="889" ht="15.75" customHeight="1" s="51"/>
    <row r="890" ht="15.75" customHeight="1" s="51"/>
    <row r="891" ht="15.75" customHeight="1" s="51"/>
    <row r="892" ht="15.75" customHeight="1" s="51"/>
    <row r="893" ht="15.75" customHeight="1" s="51"/>
    <row r="894" ht="15.75" customHeight="1" s="51"/>
    <row r="895" ht="15.75" customHeight="1" s="51"/>
    <row r="896" ht="15.75" customHeight="1" s="51"/>
    <row r="897" ht="15.75" customHeight="1" s="51"/>
    <row r="898" ht="15.75" customHeight="1" s="51"/>
    <row r="899" ht="15.75" customHeight="1" s="51"/>
    <row r="900" ht="15.75" customHeight="1" s="51"/>
    <row r="901" ht="15.75" customHeight="1" s="51"/>
    <row r="902" ht="15.75" customHeight="1" s="51"/>
    <row r="903" ht="15.75" customHeight="1" s="51"/>
    <row r="904" ht="15.75" customHeight="1" s="51"/>
    <row r="905" ht="15.75" customHeight="1" s="51"/>
    <row r="906" ht="15.75" customHeight="1" s="51"/>
    <row r="907" ht="15.75" customHeight="1" s="51"/>
    <row r="908" ht="15.75" customHeight="1" s="51"/>
    <row r="909" ht="15.75" customHeight="1" s="51"/>
    <row r="910" ht="15.75" customHeight="1" s="51"/>
    <row r="911" ht="15.75" customHeight="1" s="51"/>
    <row r="912" ht="15.75" customHeight="1" s="51"/>
    <row r="913" ht="15.75" customHeight="1" s="51"/>
    <row r="914" ht="15.75" customHeight="1" s="51"/>
    <row r="915" ht="15.75" customHeight="1" s="51"/>
    <row r="916" ht="15.75" customHeight="1" s="51"/>
    <row r="917" ht="15.75" customHeight="1" s="51"/>
    <row r="918" ht="15.75" customHeight="1" s="51"/>
    <row r="919" ht="15.75" customHeight="1" s="51"/>
    <row r="920" ht="15.75" customHeight="1" s="51"/>
    <row r="921" ht="15.75" customHeight="1" s="51"/>
    <row r="922" ht="15.75" customHeight="1" s="51"/>
    <row r="923" ht="15.75" customHeight="1" s="51"/>
    <row r="924" ht="15.75" customHeight="1" s="51"/>
    <row r="925" ht="15.75" customHeight="1" s="51"/>
    <row r="926" ht="15.75" customHeight="1" s="51"/>
    <row r="927" ht="15.75" customHeight="1" s="51"/>
    <row r="928" ht="15.75" customHeight="1" s="51"/>
    <row r="929" ht="15.75" customHeight="1" s="51"/>
    <row r="930" ht="15.75" customHeight="1" s="51"/>
    <row r="931" ht="15.75" customHeight="1" s="51"/>
    <row r="932" ht="15.75" customHeight="1" s="51"/>
    <row r="933" ht="15.75" customHeight="1" s="51"/>
    <row r="934" ht="15.75" customHeight="1" s="51"/>
    <row r="935" ht="15.75" customHeight="1" s="51"/>
    <row r="936" ht="15.75" customHeight="1" s="51"/>
    <row r="937" ht="15.75" customHeight="1" s="51"/>
    <row r="938" ht="15.75" customHeight="1" s="51"/>
    <row r="939" ht="15.75" customHeight="1" s="51"/>
    <row r="940" ht="15.75" customHeight="1" s="51"/>
    <row r="941" ht="15.75" customHeight="1" s="51"/>
    <row r="942" ht="15.75" customHeight="1" s="51"/>
    <row r="943" ht="15.75" customHeight="1" s="51"/>
    <row r="944" ht="15.75" customHeight="1" s="51"/>
    <row r="945" ht="15.75" customHeight="1" s="51"/>
    <row r="946" ht="15.75" customHeight="1" s="51"/>
    <row r="947" ht="15.75" customHeight="1" s="51"/>
    <row r="948" ht="15.75" customHeight="1" s="51"/>
    <row r="949" ht="15.75" customHeight="1" s="51"/>
    <row r="950" ht="15.75" customHeight="1" s="51"/>
    <row r="951" ht="15.75" customHeight="1" s="51"/>
    <row r="952" ht="15.75" customHeight="1" s="51"/>
    <row r="953" ht="15.75" customHeight="1" s="51"/>
    <row r="954" ht="15.75" customHeight="1" s="51"/>
    <row r="955" ht="15.75" customHeight="1" s="51"/>
    <row r="956" ht="15.75" customHeight="1" s="51"/>
    <row r="957" ht="15.75" customHeight="1" s="51"/>
    <row r="958" ht="15.75" customHeight="1" s="51"/>
    <row r="959" ht="15.75" customHeight="1" s="51"/>
    <row r="960" ht="15.75" customHeight="1" s="51"/>
    <row r="961" ht="15.75" customHeight="1" s="51"/>
    <row r="962" ht="15.75" customHeight="1" s="51"/>
    <row r="963" ht="15.75" customHeight="1" s="51"/>
    <row r="964" ht="15.75" customHeight="1" s="51"/>
    <row r="965" ht="15.75" customHeight="1" s="51"/>
    <row r="966" ht="15.75" customHeight="1" s="51"/>
    <row r="967" ht="15.75" customHeight="1" s="51"/>
    <row r="968" ht="15.75" customHeight="1" s="51"/>
    <row r="969" ht="15.75" customHeight="1" s="51"/>
    <row r="970" ht="15.75" customHeight="1" s="51"/>
    <row r="971" ht="15.75" customHeight="1" s="51"/>
    <row r="972" ht="15.75" customHeight="1" s="51"/>
    <row r="973" ht="15.75" customHeight="1" s="51"/>
    <row r="974" ht="15.75" customHeight="1" s="51"/>
    <row r="975" ht="15.75" customHeight="1" s="51"/>
    <row r="976" ht="15.75" customHeight="1" s="51"/>
    <row r="977" ht="15.75" customHeight="1" s="51"/>
    <row r="978" ht="15.75" customHeight="1" s="51"/>
    <row r="979" ht="15.75" customHeight="1" s="51"/>
    <row r="980" ht="15.75" customHeight="1" s="51"/>
    <row r="981" ht="15.75" customHeight="1" s="51"/>
    <row r="982" ht="15.75" customHeight="1" s="51"/>
    <row r="983" ht="15.75" customHeight="1" s="51"/>
    <row r="984" ht="15.75" customHeight="1" s="51"/>
    <row r="985" ht="15.75" customHeight="1" s="51"/>
    <row r="986" ht="15.75" customHeight="1" s="51"/>
    <row r="987" ht="15.75" customHeight="1" s="51"/>
    <row r="988" ht="15.75" customHeight="1" s="51"/>
    <row r="989" ht="15.75" customHeight="1" s="51"/>
    <row r="990" ht="15.75" customHeight="1" s="51"/>
    <row r="991" ht="15.75" customHeight="1" s="51"/>
    <row r="992" ht="15.75" customHeight="1" s="51"/>
    <row r="993" ht="15.75" customHeight="1" s="51"/>
    <row r="994" ht="15.75" customHeight="1" s="51"/>
    <row r="995" ht="15.75" customHeight="1" s="51"/>
    <row r="996" ht="15.75" customHeight="1" s="51"/>
    <row r="997" ht="15.75" customHeight="1" s="51"/>
    <row r="998" ht="15.75" customHeight="1" s="51"/>
    <row r="999" ht="15.75" customHeight="1" s="51"/>
    <row r="1000" ht="15.75" customHeight="1" s="51"/>
  </sheetData>
  <mergeCells count="6">
    <mergeCell ref="A50:H50"/>
    <mergeCell ref="A4:H4"/>
    <mergeCell ref="A2:I2"/>
    <mergeCell ref="A25:H25"/>
    <mergeCell ref="A1:I1"/>
    <mergeCell ref="A23:H23"/>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G28"/>
  <sheetViews>
    <sheetView workbookViewId="0">
      <pane ySplit="4" topLeftCell="A5" activePane="bottomLeft" state="frozen"/>
      <selection pane="bottomLeft" activeCell="B6" sqref="B6"/>
    </sheetView>
  </sheetViews>
  <sheetFormatPr baseColWidth="8" defaultColWidth="14.43" defaultRowHeight="15" customHeight="1"/>
  <cols>
    <col width="36" customWidth="1" style="51" min="1" max="1"/>
    <col width="16" customWidth="1" style="51" min="2" max="3"/>
    <col width="18" customWidth="1" style="51" min="4" max="4"/>
    <col width="50" customWidth="1" style="51" min="5" max="5"/>
    <col width="9" customWidth="1" style="51" min="6" max="6"/>
    <col width="12" customWidth="1" style="51" min="7" max="26"/>
  </cols>
  <sheetData>
    <row r="1" ht="25.5" customHeight="1" s="51">
      <c r="A1" s="52" t="inlineStr">
        <is>
          <t>INCOME &amp; EXPENSE SUMMARY</t>
        </is>
      </c>
    </row>
    <row r="2" ht="13.5" customHeight="1" s="51">
      <c r="A2" s="53" t="inlineStr">
        <is>
          <t>Operating income, expense &amp; net by property and year (cash/tax basis as noted)</t>
        </is>
      </c>
    </row>
    <row r="4" ht="27.75" customHeight="1" s="51">
      <c r="A4" s="6" t="inlineStr">
        <is>
          <t>Property / Year</t>
        </is>
      </c>
      <c r="B4" s="6" t="inlineStr">
        <is>
          <t>Total Income</t>
        </is>
      </c>
      <c r="C4" s="6" t="inlineStr">
        <is>
          <t>Total Expense</t>
        </is>
      </c>
      <c r="D4" s="6" t="inlineStr">
        <is>
          <t>Net Income / (Loss)</t>
        </is>
      </c>
      <c r="E4" s="6" t="inlineStr">
        <is>
          <t>Basis / Source</t>
        </is>
      </c>
      <c r="F4" s="9" t="inlineStr">
        <is>
          <t>Batch</t>
        </is>
      </c>
      <c r="G4" s="9" t="inlineStr">
        <is>
          <t>OCCC Code</t>
        </is>
      </c>
    </row>
    <row r="5">
      <c r="A5" s="26" t="inlineStr">
        <is>
          <t>5970 Marion Drive — FY2024</t>
        </is>
      </c>
      <c r="B5" s="33" t="n">
        <v>249672.2</v>
      </c>
      <c r="C5" s="33" t="n">
        <v>162774.36</v>
      </c>
      <c r="D5" s="34">
        <f>B5-C5</f>
        <v/>
      </c>
      <c r="E5" s="12" t="inlineStr">
        <is>
          <t>5970_Marion 2024 P&amp;L (cash; incl. debt svc &amp; taxes)</t>
        </is>
      </c>
      <c r="G5" t="inlineStr">
        <is>
          <t>IND-2U</t>
        </is>
      </c>
    </row>
    <row r="6">
      <c r="A6" s="26" t="inlineStr">
        <is>
          <t>5970 Marion Drive — FY2023</t>
        </is>
      </c>
      <c r="B6" s="33" t="n">
        <v>247311.55</v>
      </c>
      <c r="C6" s="33" t="n">
        <v>188635.46</v>
      </c>
      <c r="D6" s="34">
        <f>B6-C6</f>
        <v/>
      </c>
      <c r="E6" s="12" t="inlineStr">
        <is>
          <t>2023 Cash Flow (cash; incl. debt svc &amp; taxes)</t>
        </is>
      </c>
      <c r="G6" t="inlineStr">
        <is>
          <t>IND-2U</t>
        </is>
      </c>
    </row>
    <row r="7">
      <c r="A7" s="26" t="inlineStr">
        <is>
          <t>2011 E 58th (TempTee) — 2024 survey</t>
        </is>
      </c>
      <c r="B7" s="33" t="n"/>
      <c r="C7" s="33" t="n">
        <v>138050</v>
      </c>
      <c r="D7" s="35" t="inlineStr">
        <is>
          <t>—</t>
        </is>
      </c>
      <c r="E7" s="12" t="inlineStr">
        <is>
          <t>Owner-occupied; reported OpEx only ('in house' items = $0)</t>
        </is>
      </c>
      <c r="G7" t="inlineStr">
        <is>
          <t>IND-MFG</t>
        </is>
      </c>
    </row>
    <row r="8">
      <c r="A8" s="26" t="inlineStr">
        <is>
          <t>125 Bridge St (Broadview) — Form 8825</t>
        </is>
      </c>
      <c r="B8" s="33" t="n">
        <v>307817</v>
      </c>
      <c r="C8" s="33" t="n">
        <v>316181</v>
      </c>
      <c r="D8" s="34">
        <f>B8-C8</f>
        <v/>
      </c>
      <c r="E8" s="12" t="inlineStr">
        <is>
          <t>IRS Form 8825 (tax basis; incl. depreciation, amort. &amp; interest)</t>
        </is>
      </c>
      <c r="G8" t="inlineStr">
        <is>
          <t>COM-MT</t>
        </is>
      </c>
    </row>
    <row r="9">
      <c r="A9" s="17" t="inlineStr">
        <is>
          <t>Majestic Commercenter Bldg 12 — FY2024 (actual, 100% vacant)</t>
        </is>
      </c>
      <c r="B9" s="36" t="n">
        <v>0</v>
      </c>
      <c r="C9" s="36" t="n">
        <v>469407.03</v>
      </c>
      <c r="D9" s="36">
        <f>B9-C9</f>
        <v/>
      </c>
      <c r="E9" s="17" t="inlineStr">
        <is>
          <t>12-mo detail income statement (accrual; incl. RE taxes, depr/amort); property 100% vacant all year</t>
        </is>
      </c>
      <c r="F9" s="18" t="inlineStr">
        <is>
          <t>584</t>
        </is>
      </c>
      <c r="G9" s="18" t="inlineStr">
        <is>
          <t>IND-WH</t>
        </is>
      </c>
    </row>
    <row r="10" ht="27.75" customHeight="1" s="51">
      <c r="A10" s="17" t="inlineStr">
        <is>
          <t>Majestic Commercenter Bldg 11 — FY2024 (actual)</t>
        </is>
      </c>
      <c r="B10" s="36" t="n">
        <v>53330.06</v>
      </c>
      <c r="C10" s="36" t="n">
        <v>349663.61</v>
      </c>
      <c r="D10" s="36">
        <f>B10-C10</f>
        <v/>
      </c>
      <c r="E10" s="17" t="inlineStr">
        <is>
          <t>12-mo detail income statement (accrual; incl. depr/amort); building 100% vacant, minor concession/reimb income only</t>
        </is>
      </c>
      <c r="F10" s="18" t="inlineStr">
        <is>
          <t>584</t>
        </is>
      </c>
      <c r="G10" s="18" t="inlineStr">
        <is>
          <t>IND-WH</t>
        </is>
      </c>
    </row>
    <row r="11">
      <c r="A11" s="17" t="inlineStr">
        <is>
          <t>2780 North Tower Road, LLC — FY2024</t>
        </is>
      </c>
      <c r="B11" s="36" t="n">
        <v>3047376</v>
      </c>
      <c r="C11" s="36" t="n">
        <v>515200</v>
      </c>
      <c r="D11" s="36">
        <f>B11-C11</f>
        <v/>
      </c>
      <c r="E11" s="17" t="inlineStr">
        <is>
          <t>Accrual P&amp;L (excl. interest/other, see detail); includes depreciation &amp; amortization</t>
        </is>
      </c>
      <c r="F11" s="18" t="inlineStr">
        <is>
          <t>584</t>
        </is>
      </c>
      <c r="G11" s="18" t="inlineStr">
        <is>
          <t>IND-DIST</t>
        </is>
      </c>
    </row>
    <row r="12">
      <c r="A12" s="17" t="inlineStr">
        <is>
          <t>2780 North Tower Road, LLC — FY2023</t>
        </is>
      </c>
      <c r="B12" s="36" t="n">
        <v>2979661</v>
      </c>
      <c r="C12" s="36" t="n">
        <v>497459</v>
      </c>
      <c r="D12" s="36">
        <f>B12-C12</f>
        <v/>
      </c>
      <c r="E12" s="17" t="inlineStr">
        <is>
          <t>Accrual P&amp;L (excl. interest/other, see detail); includes depreciation &amp; amortization</t>
        </is>
      </c>
      <c r="F12" s="18" t="inlineStr">
        <is>
          <t>584</t>
        </is>
      </c>
      <c r="G12" s="18" t="inlineStr">
        <is>
          <t>IND-DIST</t>
        </is>
      </c>
    </row>
    <row r="13">
      <c r="A13" s="17" t="inlineStr">
        <is>
          <t>TrusTile Doors (R0198564) — Oct'23-Sep'24 survey</t>
        </is>
      </c>
      <c r="B13" s="17" t="n"/>
      <c r="C13" s="36" t="n">
        <v>3087997</v>
      </c>
      <c r="D13" s="17" t="inlineStr">
        <is>
          <t>—</t>
        </is>
      </c>
      <c r="E13" s="17" t="inlineStr">
        <is>
          <t>Adams County survey; 100% owner-occupied, expenses only</t>
        </is>
      </c>
      <c r="F13" s="18" t="inlineStr">
        <is>
          <t>584</t>
        </is>
      </c>
      <c r="G13" s="18" t="inlineStr">
        <is>
          <t>IND-MFG</t>
        </is>
      </c>
    </row>
    <row r="14">
      <c r="A14" s="17" t="inlineStr">
        <is>
          <t>Broadway Logistics Center — FY2024 (actual, 100% vacant)</t>
        </is>
      </c>
      <c r="B14" s="36" t="n">
        <v>0</v>
      </c>
      <c r="C14" s="36" t="n">
        <v>411259.09</v>
      </c>
      <c r="D14" s="36">
        <f>B14-C14</f>
        <v/>
      </c>
      <c r="E14" s="17" t="inlineStr">
        <is>
          <t>12-mo detail income statement (accrual; incl. depr/amort); property 100% vacant all year</t>
        </is>
      </c>
      <c r="F14" s="18" t="inlineStr">
        <is>
          <t>584</t>
        </is>
      </c>
      <c r="G14" s="18" t="inlineStr">
        <is>
          <t>IND-WH</t>
        </is>
      </c>
    </row>
    <row r="15">
      <c r="A15" s="17" t="inlineStr">
        <is>
          <t>Majestic Commercenter Bldg 15 — FY2024</t>
        </is>
      </c>
      <c r="B15" s="36" t="n">
        <v>6394065.27</v>
      </c>
      <c r="C15" s="36" t="n">
        <v>2252980.35</v>
      </c>
      <c r="D15" s="36">
        <f>B15-C15</f>
        <v/>
      </c>
      <c r="E15" s="17" t="inlineStr">
        <is>
          <t>12-mo detail income statement (accrual operating rev/opex only; excl. interest &amp; other, see detail)</t>
        </is>
      </c>
      <c r="F15" s="18" t="inlineStr">
        <is>
          <t>584</t>
        </is>
      </c>
      <c r="G15" s="18" t="inlineStr">
        <is>
          <t>IND-WH</t>
        </is>
      </c>
    </row>
    <row r="16">
      <c r="A16" s="17" t="inlineStr">
        <is>
          <t>Majestic Commercenter Bldg 15 — FY2023</t>
        </is>
      </c>
      <c r="B16" s="36" t="n">
        <v>6886428.4</v>
      </c>
      <c r="C16" s="36" t="n">
        <v>2770056.15</v>
      </c>
      <c r="D16" s="36">
        <f>B16-C16</f>
        <v/>
      </c>
      <c r="E16" s="17" t="inlineStr">
        <is>
          <t>12-mo detail income statement (accrual operating rev/opex only; excl. interest &amp; other, see detail)</t>
        </is>
      </c>
      <c r="F16" s="18" t="inlineStr">
        <is>
          <t>584</t>
        </is>
      </c>
      <c r="G16" s="18" t="inlineStr">
        <is>
          <t>IND-WH</t>
        </is>
      </c>
    </row>
    <row r="17">
      <c r="A17" s="17" t="inlineStr">
        <is>
          <t>Majestic Commercenter Bldg 29 — FY2024</t>
        </is>
      </c>
      <c r="B17" s="36" t="n">
        <v>5057545.44</v>
      </c>
      <c r="C17" s="36" t="n">
        <v>1735622.01</v>
      </c>
      <c r="D17" s="36">
        <f>B17-C17</f>
        <v/>
      </c>
      <c r="E17" s="17" t="inlineStr">
        <is>
          <t>12-mo detail income statement (accrual operating rev/opex only; excl. interest &amp; other, see detail)</t>
        </is>
      </c>
      <c r="F17" s="18" t="inlineStr">
        <is>
          <t>584</t>
        </is>
      </c>
      <c r="G17" s="18" t="inlineStr">
        <is>
          <t>IND-WH</t>
        </is>
      </c>
    </row>
    <row r="18">
      <c r="A18" s="17" t="inlineStr">
        <is>
          <t>Majestic Commercenter Bldg 29 — FY2023</t>
        </is>
      </c>
      <c r="B18" s="36" t="n">
        <v>5318565.93</v>
      </c>
      <c r="C18" s="36" t="n">
        <v>2007665.41</v>
      </c>
      <c r="D18" s="36">
        <f>B18-C18</f>
        <v/>
      </c>
      <c r="E18" s="17" t="inlineStr">
        <is>
          <t>12-mo detail income statement (accrual operating rev/opex only; excl. interest &amp; other, see detail)</t>
        </is>
      </c>
      <c r="F18" s="18" t="inlineStr">
        <is>
          <t>584</t>
        </is>
      </c>
      <c r="G18" s="18" t="inlineStr">
        <is>
          <t>IND-WH</t>
        </is>
      </c>
    </row>
    <row r="19">
      <c r="A19" s="17" t="inlineStr">
        <is>
          <t>Majestic Commercenter Bldg 26 — FY2024</t>
        </is>
      </c>
      <c r="B19" s="36" t="n">
        <v>1780473.56</v>
      </c>
      <c r="C19" s="36" t="n">
        <v>722934.98</v>
      </c>
      <c r="D19" s="36">
        <f>B19-C19</f>
        <v/>
      </c>
      <c r="E19" s="17" t="inlineStr">
        <is>
          <t>12-mo detail income statement (accrual operating rev/opex only; excl. interest &amp; other, see detail)</t>
        </is>
      </c>
      <c r="F19" s="18" t="inlineStr">
        <is>
          <t>584</t>
        </is>
      </c>
      <c r="G19" s="18" t="inlineStr">
        <is>
          <t>IND-WH</t>
        </is>
      </c>
    </row>
    <row r="20">
      <c r="A20" s="17" t="inlineStr">
        <is>
          <t>Majestic Commercenter Bldg 26 — FY2023</t>
        </is>
      </c>
      <c r="B20" s="36" t="n">
        <v>1868293.25</v>
      </c>
      <c r="C20" s="36" t="n">
        <v>874497.0600000001</v>
      </c>
      <c r="D20" s="36">
        <f>B20-C20</f>
        <v/>
      </c>
      <c r="E20" s="17" t="inlineStr">
        <is>
          <t>12-mo detail income statement (accrual operating rev/opex only; excl. interest &amp; other, see detail)</t>
        </is>
      </c>
      <c r="F20" s="18" t="inlineStr">
        <is>
          <t>584</t>
        </is>
      </c>
      <c r="G20" s="18" t="inlineStr">
        <is>
          <t>IND-WH</t>
        </is>
      </c>
    </row>
    <row r="21" ht="15.75" customHeight="1" s="51">
      <c r="A21" s="17" t="inlineStr">
        <is>
          <t>22100 E 26th Ave (ASB) — FY2024 (actual, 28% occupied)</t>
        </is>
      </c>
      <c r="B21" s="36" t="n">
        <v>761790.88</v>
      </c>
      <c r="C21" s="36" t="n">
        <v>1725293.03</v>
      </c>
      <c r="D21" s="36">
        <f>B21-C21</f>
        <v/>
      </c>
      <c r="E21" s="17" t="inlineStr">
        <is>
          <t>Accrual w/CapEx income statement; heavy leasing capex/RE tax carry on mostly-vacant building</t>
        </is>
      </c>
      <c r="F21" s="18" t="inlineStr">
        <is>
          <t>584</t>
        </is>
      </c>
      <c r="G21" s="18" t="inlineStr">
        <is>
          <t>IND-WH</t>
        </is>
      </c>
    </row>
    <row r="22" ht="15.75" customHeight="1" s="51">
      <c r="A22" s="17" t="inlineStr">
        <is>
          <t>22100 E 26th Ave (ASB) — FY2023 (actual)</t>
        </is>
      </c>
      <c r="B22" s="36" t="n">
        <v>62585.76</v>
      </c>
      <c r="C22" s="36" t="n">
        <v>2131090.35</v>
      </c>
      <c r="D22" s="36">
        <f>B22-C22</f>
        <v/>
      </c>
      <c r="E22" s="17" t="inlineStr">
        <is>
          <t>Accrual w/CapEx income statement; building largely vacant</t>
        </is>
      </c>
      <c r="F22" s="18" t="inlineStr">
        <is>
          <t>584</t>
        </is>
      </c>
      <c r="G22" s="18" t="inlineStr">
        <is>
          <t>IND-WH</t>
        </is>
      </c>
    </row>
    <row r="23" ht="15.75" customHeight="1" s="51">
      <c r="A23" s="17" t="inlineStr">
        <is>
          <t>Majestic Commercenter Bldg 24 — FY2024</t>
        </is>
      </c>
      <c r="B23" s="36" t="n">
        <v>2567319.8</v>
      </c>
      <c r="C23" s="36" t="n">
        <v>908870.85</v>
      </c>
      <c r="D23" s="36">
        <f>B23-C23</f>
        <v/>
      </c>
      <c r="E23" s="17" t="inlineStr">
        <is>
          <t>12-mo detail income statement (accrual operating rev/opex only; excl. interest &amp; other, see detail)</t>
        </is>
      </c>
      <c r="F23" s="18" t="inlineStr">
        <is>
          <t>584</t>
        </is>
      </c>
      <c r="G23" s="18" t="inlineStr">
        <is>
          <t>IND-WH</t>
        </is>
      </c>
    </row>
    <row r="24" ht="15.75" customHeight="1" s="51">
      <c r="A24" s="17" t="inlineStr">
        <is>
          <t>Majestic Commercenter Bldg 24 — FY2023</t>
        </is>
      </c>
      <c r="B24" s="36" t="n">
        <v>2728325.62</v>
      </c>
      <c r="C24" s="36" t="n">
        <v>1165864.56</v>
      </c>
      <c r="D24" s="36">
        <f>B24-C24</f>
        <v/>
      </c>
      <c r="E24" s="17" t="inlineStr">
        <is>
          <t>12-mo detail income statement (accrual operating rev/opex only; excl. interest &amp; other, see detail)</t>
        </is>
      </c>
      <c r="F24" s="18" t="inlineStr">
        <is>
          <t>584</t>
        </is>
      </c>
      <c r="G24" s="18" t="inlineStr">
        <is>
          <t>IND-WH</t>
        </is>
      </c>
    </row>
    <row r="25" ht="15.75" customHeight="1" s="51">
      <c r="A25" s="17" t="inlineStr">
        <is>
          <t>Majestic Commercenter Bldg 22 — FY2024</t>
        </is>
      </c>
      <c r="B25" s="36" t="n">
        <v>1648443.25</v>
      </c>
      <c r="C25" s="36" t="n">
        <v>872475.4300000001</v>
      </c>
      <c r="D25" s="36">
        <f>B25-C25</f>
        <v/>
      </c>
      <c r="E25" s="17" t="inlineStr">
        <is>
          <t>12-mo detail income statement (accrual operating rev/opex only; excl. interest &amp; other, see detail)</t>
        </is>
      </c>
      <c r="F25" s="18" t="inlineStr">
        <is>
          <t>584</t>
        </is>
      </c>
      <c r="G25" s="18" t="inlineStr">
        <is>
          <t>IND-WH</t>
        </is>
      </c>
    </row>
    <row r="26" ht="15.75" customHeight="1" s="51">
      <c r="A26" s="17" t="inlineStr">
        <is>
          <t>Majestic Commercenter Bldg 22 — FY2023</t>
        </is>
      </c>
      <c r="B26" s="36" t="n">
        <v>1898261.15</v>
      </c>
      <c r="C26" s="36" t="n">
        <v>982119.23</v>
      </c>
      <c r="D26" s="36">
        <f>B26-C26</f>
        <v/>
      </c>
      <c r="E26" s="17" t="inlineStr">
        <is>
          <t>12-mo detail income statement (accrual operating rev/opex only; excl. interest &amp; other, see detail)</t>
        </is>
      </c>
      <c r="F26" s="18" t="inlineStr">
        <is>
          <t>584</t>
        </is>
      </c>
      <c r="G26" s="18" t="inlineStr">
        <is>
          <t>IND-WH</t>
        </is>
      </c>
    </row>
    <row r="27" ht="15.75" customHeight="1" s="51">
      <c r="A27" s="48" t="inlineStr">
        <is>
          <t xml:space="preserve">  [584 BATCH] 584-batch figures: 'Expense' above is operating expense only (excludes mortgage interest and depreciation/amortization, which are broken out separately in Income-Expense Detail where captured) except where noted otherwise (2780 N Tower Road, Bldg 12/11/Broadway, and ASB 22100 E 26th, whose printed totals do include interest/depreciation — see each Income-Expense Detail block for the full breakdown). Net = Total Income − Total Expense as printed in each source statement; see the Income-Expense Detail tab for full line items and each property's true bottom-line Net Income (which nets interest and depreciation/amortization on top of the operating figures above).</t>
        </is>
      </c>
    </row>
    <row r="28" ht="15.75" customHeight="1" s="51">
      <c r="A28" s="41" t="inlineStr">
        <is>
          <t>Net = Total Income − Total Expense as printed. Bases differ: 5970 Marion &amp; Broadview totals include financing/depreciation, so they are cash-flow / tax figures, not NOI. TempTee reported operating expenses only. See 'Assessments &amp; Valuation' tab for stabilized NOI proformas.</t>
        </is>
      </c>
      <c r="B28" s="59" t="n"/>
      <c r="C28" s="59" t="n"/>
      <c r="D28" s="59" t="n"/>
      <c r="E28" s="60" t="n"/>
    </row>
    <row r="29" ht="15.75" customHeight="1" s="51"/>
    <row r="30" ht="15.75" customHeight="1" s="51"/>
    <row r="31" ht="15.75" customHeight="1" s="51"/>
    <row r="32" ht="15.75" customHeight="1" s="51"/>
    <row r="33" ht="15.75" customHeight="1" s="51"/>
    <row r="34" ht="15.75" customHeight="1" s="51"/>
    <row r="35" ht="15.75" customHeight="1" s="51"/>
    <row r="36" ht="15.75" customHeight="1" s="51"/>
    <row r="37" ht="15.75" customHeight="1" s="51"/>
    <row r="38" ht="15.75" customHeight="1" s="51"/>
    <row r="39" ht="15.75" customHeight="1" s="51"/>
    <row r="40" ht="15.75" customHeight="1" s="51"/>
    <row r="41" ht="15.75" customHeight="1" s="51"/>
    <row r="42" ht="15.75" customHeight="1" s="51"/>
    <row r="43" ht="15.75" customHeight="1" s="51"/>
    <row r="44" ht="15.75" customHeight="1" s="51"/>
    <row r="45" ht="15.75" customHeight="1" s="51"/>
    <row r="46" ht="15.75" customHeight="1" s="51"/>
    <row r="47" ht="15.75" customHeight="1" s="51"/>
    <row r="48" ht="15.75" customHeight="1" s="51"/>
    <row r="49" ht="15.75" customHeight="1" s="51"/>
    <row r="50" ht="15.75" customHeight="1" s="51"/>
    <row r="51" ht="15.75" customHeight="1" s="51"/>
    <row r="52" ht="15.75" customHeight="1" s="51"/>
    <row r="53" ht="15.75" customHeight="1" s="51"/>
    <row r="54" ht="15.75" customHeight="1" s="51"/>
    <row r="55" ht="15.75" customHeight="1" s="51"/>
    <row r="56" ht="15.75" customHeight="1" s="51"/>
    <row r="57" ht="15.75" customHeight="1" s="51"/>
    <row r="58" ht="15.75" customHeight="1" s="51"/>
    <row r="59" ht="15.75" customHeight="1" s="51"/>
    <row r="60" ht="15.75" customHeight="1" s="51"/>
    <row r="61" ht="15.75" customHeight="1" s="51"/>
    <row r="62" ht="15.75" customHeight="1" s="51"/>
    <row r="63" ht="15.75" customHeight="1" s="51"/>
    <row r="64" ht="15.75" customHeight="1" s="51"/>
    <row r="65" ht="15.75" customHeight="1" s="51"/>
    <row r="66" ht="15.75" customHeight="1" s="51"/>
    <row r="67" ht="15.75" customHeight="1" s="51"/>
    <row r="68" ht="15.75" customHeight="1" s="51"/>
    <row r="69" ht="15.75" customHeight="1" s="51"/>
    <row r="70" ht="15.75" customHeight="1" s="51"/>
    <row r="71" ht="15.75" customHeight="1" s="51"/>
    <row r="72" ht="15.75" customHeight="1" s="51"/>
    <row r="73" ht="15.75" customHeight="1" s="51"/>
    <row r="74" ht="15.75" customHeight="1" s="51"/>
    <row r="75" ht="15.75" customHeight="1" s="51"/>
    <row r="76" ht="15.75" customHeight="1" s="51"/>
    <row r="77" ht="15.75" customHeight="1" s="51"/>
    <row r="78" ht="15.75" customHeight="1" s="51"/>
    <row r="79" ht="15.75" customHeight="1" s="51"/>
    <row r="80" ht="15.75" customHeight="1" s="51"/>
    <row r="81" ht="15.75" customHeight="1" s="51"/>
    <row r="82" ht="15.75" customHeight="1" s="51"/>
    <row r="83" ht="15.75" customHeight="1" s="51"/>
    <row r="84" ht="15.75" customHeight="1" s="51"/>
    <row r="85" ht="15.75" customHeight="1" s="51"/>
    <row r="86" ht="15.75" customHeight="1" s="51"/>
    <row r="87" ht="15.75" customHeight="1" s="51"/>
    <row r="88" ht="15.75" customHeight="1" s="51"/>
    <row r="89" ht="15.75" customHeight="1" s="51"/>
    <row r="90" ht="15.75" customHeight="1" s="51"/>
    <row r="91" ht="15.75" customHeight="1" s="51"/>
    <row r="92" ht="15.75" customHeight="1" s="51"/>
    <row r="93" ht="15.75" customHeight="1" s="51"/>
    <row r="94" ht="15.75" customHeight="1" s="51"/>
    <row r="95" ht="15.75" customHeight="1" s="51"/>
    <row r="96" ht="15.75" customHeight="1" s="51"/>
    <row r="97" ht="15.75" customHeight="1" s="51"/>
    <row r="98" ht="15.75" customHeight="1" s="51"/>
    <row r="99" ht="15.75" customHeight="1" s="51"/>
    <row r="100" ht="15.75" customHeight="1" s="51"/>
    <row r="101" ht="15.75" customHeight="1" s="51"/>
    <row r="102" ht="15.75" customHeight="1" s="51"/>
    <row r="103" ht="15.75" customHeight="1" s="51"/>
    <row r="104" ht="15.75" customHeight="1" s="51"/>
    <row r="105" ht="15.75" customHeight="1" s="51"/>
    <row r="106" ht="15.75" customHeight="1" s="51"/>
    <row r="107" ht="15.75" customHeight="1" s="51"/>
    <row r="108" ht="15.75" customHeight="1" s="51"/>
    <row r="109" ht="15.75" customHeight="1" s="51"/>
    <row r="110" ht="15.75" customHeight="1" s="51"/>
    <row r="111" ht="15.75" customHeight="1" s="51"/>
    <row r="112" ht="15.75" customHeight="1" s="51"/>
    <row r="113" ht="15.75" customHeight="1" s="51"/>
    <row r="114" ht="15.75" customHeight="1" s="51"/>
    <row r="115" ht="15.75" customHeight="1" s="51"/>
    <row r="116" ht="15.75" customHeight="1" s="51"/>
    <row r="117" ht="15.75" customHeight="1" s="51"/>
    <row r="118" ht="15.75" customHeight="1" s="51"/>
    <row r="119" ht="15.75" customHeight="1" s="51"/>
    <row r="120" ht="15.75" customHeight="1" s="51"/>
    <row r="121" ht="15.75" customHeight="1" s="51"/>
    <row r="122" ht="15.75" customHeight="1" s="51"/>
    <row r="123" ht="15.75" customHeight="1" s="51"/>
    <row r="124" ht="15.75" customHeight="1" s="51"/>
    <row r="125" ht="15.75" customHeight="1" s="51"/>
    <row r="126" ht="15.75" customHeight="1" s="51"/>
    <row r="127" ht="15.75" customHeight="1" s="51"/>
    <row r="128" ht="15.75" customHeight="1" s="51"/>
    <row r="129" ht="15.75" customHeight="1" s="51"/>
    <row r="130" ht="15.75" customHeight="1" s="51"/>
    <row r="131" ht="15.75" customHeight="1" s="51"/>
    <row r="132" ht="15.75" customHeight="1" s="51"/>
    <row r="133" ht="15.75" customHeight="1" s="51"/>
    <row r="134" ht="15.75" customHeight="1" s="51"/>
    <row r="135" ht="15.75" customHeight="1" s="51"/>
    <row r="136" ht="15.75" customHeight="1" s="51"/>
    <row r="137" ht="15.75" customHeight="1" s="51"/>
    <row r="138" ht="15.75" customHeight="1" s="51"/>
    <row r="139" ht="15.75" customHeight="1" s="51"/>
    <row r="140" ht="15.75" customHeight="1" s="51"/>
    <row r="141" ht="15.75" customHeight="1" s="51"/>
    <row r="142" ht="15.75" customHeight="1" s="51"/>
    <row r="143" ht="15.75" customHeight="1" s="51"/>
    <row r="144" ht="15.75" customHeight="1" s="51"/>
    <row r="145" ht="15.75" customHeight="1" s="51"/>
    <row r="146" ht="15.75" customHeight="1" s="51"/>
    <row r="147" ht="15.75" customHeight="1" s="51"/>
    <row r="148" ht="15.75" customHeight="1" s="51"/>
    <row r="149" ht="15.75" customHeight="1" s="51"/>
    <row r="150" ht="15.75" customHeight="1" s="51"/>
    <row r="151" ht="15.75" customHeight="1" s="51"/>
    <row r="152" ht="15.75" customHeight="1" s="51"/>
    <row r="153" ht="15.75" customHeight="1" s="51"/>
    <row r="154" ht="15.75" customHeight="1" s="51"/>
    <row r="155" ht="15.75" customHeight="1" s="51"/>
    <row r="156" ht="15.75" customHeight="1" s="51"/>
    <row r="157" ht="15.75" customHeight="1" s="51"/>
    <row r="158" ht="15.75" customHeight="1" s="51"/>
    <row r="159" ht="15.75" customHeight="1" s="51"/>
    <row r="160" ht="15.75" customHeight="1" s="51"/>
    <row r="161" ht="15.75" customHeight="1" s="51"/>
    <row r="162" ht="15.75" customHeight="1" s="51"/>
    <row r="163" ht="15.75" customHeight="1" s="51"/>
    <row r="164" ht="15.75" customHeight="1" s="51"/>
    <row r="165" ht="15.75" customHeight="1" s="51"/>
    <row r="166" ht="15.75" customHeight="1" s="51"/>
    <row r="167" ht="15.75" customHeight="1" s="51"/>
    <row r="168" ht="15.75" customHeight="1" s="51"/>
    <row r="169" ht="15.75" customHeight="1" s="51"/>
    <row r="170" ht="15.75" customHeight="1" s="51"/>
    <row r="171" ht="15.75" customHeight="1" s="51"/>
    <row r="172" ht="15.75" customHeight="1" s="51"/>
    <row r="173" ht="15.75" customHeight="1" s="51"/>
    <row r="174" ht="15.75" customHeight="1" s="51"/>
    <row r="175" ht="15.75" customHeight="1" s="51"/>
    <row r="176" ht="15.75" customHeight="1" s="51"/>
    <row r="177" ht="15.75" customHeight="1" s="51"/>
    <row r="178" ht="15.75" customHeight="1" s="51"/>
    <row r="179" ht="15.75" customHeight="1" s="51"/>
    <row r="180" ht="15.75" customHeight="1" s="51"/>
    <row r="181" ht="15.75" customHeight="1" s="51"/>
    <row r="182" ht="15.75" customHeight="1" s="51"/>
    <row r="183" ht="15.75" customHeight="1" s="51"/>
    <row r="184" ht="15.75" customHeight="1" s="51"/>
    <row r="185" ht="15.75" customHeight="1" s="51"/>
    <row r="186" ht="15.75" customHeight="1" s="51"/>
    <row r="187" ht="15.75" customHeight="1" s="51"/>
    <row r="188" ht="15.75" customHeight="1" s="51"/>
    <row r="189" ht="15.75" customHeight="1" s="51"/>
    <row r="190" ht="15.75" customHeight="1" s="51"/>
    <row r="191" ht="15.75" customHeight="1" s="51"/>
    <row r="192" ht="15.75" customHeight="1" s="51"/>
    <row r="193" ht="15.75" customHeight="1" s="51"/>
    <row r="194" ht="15.75" customHeight="1" s="51"/>
    <row r="195" ht="15.75" customHeight="1" s="51"/>
    <row r="196" ht="15.75" customHeight="1" s="51"/>
    <row r="197" ht="15.75" customHeight="1" s="51"/>
    <row r="198" ht="15.75" customHeight="1" s="51"/>
    <row r="199" ht="15.75" customHeight="1" s="51"/>
    <row r="200" ht="15.75" customHeight="1" s="51"/>
    <row r="201" ht="15.75" customHeight="1" s="51"/>
    <row r="202" ht="15.75" customHeight="1" s="51"/>
    <row r="203" ht="15.75" customHeight="1" s="51"/>
    <row r="204" ht="15.75" customHeight="1" s="51"/>
    <row r="205" ht="15.75" customHeight="1" s="51"/>
    <row r="206" ht="15.75" customHeight="1" s="51"/>
    <row r="207" ht="15.75" customHeight="1" s="51"/>
    <row r="208" ht="15.75" customHeight="1" s="51"/>
    <row r="209" ht="15.75" customHeight="1" s="51"/>
    <row r="210" ht="15.75" customHeight="1" s="51"/>
    <row r="211" ht="15.75" customHeight="1" s="51"/>
    <row r="212" ht="15.75" customHeight="1" s="51"/>
    <row r="213" ht="15.75" customHeight="1" s="51"/>
    <row r="214" ht="15.75" customHeight="1" s="51"/>
    <row r="215" ht="15.75" customHeight="1" s="51"/>
    <row r="216" ht="15.75" customHeight="1" s="51"/>
    <row r="217" ht="15.75" customHeight="1" s="51"/>
    <row r="218" ht="15.75" customHeight="1" s="51"/>
    <row r="219" ht="15.75" customHeight="1" s="51"/>
    <row r="220" ht="15.75" customHeight="1" s="51"/>
    <row r="221" ht="15.75" customHeight="1" s="51"/>
    <row r="222" ht="15.75" customHeight="1" s="51"/>
    <row r="223" ht="15.75" customHeight="1" s="51"/>
    <row r="224" ht="15.75" customHeight="1" s="51"/>
    <row r="225" ht="15.75" customHeight="1" s="51"/>
    <row r="226" ht="15.75" customHeight="1" s="51"/>
    <row r="227" ht="15.75" customHeight="1" s="51"/>
    <row r="228" ht="15.75" customHeight="1" s="51"/>
    <row r="229" ht="15.75" customHeight="1" s="51"/>
    <row r="230" ht="15.75" customHeight="1" s="51"/>
    <row r="231" ht="15.75" customHeight="1" s="51"/>
    <row r="232" ht="15.75" customHeight="1" s="51"/>
    <row r="233" ht="15.75" customHeight="1" s="51"/>
    <row r="234" ht="15.75" customHeight="1" s="51"/>
    <row r="235" ht="15.75" customHeight="1" s="51"/>
    <row r="236" ht="15.75" customHeight="1" s="51"/>
    <row r="237" ht="15.75" customHeight="1" s="51"/>
    <row r="238" ht="15.75" customHeight="1" s="51"/>
    <row r="239" ht="15.75" customHeight="1" s="51"/>
    <row r="240" ht="15.75" customHeight="1" s="51"/>
    <row r="241" ht="15.75" customHeight="1" s="51"/>
    <row r="242" ht="15.75" customHeight="1" s="51"/>
    <row r="243" ht="15.75" customHeight="1" s="51"/>
    <row r="244" ht="15.75" customHeight="1" s="51"/>
    <row r="245" ht="15.75" customHeight="1" s="51"/>
    <row r="246" ht="15.75" customHeight="1" s="51"/>
    <row r="247" ht="15.75" customHeight="1" s="51"/>
    <row r="248" ht="15.75" customHeight="1" s="51"/>
    <row r="249" ht="15.75" customHeight="1" s="51"/>
    <row r="250" ht="15.75" customHeight="1" s="51"/>
    <row r="251" ht="15.75" customHeight="1" s="51"/>
    <row r="252" ht="15.75" customHeight="1" s="51"/>
    <row r="253" ht="15.75" customHeight="1" s="51"/>
    <row r="254" ht="15.75" customHeight="1" s="51"/>
    <row r="255" ht="15.75" customHeight="1" s="51"/>
    <row r="256" ht="15.75" customHeight="1" s="51"/>
    <row r="257" ht="15.75" customHeight="1" s="51"/>
    <row r="258" ht="15.75" customHeight="1" s="51"/>
    <row r="259" ht="15.75" customHeight="1" s="51"/>
    <row r="260" ht="15.75" customHeight="1" s="51"/>
    <row r="261" ht="15.75" customHeight="1" s="51"/>
    <row r="262" ht="15.75" customHeight="1" s="51"/>
    <row r="263" ht="15.75" customHeight="1" s="51"/>
    <row r="264" ht="15.75" customHeight="1" s="51"/>
    <row r="265" ht="15.75" customHeight="1" s="51"/>
    <row r="266" ht="15.75" customHeight="1" s="51"/>
    <row r="267" ht="15.75" customHeight="1" s="51"/>
    <row r="268" ht="15.75" customHeight="1" s="51"/>
    <row r="269" ht="15.75" customHeight="1" s="51"/>
    <row r="270" ht="15.75" customHeight="1" s="51"/>
    <row r="271" ht="15.75" customHeight="1" s="51"/>
    <row r="272" ht="15.75" customHeight="1" s="51"/>
    <row r="273" ht="15.75" customHeight="1" s="51"/>
    <row r="274" ht="15.75" customHeight="1" s="51"/>
    <row r="275" ht="15.75" customHeight="1" s="51"/>
    <row r="276" ht="15.75" customHeight="1" s="51"/>
    <row r="277" ht="15.75" customHeight="1" s="51"/>
    <row r="278" ht="15.75" customHeight="1" s="51"/>
    <row r="279" ht="15.75" customHeight="1" s="51"/>
    <row r="280" ht="15.75" customHeight="1" s="51"/>
    <row r="281" ht="15.75" customHeight="1" s="51"/>
    <row r="282" ht="15.75" customHeight="1" s="51"/>
    <row r="283" ht="15.75" customHeight="1" s="51"/>
    <row r="284" ht="15.75" customHeight="1" s="51"/>
    <row r="285" ht="15.75" customHeight="1" s="51"/>
    <row r="286" ht="15.75" customHeight="1" s="51"/>
    <row r="287" ht="15.75" customHeight="1" s="51"/>
    <row r="288" ht="15.75" customHeight="1" s="51"/>
    <row r="289" ht="15.75" customHeight="1" s="51"/>
    <row r="290" ht="15.75" customHeight="1" s="51"/>
    <row r="291" ht="15.75" customHeight="1" s="51"/>
    <row r="292" ht="15.75" customHeight="1" s="51"/>
    <row r="293" ht="15.75" customHeight="1" s="51"/>
    <row r="294" ht="15.75" customHeight="1" s="51"/>
    <row r="295" ht="15.75" customHeight="1" s="51"/>
    <row r="296" ht="15.75" customHeight="1" s="51"/>
    <row r="297" ht="15.75" customHeight="1" s="51"/>
    <row r="298" ht="15.75" customHeight="1" s="51"/>
    <row r="299" ht="15.75" customHeight="1" s="51"/>
    <row r="300" ht="15.75" customHeight="1" s="51"/>
    <row r="301" ht="15.75" customHeight="1" s="51"/>
    <row r="302" ht="15.75" customHeight="1" s="51"/>
    <row r="303" ht="15.75" customHeight="1" s="51"/>
    <row r="304" ht="15.75" customHeight="1" s="51"/>
    <row r="305" ht="15.75" customHeight="1" s="51"/>
    <row r="306" ht="15.75" customHeight="1" s="51"/>
    <row r="307" ht="15.75" customHeight="1" s="51"/>
    <row r="308" ht="15.75" customHeight="1" s="51"/>
    <row r="309" ht="15.75" customHeight="1" s="51"/>
    <row r="310" ht="15.75" customHeight="1" s="51"/>
    <row r="311" ht="15.75" customHeight="1" s="51"/>
    <row r="312" ht="15.75" customHeight="1" s="51"/>
    <row r="313" ht="15.75" customHeight="1" s="51"/>
    <row r="314" ht="15.75" customHeight="1" s="51"/>
    <row r="315" ht="15.75" customHeight="1" s="51"/>
    <row r="316" ht="15.75" customHeight="1" s="51"/>
    <row r="317" ht="15.75" customHeight="1" s="51"/>
    <row r="318" ht="15.75" customHeight="1" s="51"/>
    <row r="319" ht="15.75" customHeight="1" s="51"/>
    <row r="320" ht="15.75" customHeight="1" s="51"/>
    <row r="321" ht="15.75" customHeight="1" s="51"/>
    <row r="322" ht="15.75" customHeight="1" s="51"/>
    <row r="323" ht="15.75" customHeight="1" s="51"/>
    <row r="324" ht="15.75" customHeight="1" s="51"/>
    <row r="325" ht="15.75" customHeight="1" s="51"/>
    <row r="326" ht="15.75" customHeight="1" s="51"/>
    <row r="327" ht="15.75" customHeight="1" s="51"/>
    <row r="328" ht="15.75" customHeight="1" s="51"/>
    <row r="329" ht="15.75" customHeight="1" s="51"/>
    <row r="330" ht="15.75" customHeight="1" s="51"/>
    <row r="331" ht="15.75" customHeight="1" s="51"/>
    <row r="332" ht="15.75" customHeight="1" s="51"/>
    <row r="333" ht="15.75" customHeight="1" s="51"/>
    <row r="334" ht="15.75" customHeight="1" s="51"/>
    <row r="335" ht="15.75" customHeight="1" s="51"/>
    <row r="336" ht="15.75" customHeight="1" s="51"/>
    <row r="337" ht="15.75" customHeight="1" s="51"/>
    <row r="338" ht="15.75" customHeight="1" s="51"/>
    <row r="339" ht="15.75" customHeight="1" s="51"/>
    <row r="340" ht="15.75" customHeight="1" s="51"/>
    <row r="341" ht="15.75" customHeight="1" s="51"/>
    <row r="342" ht="15.75" customHeight="1" s="51"/>
    <row r="343" ht="15.75" customHeight="1" s="51"/>
    <row r="344" ht="15.75" customHeight="1" s="51"/>
    <row r="345" ht="15.75" customHeight="1" s="51"/>
    <row r="346" ht="15.75" customHeight="1" s="51"/>
    <row r="347" ht="15.75" customHeight="1" s="51"/>
    <row r="348" ht="15.75" customHeight="1" s="51"/>
    <row r="349" ht="15.75" customHeight="1" s="51"/>
    <row r="350" ht="15.75" customHeight="1" s="51"/>
    <row r="351" ht="15.75" customHeight="1" s="51"/>
    <row r="352" ht="15.75" customHeight="1" s="51"/>
    <row r="353" ht="15.75" customHeight="1" s="51"/>
    <row r="354" ht="15.75" customHeight="1" s="51"/>
    <row r="355" ht="15.75" customHeight="1" s="51"/>
    <row r="356" ht="15.75" customHeight="1" s="51"/>
    <row r="357" ht="15.75" customHeight="1" s="51"/>
    <row r="358" ht="15.75" customHeight="1" s="51"/>
    <row r="359" ht="15.75" customHeight="1" s="51"/>
    <row r="360" ht="15.75" customHeight="1" s="51"/>
    <row r="361" ht="15.75" customHeight="1" s="51"/>
    <row r="362" ht="15.75" customHeight="1" s="51"/>
    <row r="363" ht="15.75" customHeight="1" s="51"/>
    <row r="364" ht="15.75" customHeight="1" s="51"/>
    <row r="365" ht="15.75" customHeight="1" s="51"/>
    <row r="366" ht="15.75" customHeight="1" s="51"/>
    <row r="367" ht="15.75" customHeight="1" s="51"/>
    <row r="368" ht="15.75" customHeight="1" s="51"/>
    <row r="369" ht="15.75" customHeight="1" s="51"/>
    <row r="370" ht="15.75" customHeight="1" s="51"/>
    <row r="371" ht="15.75" customHeight="1" s="51"/>
    <row r="372" ht="15.75" customHeight="1" s="51"/>
    <row r="373" ht="15.75" customHeight="1" s="51"/>
    <row r="374" ht="15.75" customHeight="1" s="51"/>
    <row r="375" ht="15.75" customHeight="1" s="51"/>
    <row r="376" ht="15.75" customHeight="1" s="51"/>
    <row r="377" ht="15.75" customHeight="1" s="51"/>
    <row r="378" ht="15.75" customHeight="1" s="51"/>
    <row r="379" ht="15.75" customHeight="1" s="51"/>
    <row r="380" ht="15.75" customHeight="1" s="51"/>
    <row r="381" ht="15.75" customHeight="1" s="51"/>
    <row r="382" ht="15.75" customHeight="1" s="51"/>
    <row r="383" ht="15.75" customHeight="1" s="51"/>
    <row r="384" ht="15.75" customHeight="1" s="51"/>
    <row r="385" ht="15.75" customHeight="1" s="51"/>
    <row r="386" ht="15.75" customHeight="1" s="51"/>
    <row r="387" ht="15.75" customHeight="1" s="51"/>
    <row r="388" ht="15.75" customHeight="1" s="51"/>
    <row r="389" ht="15.75" customHeight="1" s="51"/>
    <row r="390" ht="15.75" customHeight="1" s="51"/>
    <row r="391" ht="15.75" customHeight="1" s="51"/>
    <row r="392" ht="15.75" customHeight="1" s="51"/>
    <row r="393" ht="15.75" customHeight="1" s="51"/>
    <row r="394" ht="15.75" customHeight="1" s="51"/>
    <row r="395" ht="15.75" customHeight="1" s="51"/>
    <row r="396" ht="15.75" customHeight="1" s="51"/>
    <row r="397" ht="15.75" customHeight="1" s="51"/>
    <row r="398" ht="15.75" customHeight="1" s="51"/>
    <row r="399" ht="15.75" customHeight="1" s="51"/>
    <row r="400" ht="15.75" customHeight="1" s="51"/>
    <row r="401" ht="15.75" customHeight="1" s="51"/>
    <row r="402" ht="15.75" customHeight="1" s="51"/>
    <row r="403" ht="15.75" customHeight="1" s="51"/>
    <row r="404" ht="15.75" customHeight="1" s="51"/>
    <row r="405" ht="15.75" customHeight="1" s="51"/>
    <row r="406" ht="15.75" customHeight="1" s="51"/>
    <row r="407" ht="15.75" customHeight="1" s="51"/>
    <row r="408" ht="15.75" customHeight="1" s="51"/>
    <row r="409" ht="15.75" customHeight="1" s="51"/>
    <row r="410" ht="15.75" customHeight="1" s="51"/>
    <row r="411" ht="15.75" customHeight="1" s="51"/>
    <row r="412" ht="15.75" customHeight="1" s="51"/>
    <row r="413" ht="15.75" customHeight="1" s="51"/>
    <row r="414" ht="15.75" customHeight="1" s="51"/>
    <row r="415" ht="15.75" customHeight="1" s="51"/>
    <row r="416" ht="15.75" customHeight="1" s="51"/>
    <row r="417" ht="15.75" customHeight="1" s="51"/>
    <row r="418" ht="15.75" customHeight="1" s="51"/>
    <row r="419" ht="15.75" customHeight="1" s="51"/>
    <row r="420" ht="15.75" customHeight="1" s="51"/>
    <row r="421" ht="15.75" customHeight="1" s="51"/>
    <row r="422" ht="15.75" customHeight="1" s="51"/>
    <row r="423" ht="15.75" customHeight="1" s="51"/>
    <row r="424" ht="15.75" customHeight="1" s="51"/>
    <row r="425" ht="15.75" customHeight="1" s="51"/>
    <row r="426" ht="15.75" customHeight="1" s="51"/>
    <row r="427" ht="15.75" customHeight="1" s="51"/>
    <row r="428" ht="15.75" customHeight="1" s="51"/>
    <row r="429" ht="15.75" customHeight="1" s="51"/>
    <row r="430" ht="15.75" customHeight="1" s="51"/>
    <row r="431" ht="15.75" customHeight="1" s="51"/>
    <row r="432" ht="15.75" customHeight="1" s="51"/>
    <row r="433" ht="15.75" customHeight="1" s="51"/>
    <row r="434" ht="15.75" customHeight="1" s="51"/>
    <row r="435" ht="15.75" customHeight="1" s="51"/>
    <row r="436" ht="15.75" customHeight="1" s="51"/>
    <row r="437" ht="15.75" customHeight="1" s="51"/>
    <row r="438" ht="15.75" customHeight="1" s="51"/>
    <row r="439" ht="15.75" customHeight="1" s="51"/>
    <row r="440" ht="15.75" customHeight="1" s="51"/>
    <row r="441" ht="15.75" customHeight="1" s="51"/>
    <row r="442" ht="15.75" customHeight="1" s="51"/>
    <row r="443" ht="15.75" customHeight="1" s="51"/>
    <row r="444" ht="15.75" customHeight="1" s="51"/>
    <row r="445" ht="15.75" customHeight="1" s="51"/>
    <row r="446" ht="15.75" customHeight="1" s="51"/>
    <row r="447" ht="15.75" customHeight="1" s="51"/>
    <row r="448" ht="15.75" customHeight="1" s="51"/>
    <row r="449" ht="15.75" customHeight="1" s="51"/>
    <row r="450" ht="15.75" customHeight="1" s="51"/>
    <row r="451" ht="15.75" customHeight="1" s="51"/>
    <row r="452" ht="15.75" customHeight="1" s="51"/>
    <row r="453" ht="15.75" customHeight="1" s="51"/>
    <row r="454" ht="15.75" customHeight="1" s="51"/>
    <row r="455" ht="15.75" customHeight="1" s="51"/>
    <row r="456" ht="15.75" customHeight="1" s="51"/>
    <row r="457" ht="15.75" customHeight="1" s="51"/>
    <row r="458" ht="15.75" customHeight="1" s="51"/>
    <row r="459" ht="15.75" customHeight="1" s="51"/>
    <row r="460" ht="15.75" customHeight="1" s="51"/>
    <row r="461" ht="15.75" customHeight="1" s="51"/>
    <row r="462" ht="15.75" customHeight="1" s="51"/>
    <row r="463" ht="15.75" customHeight="1" s="51"/>
    <row r="464" ht="15.75" customHeight="1" s="51"/>
    <row r="465" ht="15.75" customHeight="1" s="51"/>
    <row r="466" ht="15.75" customHeight="1" s="51"/>
    <row r="467" ht="15.75" customHeight="1" s="51"/>
    <row r="468" ht="15.75" customHeight="1" s="51"/>
    <row r="469" ht="15.75" customHeight="1" s="51"/>
    <row r="470" ht="15.75" customHeight="1" s="51"/>
    <row r="471" ht="15.75" customHeight="1" s="51"/>
    <row r="472" ht="15.75" customHeight="1" s="51"/>
    <row r="473" ht="15.75" customHeight="1" s="51"/>
    <row r="474" ht="15.75" customHeight="1" s="51"/>
    <row r="475" ht="15.75" customHeight="1" s="51"/>
    <row r="476" ht="15.75" customHeight="1" s="51"/>
    <row r="477" ht="15.75" customHeight="1" s="51"/>
    <row r="478" ht="15.75" customHeight="1" s="51"/>
    <row r="479" ht="15.75" customHeight="1" s="51"/>
    <row r="480" ht="15.75" customHeight="1" s="51"/>
    <row r="481" ht="15.75" customHeight="1" s="51"/>
    <row r="482" ht="15.75" customHeight="1" s="51"/>
    <row r="483" ht="15.75" customHeight="1" s="51"/>
    <row r="484" ht="15.75" customHeight="1" s="51"/>
    <row r="485" ht="15.75" customHeight="1" s="51"/>
    <row r="486" ht="15.75" customHeight="1" s="51"/>
    <row r="487" ht="15.75" customHeight="1" s="51"/>
    <row r="488" ht="15.75" customHeight="1" s="51"/>
    <row r="489" ht="15.75" customHeight="1" s="51"/>
    <row r="490" ht="15.75" customHeight="1" s="51"/>
    <row r="491" ht="15.75" customHeight="1" s="51"/>
    <row r="492" ht="15.75" customHeight="1" s="51"/>
    <row r="493" ht="15.75" customHeight="1" s="51"/>
    <row r="494" ht="15.75" customHeight="1" s="51"/>
    <row r="495" ht="15.75" customHeight="1" s="51"/>
    <row r="496" ht="15.75" customHeight="1" s="51"/>
    <row r="497" ht="15.75" customHeight="1" s="51"/>
    <row r="498" ht="15.75" customHeight="1" s="51"/>
    <row r="499" ht="15.75" customHeight="1" s="51"/>
    <row r="500" ht="15.75" customHeight="1" s="51"/>
    <row r="501" ht="15.75" customHeight="1" s="51"/>
    <row r="502" ht="15.75" customHeight="1" s="51"/>
    <row r="503" ht="15.75" customHeight="1" s="51"/>
    <row r="504" ht="15.75" customHeight="1" s="51"/>
    <row r="505" ht="15.75" customHeight="1" s="51"/>
    <row r="506" ht="15.75" customHeight="1" s="51"/>
    <row r="507" ht="15.75" customHeight="1" s="51"/>
    <row r="508" ht="15.75" customHeight="1" s="51"/>
    <row r="509" ht="15.75" customHeight="1" s="51"/>
    <row r="510" ht="15.75" customHeight="1" s="51"/>
    <row r="511" ht="15.75" customHeight="1" s="51"/>
    <row r="512" ht="15.75" customHeight="1" s="51"/>
    <row r="513" ht="15.75" customHeight="1" s="51"/>
    <row r="514" ht="15.75" customHeight="1" s="51"/>
    <row r="515" ht="15.75" customHeight="1" s="51"/>
    <row r="516" ht="15.75" customHeight="1" s="51"/>
    <row r="517" ht="15.75" customHeight="1" s="51"/>
    <row r="518" ht="15.75" customHeight="1" s="51"/>
    <row r="519" ht="15.75" customHeight="1" s="51"/>
    <row r="520" ht="15.75" customHeight="1" s="51"/>
    <row r="521" ht="15.75" customHeight="1" s="51"/>
    <row r="522" ht="15.75" customHeight="1" s="51"/>
    <row r="523" ht="15.75" customHeight="1" s="51"/>
    <row r="524" ht="15.75" customHeight="1" s="51"/>
    <row r="525" ht="15.75" customHeight="1" s="51"/>
    <row r="526" ht="15.75" customHeight="1" s="51"/>
    <row r="527" ht="15.75" customHeight="1" s="51"/>
    <row r="528" ht="15.75" customHeight="1" s="51"/>
    <row r="529" ht="15.75" customHeight="1" s="51"/>
    <row r="530" ht="15.75" customHeight="1" s="51"/>
    <row r="531" ht="15.75" customHeight="1" s="51"/>
    <row r="532" ht="15.75" customHeight="1" s="51"/>
    <row r="533" ht="15.75" customHeight="1" s="51"/>
    <row r="534" ht="15.75" customHeight="1" s="51"/>
    <row r="535" ht="15.75" customHeight="1" s="51"/>
    <row r="536" ht="15.75" customHeight="1" s="51"/>
    <row r="537" ht="15.75" customHeight="1" s="51"/>
    <row r="538" ht="15.75" customHeight="1" s="51"/>
    <row r="539" ht="15.75" customHeight="1" s="51"/>
    <row r="540" ht="15.75" customHeight="1" s="51"/>
    <row r="541" ht="15.75" customHeight="1" s="51"/>
    <row r="542" ht="15.75" customHeight="1" s="51"/>
    <row r="543" ht="15.75" customHeight="1" s="51"/>
    <row r="544" ht="15.75" customHeight="1" s="51"/>
    <row r="545" ht="15.75" customHeight="1" s="51"/>
    <row r="546" ht="15.75" customHeight="1" s="51"/>
    <row r="547" ht="15.75" customHeight="1" s="51"/>
    <row r="548" ht="15.75" customHeight="1" s="51"/>
    <row r="549" ht="15.75" customHeight="1" s="51"/>
    <row r="550" ht="15.75" customHeight="1" s="51"/>
    <row r="551" ht="15.75" customHeight="1" s="51"/>
    <row r="552" ht="15.75" customHeight="1" s="51"/>
    <row r="553" ht="15.75" customHeight="1" s="51"/>
    <row r="554" ht="15.75" customHeight="1" s="51"/>
    <row r="555" ht="15.75" customHeight="1" s="51"/>
    <row r="556" ht="15.75" customHeight="1" s="51"/>
    <row r="557" ht="15.75" customHeight="1" s="51"/>
    <row r="558" ht="15.75" customHeight="1" s="51"/>
    <row r="559" ht="15.75" customHeight="1" s="51"/>
    <row r="560" ht="15.75" customHeight="1" s="51"/>
    <row r="561" ht="15.75" customHeight="1" s="51"/>
    <row r="562" ht="15.75" customHeight="1" s="51"/>
    <row r="563" ht="15.75" customHeight="1" s="51"/>
    <row r="564" ht="15.75" customHeight="1" s="51"/>
    <row r="565" ht="15.75" customHeight="1" s="51"/>
    <row r="566" ht="15.75" customHeight="1" s="51"/>
    <row r="567" ht="15.75" customHeight="1" s="51"/>
    <row r="568" ht="15.75" customHeight="1" s="51"/>
    <row r="569" ht="15.75" customHeight="1" s="51"/>
    <row r="570" ht="15.75" customHeight="1" s="51"/>
    <row r="571" ht="15.75" customHeight="1" s="51"/>
    <row r="572" ht="15.75" customHeight="1" s="51"/>
    <row r="573" ht="15.75" customHeight="1" s="51"/>
    <row r="574" ht="15.75" customHeight="1" s="51"/>
    <row r="575" ht="15.75" customHeight="1" s="51"/>
    <row r="576" ht="15.75" customHeight="1" s="51"/>
    <row r="577" ht="15.75" customHeight="1" s="51"/>
    <row r="578" ht="15.75" customHeight="1" s="51"/>
    <row r="579" ht="15.75" customHeight="1" s="51"/>
    <row r="580" ht="15.75" customHeight="1" s="51"/>
    <row r="581" ht="15.75" customHeight="1" s="51"/>
    <row r="582" ht="15.75" customHeight="1" s="51"/>
    <row r="583" ht="15.75" customHeight="1" s="51"/>
    <row r="584" ht="15.75" customHeight="1" s="51"/>
    <row r="585" ht="15.75" customHeight="1" s="51"/>
    <row r="586" ht="15.75" customHeight="1" s="51"/>
    <row r="587" ht="15.75" customHeight="1" s="51"/>
    <row r="588" ht="15.75" customHeight="1" s="51"/>
    <row r="589" ht="15.75" customHeight="1" s="51"/>
    <row r="590" ht="15.75" customHeight="1" s="51"/>
    <row r="591" ht="15.75" customHeight="1" s="51"/>
    <row r="592" ht="15.75" customHeight="1" s="51"/>
    <row r="593" ht="15.75" customHeight="1" s="51"/>
    <row r="594" ht="15.75" customHeight="1" s="51"/>
    <row r="595" ht="15.75" customHeight="1" s="51"/>
    <row r="596" ht="15.75" customHeight="1" s="51"/>
    <row r="597" ht="15.75" customHeight="1" s="51"/>
    <row r="598" ht="15.75" customHeight="1" s="51"/>
    <row r="599" ht="15.75" customHeight="1" s="51"/>
    <row r="600" ht="15.75" customHeight="1" s="51"/>
    <row r="601" ht="15.75" customHeight="1" s="51"/>
    <row r="602" ht="15.75" customHeight="1" s="51"/>
    <row r="603" ht="15.75" customHeight="1" s="51"/>
    <row r="604" ht="15.75" customHeight="1" s="51"/>
    <row r="605" ht="15.75" customHeight="1" s="51"/>
    <row r="606" ht="15.75" customHeight="1" s="51"/>
    <row r="607" ht="15.75" customHeight="1" s="51"/>
    <row r="608" ht="15.75" customHeight="1" s="51"/>
    <row r="609" ht="15.75" customHeight="1" s="51"/>
    <row r="610" ht="15.75" customHeight="1" s="51"/>
    <row r="611" ht="15.75" customHeight="1" s="51"/>
    <row r="612" ht="15.75" customHeight="1" s="51"/>
    <row r="613" ht="15.75" customHeight="1" s="51"/>
    <row r="614" ht="15.75" customHeight="1" s="51"/>
    <row r="615" ht="15.75" customHeight="1" s="51"/>
    <row r="616" ht="15.75" customHeight="1" s="51"/>
    <row r="617" ht="15.75" customHeight="1" s="51"/>
    <row r="618" ht="15.75" customHeight="1" s="51"/>
    <row r="619" ht="15.75" customHeight="1" s="51"/>
    <row r="620" ht="15.75" customHeight="1" s="51"/>
    <row r="621" ht="15.75" customHeight="1" s="51"/>
    <row r="622" ht="15.75" customHeight="1" s="51"/>
    <row r="623" ht="15.75" customHeight="1" s="51"/>
    <row r="624" ht="15.75" customHeight="1" s="51"/>
    <row r="625" ht="15.75" customHeight="1" s="51"/>
    <row r="626" ht="15.75" customHeight="1" s="51"/>
    <row r="627" ht="15.75" customHeight="1" s="51"/>
    <row r="628" ht="15.75" customHeight="1" s="51"/>
    <row r="629" ht="15.75" customHeight="1" s="51"/>
    <row r="630" ht="15.75" customHeight="1" s="51"/>
    <row r="631" ht="15.75" customHeight="1" s="51"/>
    <row r="632" ht="15.75" customHeight="1" s="51"/>
    <row r="633" ht="15.75" customHeight="1" s="51"/>
    <row r="634" ht="15.75" customHeight="1" s="51"/>
    <row r="635" ht="15.75" customHeight="1" s="51"/>
    <row r="636" ht="15.75" customHeight="1" s="51"/>
    <row r="637" ht="15.75" customHeight="1" s="51"/>
    <row r="638" ht="15.75" customHeight="1" s="51"/>
    <row r="639" ht="15.75" customHeight="1" s="51"/>
    <row r="640" ht="15.75" customHeight="1" s="51"/>
    <row r="641" ht="15.75" customHeight="1" s="51"/>
    <row r="642" ht="15.75" customHeight="1" s="51"/>
    <row r="643" ht="15.75" customHeight="1" s="51"/>
    <row r="644" ht="15.75" customHeight="1" s="51"/>
    <row r="645" ht="15.75" customHeight="1" s="51"/>
    <row r="646" ht="15.75" customHeight="1" s="51"/>
    <row r="647" ht="15.75" customHeight="1" s="51"/>
    <row r="648" ht="15.75" customHeight="1" s="51"/>
    <row r="649" ht="15.75" customHeight="1" s="51"/>
    <row r="650" ht="15.75" customHeight="1" s="51"/>
    <row r="651" ht="15.75" customHeight="1" s="51"/>
    <row r="652" ht="15.75" customHeight="1" s="51"/>
    <row r="653" ht="15.75" customHeight="1" s="51"/>
    <row r="654" ht="15.75" customHeight="1" s="51"/>
    <row r="655" ht="15.75" customHeight="1" s="51"/>
    <row r="656" ht="15.75" customHeight="1" s="51"/>
    <row r="657" ht="15.75" customHeight="1" s="51"/>
    <row r="658" ht="15.75" customHeight="1" s="51"/>
    <row r="659" ht="15.75" customHeight="1" s="51"/>
    <row r="660" ht="15.75" customHeight="1" s="51"/>
    <row r="661" ht="15.75" customHeight="1" s="51"/>
    <row r="662" ht="15.75" customHeight="1" s="51"/>
    <row r="663" ht="15.75" customHeight="1" s="51"/>
    <row r="664" ht="15.75" customHeight="1" s="51"/>
    <row r="665" ht="15.75" customHeight="1" s="51"/>
    <row r="666" ht="15.75" customHeight="1" s="51"/>
    <row r="667" ht="15.75" customHeight="1" s="51"/>
    <row r="668" ht="15.75" customHeight="1" s="51"/>
    <row r="669" ht="15.75" customHeight="1" s="51"/>
    <row r="670" ht="15.75" customHeight="1" s="51"/>
    <row r="671" ht="15.75" customHeight="1" s="51"/>
    <row r="672" ht="15.75" customHeight="1" s="51"/>
    <row r="673" ht="15.75" customHeight="1" s="51"/>
    <row r="674" ht="15.75" customHeight="1" s="51"/>
    <row r="675" ht="15.75" customHeight="1" s="51"/>
    <row r="676" ht="15.75" customHeight="1" s="51"/>
    <row r="677" ht="15.75" customHeight="1" s="51"/>
    <row r="678" ht="15.75" customHeight="1" s="51"/>
    <row r="679" ht="15.75" customHeight="1" s="51"/>
    <row r="680" ht="15.75" customHeight="1" s="51"/>
    <row r="681" ht="15.75" customHeight="1" s="51"/>
    <row r="682" ht="15.75" customHeight="1" s="51"/>
    <row r="683" ht="15.75" customHeight="1" s="51"/>
    <row r="684" ht="15.75" customHeight="1" s="51"/>
    <row r="685" ht="15.75" customHeight="1" s="51"/>
    <row r="686" ht="15.75" customHeight="1" s="51"/>
    <row r="687" ht="15.75" customHeight="1" s="51"/>
    <row r="688" ht="15.75" customHeight="1" s="51"/>
    <row r="689" ht="15.75" customHeight="1" s="51"/>
    <row r="690" ht="15.75" customHeight="1" s="51"/>
    <row r="691" ht="15.75" customHeight="1" s="51"/>
    <row r="692" ht="15.75" customHeight="1" s="51"/>
    <row r="693" ht="15.75" customHeight="1" s="51"/>
    <row r="694" ht="15.75" customHeight="1" s="51"/>
    <row r="695" ht="15.75" customHeight="1" s="51"/>
    <row r="696" ht="15.75" customHeight="1" s="51"/>
    <row r="697" ht="15.75" customHeight="1" s="51"/>
    <row r="698" ht="15.75" customHeight="1" s="51"/>
    <row r="699" ht="15.75" customHeight="1" s="51"/>
    <row r="700" ht="15.75" customHeight="1" s="51"/>
    <row r="701" ht="15.75" customHeight="1" s="51"/>
    <row r="702" ht="15.75" customHeight="1" s="51"/>
    <row r="703" ht="15.75" customHeight="1" s="51"/>
    <row r="704" ht="15.75" customHeight="1" s="51"/>
    <row r="705" ht="15.75" customHeight="1" s="51"/>
    <row r="706" ht="15.75" customHeight="1" s="51"/>
    <row r="707" ht="15.75" customHeight="1" s="51"/>
    <row r="708" ht="15.75" customHeight="1" s="51"/>
    <row r="709" ht="15.75" customHeight="1" s="51"/>
    <row r="710" ht="15.75" customHeight="1" s="51"/>
    <row r="711" ht="15.75" customHeight="1" s="51"/>
    <row r="712" ht="15.75" customHeight="1" s="51"/>
    <row r="713" ht="15.75" customHeight="1" s="51"/>
    <row r="714" ht="15.75" customHeight="1" s="51"/>
    <row r="715" ht="15.75" customHeight="1" s="51"/>
    <row r="716" ht="15.75" customHeight="1" s="51"/>
    <row r="717" ht="15.75" customHeight="1" s="51"/>
    <row r="718" ht="15.75" customHeight="1" s="51"/>
    <row r="719" ht="15.75" customHeight="1" s="51"/>
    <row r="720" ht="15.75" customHeight="1" s="51"/>
    <row r="721" ht="15.75" customHeight="1" s="51"/>
    <row r="722" ht="15.75" customHeight="1" s="51"/>
    <row r="723" ht="15.75" customHeight="1" s="51"/>
    <row r="724" ht="15.75" customHeight="1" s="51"/>
    <row r="725" ht="15.75" customHeight="1" s="51"/>
    <row r="726" ht="15.75" customHeight="1" s="51"/>
    <row r="727" ht="15.75" customHeight="1" s="51"/>
    <row r="728" ht="15.75" customHeight="1" s="51"/>
    <row r="729" ht="15.75" customHeight="1" s="51"/>
    <row r="730" ht="15.75" customHeight="1" s="51"/>
    <row r="731" ht="15.75" customHeight="1" s="51"/>
    <row r="732" ht="15.75" customHeight="1" s="51"/>
    <row r="733" ht="15.75" customHeight="1" s="51"/>
    <row r="734" ht="15.75" customHeight="1" s="51"/>
    <row r="735" ht="15.75" customHeight="1" s="51"/>
    <row r="736" ht="15.75" customHeight="1" s="51"/>
    <row r="737" ht="15.75" customHeight="1" s="51"/>
    <row r="738" ht="15.75" customHeight="1" s="51"/>
    <row r="739" ht="15.75" customHeight="1" s="51"/>
    <row r="740" ht="15.75" customHeight="1" s="51"/>
    <row r="741" ht="15.75" customHeight="1" s="51"/>
    <row r="742" ht="15.75" customHeight="1" s="51"/>
    <row r="743" ht="15.75" customHeight="1" s="51"/>
    <row r="744" ht="15.75" customHeight="1" s="51"/>
    <row r="745" ht="15.75" customHeight="1" s="51"/>
    <row r="746" ht="15.75" customHeight="1" s="51"/>
    <row r="747" ht="15.75" customHeight="1" s="51"/>
    <row r="748" ht="15.75" customHeight="1" s="51"/>
    <row r="749" ht="15.75" customHeight="1" s="51"/>
    <row r="750" ht="15.75" customHeight="1" s="51"/>
    <row r="751" ht="15.75" customHeight="1" s="51"/>
    <row r="752" ht="15.75" customHeight="1" s="51"/>
    <row r="753" ht="15.75" customHeight="1" s="51"/>
    <row r="754" ht="15.75" customHeight="1" s="51"/>
    <row r="755" ht="15.75" customHeight="1" s="51"/>
    <row r="756" ht="15.75" customHeight="1" s="51"/>
    <row r="757" ht="15.75" customHeight="1" s="51"/>
    <row r="758" ht="15.75" customHeight="1" s="51"/>
    <row r="759" ht="15.75" customHeight="1" s="51"/>
    <row r="760" ht="15.75" customHeight="1" s="51"/>
    <row r="761" ht="15.75" customHeight="1" s="51"/>
    <row r="762" ht="15.75" customHeight="1" s="51"/>
    <row r="763" ht="15.75" customHeight="1" s="51"/>
    <row r="764" ht="15.75" customHeight="1" s="51"/>
    <row r="765" ht="15.75" customHeight="1" s="51"/>
    <row r="766" ht="15.75" customHeight="1" s="51"/>
    <row r="767" ht="15.75" customHeight="1" s="51"/>
    <row r="768" ht="15.75" customHeight="1" s="51"/>
    <row r="769" ht="15.75" customHeight="1" s="51"/>
    <row r="770" ht="15.75" customHeight="1" s="51"/>
    <row r="771" ht="15.75" customHeight="1" s="51"/>
    <row r="772" ht="15.75" customHeight="1" s="51"/>
    <row r="773" ht="15.75" customHeight="1" s="51"/>
    <row r="774" ht="15.75" customHeight="1" s="51"/>
    <row r="775" ht="15.75" customHeight="1" s="51"/>
    <row r="776" ht="15.75" customHeight="1" s="51"/>
    <row r="777" ht="15.75" customHeight="1" s="51"/>
    <row r="778" ht="15.75" customHeight="1" s="51"/>
    <row r="779" ht="15.75" customHeight="1" s="51"/>
    <row r="780" ht="15.75" customHeight="1" s="51"/>
    <row r="781" ht="15.75" customHeight="1" s="51"/>
    <row r="782" ht="15.75" customHeight="1" s="51"/>
    <row r="783" ht="15.75" customHeight="1" s="51"/>
    <row r="784" ht="15.75" customHeight="1" s="51"/>
    <row r="785" ht="15.75" customHeight="1" s="51"/>
    <row r="786" ht="15.75" customHeight="1" s="51"/>
    <row r="787" ht="15.75" customHeight="1" s="51"/>
    <row r="788" ht="15.75" customHeight="1" s="51"/>
    <row r="789" ht="15.75" customHeight="1" s="51"/>
    <row r="790" ht="15.75" customHeight="1" s="51"/>
    <row r="791" ht="15.75" customHeight="1" s="51"/>
    <row r="792" ht="15.75" customHeight="1" s="51"/>
    <row r="793" ht="15.75" customHeight="1" s="51"/>
    <row r="794" ht="15.75" customHeight="1" s="51"/>
    <row r="795" ht="15.75" customHeight="1" s="51"/>
    <row r="796" ht="15.75" customHeight="1" s="51"/>
    <row r="797" ht="15.75" customHeight="1" s="51"/>
    <row r="798" ht="15.75" customHeight="1" s="51"/>
    <row r="799" ht="15.75" customHeight="1" s="51"/>
    <row r="800" ht="15.75" customHeight="1" s="51"/>
    <row r="801" ht="15.75" customHeight="1" s="51"/>
    <row r="802" ht="15.75" customHeight="1" s="51"/>
    <row r="803" ht="15.75" customHeight="1" s="51"/>
    <row r="804" ht="15.75" customHeight="1" s="51"/>
    <row r="805" ht="15.75" customHeight="1" s="51"/>
    <row r="806" ht="15.75" customHeight="1" s="51"/>
    <row r="807" ht="15.75" customHeight="1" s="51"/>
    <row r="808" ht="15.75" customHeight="1" s="51"/>
    <row r="809" ht="15.75" customHeight="1" s="51"/>
    <row r="810" ht="15.75" customHeight="1" s="51"/>
    <row r="811" ht="15.75" customHeight="1" s="51"/>
    <row r="812" ht="15.75" customHeight="1" s="51"/>
    <row r="813" ht="15.75" customHeight="1" s="51"/>
    <row r="814" ht="15.75" customHeight="1" s="51"/>
    <row r="815" ht="15.75" customHeight="1" s="51"/>
    <row r="816" ht="15.75" customHeight="1" s="51"/>
    <row r="817" ht="15.75" customHeight="1" s="51"/>
    <row r="818" ht="15.75" customHeight="1" s="51"/>
    <row r="819" ht="15.75" customHeight="1" s="51"/>
    <row r="820" ht="15.75" customHeight="1" s="51"/>
    <row r="821" ht="15.75" customHeight="1" s="51"/>
    <row r="822" ht="15.75" customHeight="1" s="51"/>
    <row r="823" ht="15.75" customHeight="1" s="51"/>
    <row r="824" ht="15.75" customHeight="1" s="51"/>
    <row r="825" ht="15.75" customHeight="1" s="51"/>
    <row r="826" ht="15.75" customHeight="1" s="51"/>
    <row r="827" ht="15.75" customHeight="1" s="51"/>
    <row r="828" ht="15.75" customHeight="1" s="51"/>
    <row r="829" ht="15.75" customHeight="1" s="51"/>
    <row r="830" ht="15.75" customHeight="1" s="51"/>
    <row r="831" ht="15.75" customHeight="1" s="51"/>
    <row r="832" ht="15.75" customHeight="1" s="51"/>
    <row r="833" ht="15.75" customHeight="1" s="51"/>
    <row r="834" ht="15.75" customHeight="1" s="51"/>
    <row r="835" ht="15.75" customHeight="1" s="51"/>
    <row r="836" ht="15.75" customHeight="1" s="51"/>
    <row r="837" ht="15.75" customHeight="1" s="51"/>
    <row r="838" ht="15.75" customHeight="1" s="51"/>
    <row r="839" ht="15.75" customHeight="1" s="51"/>
    <row r="840" ht="15.75" customHeight="1" s="51"/>
    <row r="841" ht="15.75" customHeight="1" s="51"/>
    <row r="842" ht="15.75" customHeight="1" s="51"/>
    <row r="843" ht="15.75" customHeight="1" s="51"/>
    <row r="844" ht="15.75" customHeight="1" s="51"/>
    <row r="845" ht="15.75" customHeight="1" s="51"/>
    <row r="846" ht="15.75" customHeight="1" s="51"/>
    <row r="847" ht="15.75" customHeight="1" s="51"/>
    <row r="848" ht="15.75" customHeight="1" s="51"/>
    <row r="849" ht="15.75" customHeight="1" s="51"/>
    <row r="850" ht="15.75" customHeight="1" s="51"/>
    <row r="851" ht="15.75" customHeight="1" s="51"/>
    <row r="852" ht="15.75" customHeight="1" s="51"/>
    <row r="853" ht="15.75" customHeight="1" s="51"/>
    <row r="854" ht="15.75" customHeight="1" s="51"/>
    <row r="855" ht="15.75" customHeight="1" s="51"/>
    <row r="856" ht="15.75" customHeight="1" s="51"/>
    <row r="857" ht="15.75" customHeight="1" s="51"/>
    <row r="858" ht="15.75" customHeight="1" s="51"/>
    <row r="859" ht="15.75" customHeight="1" s="51"/>
    <row r="860" ht="15.75" customHeight="1" s="51"/>
    <row r="861" ht="15.75" customHeight="1" s="51"/>
    <row r="862" ht="15.75" customHeight="1" s="51"/>
    <row r="863" ht="15.75" customHeight="1" s="51"/>
    <row r="864" ht="15.75" customHeight="1" s="51"/>
    <row r="865" ht="15.75" customHeight="1" s="51"/>
    <row r="866" ht="15.75" customHeight="1" s="51"/>
    <row r="867" ht="15.75" customHeight="1" s="51"/>
    <row r="868" ht="15.75" customHeight="1" s="51"/>
    <row r="869" ht="15.75" customHeight="1" s="51"/>
    <row r="870" ht="15.75" customHeight="1" s="51"/>
    <row r="871" ht="15.75" customHeight="1" s="51"/>
    <row r="872" ht="15.75" customHeight="1" s="51"/>
    <row r="873" ht="15.75" customHeight="1" s="51"/>
    <row r="874" ht="15.75" customHeight="1" s="51"/>
    <row r="875" ht="15.75" customHeight="1" s="51"/>
    <row r="876" ht="15.75" customHeight="1" s="51"/>
    <row r="877" ht="15.75" customHeight="1" s="51"/>
    <row r="878" ht="15.75" customHeight="1" s="51"/>
    <row r="879" ht="15.75" customHeight="1" s="51"/>
    <row r="880" ht="15.75" customHeight="1" s="51"/>
    <row r="881" ht="15.75" customHeight="1" s="51"/>
    <row r="882" ht="15.75" customHeight="1" s="51"/>
    <row r="883" ht="15.75" customHeight="1" s="51"/>
    <row r="884" ht="15.75" customHeight="1" s="51"/>
    <row r="885" ht="15.75" customHeight="1" s="51"/>
    <row r="886" ht="15.75" customHeight="1" s="51"/>
    <row r="887" ht="15.75" customHeight="1" s="51"/>
    <row r="888" ht="15.75" customHeight="1" s="51"/>
    <row r="889" ht="15.75" customHeight="1" s="51"/>
    <row r="890" ht="15.75" customHeight="1" s="51"/>
    <row r="891" ht="15.75" customHeight="1" s="51"/>
    <row r="892" ht="15.75" customHeight="1" s="51"/>
    <row r="893" ht="15.75" customHeight="1" s="51"/>
    <row r="894" ht="15.75" customHeight="1" s="51"/>
    <row r="895" ht="15.75" customHeight="1" s="51"/>
    <row r="896" ht="15.75" customHeight="1" s="51"/>
    <row r="897" ht="15.75" customHeight="1" s="51"/>
    <row r="898" ht="15.75" customHeight="1" s="51"/>
    <row r="899" ht="15.75" customHeight="1" s="51"/>
    <row r="900" ht="15.75" customHeight="1" s="51"/>
    <row r="901" ht="15.75" customHeight="1" s="51"/>
    <row r="902" ht="15.75" customHeight="1" s="51"/>
    <row r="903" ht="15.75" customHeight="1" s="51"/>
    <row r="904" ht="15.75" customHeight="1" s="51"/>
    <row r="905" ht="15.75" customHeight="1" s="51"/>
    <row r="906" ht="15.75" customHeight="1" s="51"/>
    <row r="907" ht="15.75" customHeight="1" s="51"/>
    <row r="908" ht="15.75" customHeight="1" s="51"/>
    <row r="909" ht="15.75" customHeight="1" s="51"/>
    <row r="910" ht="15.75" customHeight="1" s="51"/>
    <row r="911" ht="15.75" customHeight="1" s="51"/>
    <row r="912" ht="15.75" customHeight="1" s="51"/>
    <row r="913" ht="15.75" customHeight="1" s="51"/>
    <row r="914" ht="15.75" customHeight="1" s="51"/>
    <row r="915" ht="15.75" customHeight="1" s="51"/>
    <row r="916" ht="15.75" customHeight="1" s="51"/>
    <row r="917" ht="15.75" customHeight="1" s="51"/>
    <row r="918" ht="15.75" customHeight="1" s="51"/>
    <row r="919" ht="15.75" customHeight="1" s="51"/>
    <row r="920" ht="15.75" customHeight="1" s="51"/>
    <row r="921" ht="15.75" customHeight="1" s="51"/>
    <row r="922" ht="15.75" customHeight="1" s="51"/>
    <row r="923" ht="15.75" customHeight="1" s="51"/>
    <row r="924" ht="15.75" customHeight="1" s="51"/>
    <row r="925" ht="15.75" customHeight="1" s="51"/>
    <row r="926" ht="15.75" customHeight="1" s="51"/>
    <row r="927" ht="15.75" customHeight="1" s="51"/>
    <row r="928" ht="15.75" customHeight="1" s="51"/>
    <row r="929" ht="15.75" customHeight="1" s="51"/>
    <row r="930" ht="15.75" customHeight="1" s="51"/>
    <row r="931" ht="15.75" customHeight="1" s="51"/>
    <row r="932" ht="15.75" customHeight="1" s="51"/>
    <row r="933" ht="15.75" customHeight="1" s="51"/>
    <row r="934" ht="15.75" customHeight="1" s="51"/>
    <row r="935" ht="15.75" customHeight="1" s="51"/>
    <row r="936" ht="15.75" customHeight="1" s="51"/>
    <row r="937" ht="15.75" customHeight="1" s="51"/>
    <row r="938" ht="15.75" customHeight="1" s="51"/>
    <row r="939" ht="15.75" customHeight="1" s="51"/>
    <row r="940" ht="15.75" customHeight="1" s="51"/>
    <row r="941" ht="15.75" customHeight="1" s="51"/>
    <row r="942" ht="15.75" customHeight="1" s="51"/>
    <row r="943" ht="15.75" customHeight="1" s="51"/>
    <row r="944" ht="15.75" customHeight="1" s="51"/>
    <row r="945" ht="15.75" customHeight="1" s="51"/>
    <row r="946" ht="15.75" customHeight="1" s="51"/>
    <row r="947" ht="15.75" customHeight="1" s="51"/>
    <row r="948" ht="15.75" customHeight="1" s="51"/>
    <row r="949" ht="15.75" customHeight="1" s="51"/>
    <row r="950" ht="15.75" customHeight="1" s="51"/>
    <row r="951" ht="15.75" customHeight="1" s="51"/>
    <row r="952" ht="15.75" customHeight="1" s="51"/>
    <row r="953" ht="15.75" customHeight="1" s="51"/>
    <row r="954" ht="15.75" customHeight="1" s="51"/>
    <row r="955" ht="15.75" customHeight="1" s="51"/>
    <row r="956" ht="15.75" customHeight="1" s="51"/>
    <row r="957" ht="15.75" customHeight="1" s="51"/>
    <row r="958" ht="15.75" customHeight="1" s="51"/>
    <row r="959" ht="15.75" customHeight="1" s="51"/>
    <row r="960" ht="15.75" customHeight="1" s="51"/>
    <row r="961" ht="15.75" customHeight="1" s="51"/>
    <row r="962" ht="15.75" customHeight="1" s="51"/>
    <row r="963" ht="15.75" customHeight="1" s="51"/>
    <row r="964" ht="15.75" customHeight="1" s="51"/>
    <row r="965" ht="15.75" customHeight="1" s="51"/>
    <row r="966" ht="15.75" customHeight="1" s="51"/>
    <row r="967" ht="15.75" customHeight="1" s="51"/>
    <row r="968" ht="15.75" customHeight="1" s="51"/>
    <row r="969" ht="15.75" customHeight="1" s="51"/>
    <row r="970" ht="15.75" customHeight="1" s="51"/>
    <row r="971" ht="15.75" customHeight="1" s="51"/>
    <row r="972" ht="15.75" customHeight="1" s="51"/>
    <row r="973" ht="15.75" customHeight="1" s="51"/>
    <row r="974" ht="15.75" customHeight="1" s="51"/>
    <row r="975" ht="15.75" customHeight="1" s="51"/>
    <row r="976" ht="15.75" customHeight="1" s="51"/>
    <row r="977" ht="15.75" customHeight="1" s="51"/>
    <row r="978" ht="15.75" customHeight="1" s="51"/>
    <row r="979" ht="15.75" customHeight="1" s="51"/>
    <row r="980" ht="15.75" customHeight="1" s="51"/>
    <row r="981" ht="15.75" customHeight="1" s="51"/>
    <row r="982" ht="15.75" customHeight="1" s="51"/>
    <row r="983" ht="15.75" customHeight="1" s="51"/>
    <row r="984" ht="15.75" customHeight="1" s="51"/>
    <row r="985" ht="15.75" customHeight="1" s="51"/>
    <row r="986" ht="15.75" customHeight="1" s="51"/>
    <row r="987" ht="15.75" customHeight="1" s="51"/>
    <row r="988" ht="15.75" customHeight="1" s="51"/>
    <row r="989" ht="15.75" customHeight="1" s="51"/>
    <row r="990" ht="15.75" customHeight="1" s="51"/>
    <row r="991" ht="15.75" customHeight="1" s="51"/>
    <row r="992" ht="15.75" customHeight="1" s="51"/>
    <row r="993" ht="15.75" customHeight="1" s="51"/>
    <row r="994" ht="15.75" customHeight="1" s="51"/>
    <row r="995" ht="15.75" customHeight="1" s="51"/>
    <row r="996" ht="15.75" customHeight="1" s="51"/>
    <row r="997" ht="15.75" customHeight="1" s="51"/>
    <row r="998" ht="15.75" customHeight="1" s="51"/>
    <row r="999" ht="15.75" customHeight="1" s="51"/>
    <row r="1000" ht="15.75" customHeight="1" s="51"/>
  </sheetData>
  <autoFilter ref="A4:G26"/>
  <mergeCells count="3">
    <mergeCell ref="A2:G2"/>
    <mergeCell ref="A1:G1"/>
    <mergeCell ref="A28:E28"/>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P219"/>
  <sheetViews>
    <sheetView workbookViewId="0">
      <pane ySplit="4" topLeftCell="A5" activePane="bottomLeft" state="frozen"/>
      <selection pane="bottomLeft" activeCell="B6" sqref="B6"/>
    </sheetView>
  </sheetViews>
  <sheetFormatPr baseColWidth="8" defaultColWidth="14.43" defaultRowHeight="15" customHeight="1"/>
  <cols>
    <col width="32" customWidth="1" style="51" min="1" max="1"/>
    <col width="12" customWidth="1" style="51" min="2" max="2"/>
    <col width="34" customWidth="1" style="51" min="3" max="3"/>
    <col width="16" customWidth="1" style="51" min="4" max="4"/>
    <col width="46" customWidth="1" style="51" min="5" max="5"/>
    <col width="9" customWidth="1" style="51" min="6" max="6"/>
    <col width="12" customWidth="1" style="51" min="7" max="9"/>
    <col width="12.86" customWidth="1" style="51" min="10" max="10"/>
    <col width="27.71" customWidth="1" style="51" min="11" max="11"/>
    <col width="17.29" customWidth="1" style="51" min="12" max="13"/>
    <col width="41.14" customWidth="1" style="51" min="14" max="15"/>
    <col width="36" customWidth="1" style="51" min="16" max="16"/>
    <col width="8.710000000000001" customWidth="1" style="51" min="17" max="28"/>
  </cols>
  <sheetData>
    <row r="1" ht="25.5" customHeight="1" s="51">
      <c r="A1" s="52" t="inlineStr">
        <is>
          <t>INCOME &amp; EXPENSE DETAIL</t>
        </is>
      </c>
    </row>
    <row r="2" ht="13.5" customHeight="1" s="51">
      <c r="A2" s="53" t="inlineStr">
        <is>
          <t>Line-item detail by property/year. Totals use =SUM to cross-check printed figures.</t>
        </is>
      </c>
    </row>
    <row r="4" ht="27.75" customHeight="1" s="51">
      <c r="A4" s="6" t="inlineStr">
        <is>
          <t>Property / Year</t>
        </is>
      </c>
      <c r="B4" s="6" t="inlineStr">
        <is>
          <t>Category</t>
        </is>
      </c>
      <c r="C4" s="6" t="inlineStr">
        <is>
          <t>Line Item / Account</t>
        </is>
      </c>
      <c r="D4" s="6" t="inlineStr">
        <is>
          <t>Amount</t>
        </is>
      </c>
      <c r="E4" s="6" t="inlineStr">
        <is>
          <t>Notes</t>
        </is>
      </c>
      <c r="F4" s="9" t="inlineStr">
        <is>
          <t>Batch</t>
        </is>
      </c>
      <c r="G4" s="9" t="inlineStr">
        <is>
          <t>OCCC Code</t>
        </is>
      </c>
    </row>
    <row r="5">
      <c r="A5" s="12" t="inlineStr">
        <is>
          <t>5970 Marion Drive — FY2024</t>
        </is>
      </c>
      <c r="B5" s="39" t="inlineStr">
        <is>
          <t>Income</t>
        </is>
      </c>
      <c r="C5" s="12" t="inlineStr">
        <is>
          <t>4001 - Rent (Units 1 &amp; 2)</t>
        </is>
      </c>
      <c r="D5" s="33" t="n">
        <v>168399.6</v>
      </c>
      <c r="E5" s="12" t="inlineStr">
        <is>
          <t>Whatever It Takes Transmissions + Integrated Turf Solutions</t>
        </is>
      </c>
      <c r="G5" t="inlineStr">
        <is>
          <t>IND-2U</t>
        </is>
      </c>
    </row>
    <row r="6">
      <c r="A6" s="12" t="inlineStr">
        <is>
          <t>5970 Marion Drive — FY2024</t>
        </is>
      </c>
      <c r="B6" s="39" t="inlineStr">
        <is>
          <t>Income</t>
        </is>
      </c>
      <c r="C6" s="12" t="inlineStr">
        <is>
          <t>4200 - CAM Escrows</t>
        </is>
      </c>
      <c r="D6" s="33" t="n">
        <v>81272.60000000001</v>
      </c>
      <c r="E6" s="12" t="inlineStr">
        <is>
          <t>CAM recoveries</t>
        </is>
      </c>
      <c r="G6" t="inlineStr">
        <is>
          <t>IND-2U</t>
        </is>
      </c>
    </row>
    <row r="7">
      <c r="A7" s="26" t="inlineStr">
        <is>
          <t>5970 Marion Drive — FY2024</t>
        </is>
      </c>
      <c r="B7" s="40" t="inlineStr">
        <is>
          <t>Income</t>
        </is>
      </c>
      <c r="C7" s="27" t="inlineStr">
        <is>
          <t>TOTAL INCOME</t>
        </is>
      </c>
      <c r="D7" s="34">
        <f>SUM(D5:D6)</f>
        <v/>
      </c>
      <c r="E7" s="41" t="inlineStr">
        <is>
          <t>Printed total: $249,672.20.</t>
        </is>
      </c>
      <c r="G7" t="inlineStr">
        <is>
          <t>IND-2U</t>
        </is>
      </c>
    </row>
    <row r="8">
      <c r="A8" s="12" t="inlineStr">
        <is>
          <t>5970 Marion Drive — FY2024</t>
        </is>
      </c>
      <c r="B8" s="42" t="inlineStr">
        <is>
          <t>Expense</t>
        </is>
      </c>
      <c r="C8" s="12" t="inlineStr">
        <is>
          <t>Utilities - Water</t>
        </is>
      </c>
      <c r="D8" s="33" t="n">
        <v>2175.55</v>
      </c>
      <c r="E8" s="12" t="n"/>
      <c r="G8" t="inlineStr">
        <is>
          <t>IND-2U</t>
        </is>
      </c>
    </row>
    <row r="9">
      <c r="A9" s="12" t="inlineStr">
        <is>
          <t>5970 Marion Drive — FY2024</t>
        </is>
      </c>
      <c r="B9" s="42" t="inlineStr">
        <is>
          <t>Expense</t>
        </is>
      </c>
      <c r="C9" s="12" t="inlineStr">
        <is>
          <t>Utilities - Sewer</t>
        </is>
      </c>
      <c r="D9" s="33" t="n">
        <v>394.3</v>
      </c>
      <c r="E9" s="12" t="n"/>
      <c r="G9" t="inlineStr">
        <is>
          <t>IND-2U</t>
        </is>
      </c>
    </row>
    <row r="10">
      <c r="A10" s="12" t="inlineStr">
        <is>
          <t>5970 Marion Drive — FY2024</t>
        </is>
      </c>
      <c r="B10" s="42" t="inlineStr">
        <is>
          <t>Expense</t>
        </is>
      </c>
      <c r="C10" s="12" t="inlineStr">
        <is>
          <t>Inspection &amp; Compliance</t>
        </is>
      </c>
      <c r="D10" s="33" t="n">
        <v>100</v>
      </c>
      <c r="E10" s="12" t="n"/>
      <c r="G10" t="inlineStr">
        <is>
          <t>IND-2U</t>
        </is>
      </c>
    </row>
    <row r="11">
      <c r="A11" s="12" t="inlineStr">
        <is>
          <t>5970 Marion Drive — FY2024</t>
        </is>
      </c>
      <c r="B11" s="42" t="inlineStr">
        <is>
          <t>Expense</t>
        </is>
      </c>
      <c r="C11" s="12" t="inlineStr">
        <is>
          <t>Snow Removal</t>
        </is>
      </c>
      <c r="D11" s="33" t="n">
        <v>927.47</v>
      </c>
      <c r="E11" s="12" t="n"/>
      <c r="G11" t="inlineStr">
        <is>
          <t>IND-2U</t>
        </is>
      </c>
    </row>
    <row r="12">
      <c r="A12" s="12" t="inlineStr">
        <is>
          <t>5970 Marion Drive — FY2024</t>
        </is>
      </c>
      <c r="B12" s="42" t="inlineStr">
        <is>
          <t>Expense</t>
        </is>
      </c>
      <c r="C12" s="12" t="inlineStr">
        <is>
          <t>Common Area Clean</t>
        </is>
      </c>
      <c r="D12" s="33" t="n">
        <v>200</v>
      </c>
      <c r="E12" s="12" t="n"/>
      <c r="G12" t="inlineStr">
        <is>
          <t>IND-2U</t>
        </is>
      </c>
    </row>
    <row r="13">
      <c r="A13" s="12" t="inlineStr">
        <is>
          <t>5970 Marion Drive — FY2024</t>
        </is>
      </c>
      <c r="B13" s="42" t="inlineStr">
        <is>
          <t>Expense</t>
        </is>
      </c>
      <c r="C13" s="12" t="inlineStr">
        <is>
          <t>Property Management</t>
        </is>
      </c>
      <c r="D13" s="33" t="n">
        <v>6000</v>
      </c>
      <c r="E13" s="12" t="inlineStr">
        <is>
          <t>Deerwoods</t>
        </is>
      </c>
      <c r="G13" t="inlineStr">
        <is>
          <t>IND-2U</t>
        </is>
      </c>
    </row>
    <row r="14">
      <c r="A14" s="12" t="inlineStr">
        <is>
          <t>5970 Marion Drive — FY2024</t>
        </is>
      </c>
      <c r="B14" s="42" t="inlineStr">
        <is>
          <t>Expense</t>
        </is>
      </c>
      <c r="C14" s="12" t="inlineStr">
        <is>
          <t>Eviction Fees</t>
        </is>
      </c>
      <c r="D14" s="33" t="n">
        <v>0</v>
      </c>
      <c r="E14" s="12" t="inlineStr">
        <is>
          <t>net $0</t>
        </is>
      </c>
      <c r="G14" t="inlineStr">
        <is>
          <t>IND-2U</t>
        </is>
      </c>
    </row>
    <row r="15">
      <c r="A15" s="12" t="inlineStr">
        <is>
          <t>5970 Marion Drive — FY2024</t>
        </is>
      </c>
      <c r="B15" s="42" t="inlineStr">
        <is>
          <t>Expense</t>
        </is>
      </c>
      <c r="C15" s="12" t="inlineStr">
        <is>
          <t>Insurance</t>
        </is>
      </c>
      <c r="D15" s="33" t="n">
        <v>10241.26</v>
      </c>
      <c r="E15" s="12" t="inlineStr">
        <is>
          <t>Farmers</t>
        </is>
      </c>
      <c r="G15" t="inlineStr">
        <is>
          <t>IND-2U</t>
        </is>
      </c>
    </row>
    <row r="16">
      <c r="A16" s="12" t="inlineStr">
        <is>
          <t>5970 Marion Drive — FY2024</t>
        </is>
      </c>
      <c r="B16" s="42" t="inlineStr">
        <is>
          <t>Expense</t>
        </is>
      </c>
      <c r="C16" s="12" t="inlineStr">
        <is>
          <t>Taxes - Real Property</t>
        </is>
      </c>
      <c r="D16" s="33" t="n">
        <v>62852.62</v>
      </c>
      <c r="E16" s="12" t="inlineStr">
        <is>
          <t>Adams Co.</t>
        </is>
      </c>
      <c r="G16" t="inlineStr">
        <is>
          <t>IND-2U</t>
        </is>
      </c>
    </row>
    <row r="17">
      <c r="A17" s="12" t="inlineStr">
        <is>
          <t>5970 Marion Drive — FY2024</t>
        </is>
      </c>
      <c r="B17" s="42" t="inlineStr">
        <is>
          <t>Expense</t>
        </is>
      </c>
      <c r="C17" s="12" t="inlineStr">
        <is>
          <t>Taxes Other</t>
        </is>
      </c>
      <c r="D17" s="33" t="n">
        <v>800</v>
      </c>
      <c r="E17" s="12" t="n"/>
      <c r="G17" t="inlineStr">
        <is>
          <t>IND-2U</t>
        </is>
      </c>
    </row>
    <row r="18">
      <c r="A18" s="12" t="inlineStr">
        <is>
          <t>5970 Marion Drive — FY2024</t>
        </is>
      </c>
      <c r="B18" s="42" t="inlineStr">
        <is>
          <t>Expense</t>
        </is>
      </c>
      <c r="C18" s="12" t="inlineStr">
        <is>
          <t>Mortgage Principal</t>
        </is>
      </c>
      <c r="D18" s="33" t="n">
        <v>27586.31</v>
      </c>
      <c r="E18" s="12" t="inlineStr">
        <is>
          <t>Alpine Bank</t>
        </is>
      </c>
      <c r="G18" t="inlineStr">
        <is>
          <t>IND-2U</t>
        </is>
      </c>
    </row>
    <row r="19">
      <c r="A19" s="12" t="inlineStr">
        <is>
          <t>5970 Marion Drive — FY2024</t>
        </is>
      </c>
      <c r="B19" s="42" t="inlineStr">
        <is>
          <t>Expense</t>
        </is>
      </c>
      <c r="C19" s="12" t="inlineStr">
        <is>
          <t>Mortgage Interest</t>
        </is>
      </c>
      <c r="D19" s="33" t="n">
        <v>50738.17</v>
      </c>
      <c r="E19" s="12" t="inlineStr">
        <is>
          <t>Alpine Bank</t>
        </is>
      </c>
      <c r="G19" t="inlineStr">
        <is>
          <t>IND-2U</t>
        </is>
      </c>
    </row>
    <row r="20">
      <c r="A20" s="12" t="inlineStr">
        <is>
          <t>5970 Marion Drive — FY2024</t>
        </is>
      </c>
      <c r="B20" s="42" t="inlineStr">
        <is>
          <t>Expense</t>
        </is>
      </c>
      <c r="C20" s="12" t="inlineStr">
        <is>
          <t>Legal &amp; Professional</t>
        </is>
      </c>
      <c r="D20" s="33" t="n">
        <v>465</v>
      </c>
      <c r="E20" s="12" t="n"/>
      <c r="G20" t="inlineStr">
        <is>
          <t>IND-2U</t>
        </is>
      </c>
    </row>
    <row r="21" ht="15.75" customHeight="1" s="51">
      <c r="A21" s="12" t="inlineStr">
        <is>
          <t>5970 Marion Drive — FY2024</t>
        </is>
      </c>
      <c r="B21" s="42" t="inlineStr">
        <is>
          <t>Expense</t>
        </is>
      </c>
      <c r="C21" s="12" t="inlineStr">
        <is>
          <t>Other</t>
        </is>
      </c>
      <c r="D21" s="33" t="n">
        <v>293.68</v>
      </c>
      <c r="E21" s="12" t="n"/>
      <c r="G21" t="inlineStr">
        <is>
          <t>IND-2U</t>
        </is>
      </c>
    </row>
    <row r="22" ht="15.75" customHeight="1" s="51">
      <c r="A22" s="26" t="inlineStr">
        <is>
          <t>5970 Marion Drive — FY2024</t>
        </is>
      </c>
      <c r="B22" s="43" t="inlineStr">
        <is>
          <t>Expense</t>
        </is>
      </c>
      <c r="C22" s="27" t="inlineStr">
        <is>
          <t>TOTAL EXPENSE</t>
        </is>
      </c>
      <c r="D22" s="34">
        <f>SUM(D8:D21)</f>
        <v/>
      </c>
      <c r="E22" s="41" t="inlineStr">
        <is>
          <t>Printed total: $162,774.36. cash basis; incl. debt service &amp; property taxes</t>
        </is>
      </c>
      <c r="G22" t="inlineStr">
        <is>
          <t>IND-2U</t>
        </is>
      </c>
    </row>
    <row r="23" ht="15.75" customHeight="1" s="51">
      <c r="A23" s="12" t="inlineStr">
        <is>
          <t>5970 Marion Drive — FY2023</t>
        </is>
      </c>
      <c r="B23" s="39" t="inlineStr">
        <is>
          <t>Income</t>
        </is>
      </c>
      <c r="C23" s="12" t="inlineStr">
        <is>
          <t>CAM Escrows</t>
        </is>
      </c>
      <c r="D23" s="33" t="n">
        <v>89143.03999999999</v>
      </c>
      <c r="E23" s="12" t="n"/>
      <c r="G23" t="inlineStr">
        <is>
          <t>IND-2U</t>
        </is>
      </c>
    </row>
    <row r="24" ht="15.75" customHeight="1" s="51">
      <c r="A24" s="12" t="inlineStr">
        <is>
          <t>5970 Marion Drive — FY2023</t>
        </is>
      </c>
      <c r="B24" s="39" t="inlineStr">
        <is>
          <t>Income</t>
        </is>
      </c>
      <c r="C24" s="12" t="inlineStr">
        <is>
          <t>Prior Year CAM</t>
        </is>
      </c>
      <c r="D24" s="33" t="n">
        <v>523.01</v>
      </c>
      <c r="E24" s="12" t="n"/>
      <c r="G24" t="inlineStr">
        <is>
          <t>IND-2U</t>
        </is>
      </c>
    </row>
    <row r="25" ht="15.75" customHeight="1" s="51">
      <c r="A25" s="12" t="inlineStr">
        <is>
          <t>5970 Marion Drive — FY2023</t>
        </is>
      </c>
      <c r="B25" s="39" t="inlineStr">
        <is>
          <t>Income</t>
        </is>
      </c>
      <c r="C25" s="12" t="inlineStr">
        <is>
          <t>Tenant Admin Fees</t>
        </is>
      </c>
      <c r="D25" s="33" t="n">
        <v>500</v>
      </c>
      <c r="E25" s="12" t="n"/>
      <c r="G25" t="inlineStr">
        <is>
          <t>IND-2U</t>
        </is>
      </c>
    </row>
    <row r="26" ht="15.75" customHeight="1" s="51">
      <c r="A26" s="12" t="inlineStr">
        <is>
          <t>5970 Marion Drive — FY2023</t>
        </is>
      </c>
      <c r="B26" s="39" t="inlineStr">
        <is>
          <t>Income</t>
        </is>
      </c>
      <c r="C26" s="12" t="inlineStr">
        <is>
          <t>Rent Income</t>
        </is>
      </c>
      <c r="D26" s="33" t="n">
        <v>157145.5</v>
      </c>
      <c r="E26" s="12" t="n"/>
      <c r="G26" t="inlineStr">
        <is>
          <t>IND-2U</t>
        </is>
      </c>
    </row>
    <row r="27" ht="15.75" customHeight="1" s="51">
      <c r="A27" s="26" t="inlineStr">
        <is>
          <t>5970 Marion Drive — FY2023</t>
        </is>
      </c>
      <c r="B27" s="40" t="inlineStr">
        <is>
          <t>Income</t>
        </is>
      </c>
      <c r="C27" s="27" t="inlineStr">
        <is>
          <t>TOTAL INCOME</t>
        </is>
      </c>
      <c r="D27" s="34">
        <f>SUM(D23:D26)</f>
        <v/>
      </c>
      <c r="E27" s="41" t="inlineStr">
        <is>
          <t>Printed total: $247,311.55.</t>
        </is>
      </c>
      <c r="G27" t="inlineStr">
        <is>
          <t>IND-2U</t>
        </is>
      </c>
    </row>
    <row r="28" ht="15.75" customHeight="1" s="51">
      <c r="A28" s="12" t="inlineStr">
        <is>
          <t>5970 Marion Drive — FY2023</t>
        </is>
      </c>
      <c r="B28" s="42" t="inlineStr">
        <is>
          <t>Expense</t>
        </is>
      </c>
      <c r="C28" s="12" t="inlineStr">
        <is>
          <t>Electrical Repairs &amp; Lighting</t>
        </is>
      </c>
      <c r="D28" s="33" t="n">
        <v>1550</v>
      </c>
      <c r="E28" s="12" t="n"/>
      <c r="G28" t="inlineStr">
        <is>
          <t>IND-2U</t>
        </is>
      </c>
    </row>
    <row r="29" ht="15.75" customHeight="1" s="51">
      <c r="A29" s="12" t="inlineStr">
        <is>
          <t>5970 Marion Drive — FY2023</t>
        </is>
      </c>
      <c r="B29" s="42" t="inlineStr">
        <is>
          <t>Expense</t>
        </is>
      </c>
      <c r="C29" s="12" t="inlineStr">
        <is>
          <t>Roofing Repairs</t>
        </is>
      </c>
      <c r="D29" s="33" t="n">
        <v>47000</v>
      </c>
      <c r="E29" s="12" t="n"/>
      <c r="G29" t="inlineStr">
        <is>
          <t>IND-2U</t>
        </is>
      </c>
    </row>
    <row r="30" ht="15.75" customHeight="1" s="51">
      <c r="A30" s="12" t="inlineStr">
        <is>
          <t>5970 Marion Drive — FY2023</t>
        </is>
      </c>
      <c r="B30" s="42" t="inlineStr">
        <is>
          <t>Expense</t>
        </is>
      </c>
      <c r="C30" s="12" t="inlineStr">
        <is>
          <t>Drywall Repairs</t>
        </is>
      </c>
      <c r="D30" s="33" t="n">
        <v>810</v>
      </c>
      <c r="E30" s="12" t="n"/>
      <c r="G30" t="inlineStr">
        <is>
          <t>IND-2U</t>
        </is>
      </c>
    </row>
    <row r="31" ht="15.75" customHeight="1" s="51">
      <c r="A31" s="12" t="inlineStr">
        <is>
          <t>5970 Marion Drive — FY2023</t>
        </is>
      </c>
      <c r="B31" s="42" t="inlineStr">
        <is>
          <t>Expense</t>
        </is>
      </c>
      <c r="C31" s="12" t="inlineStr">
        <is>
          <t>Snow Removal</t>
        </is>
      </c>
      <c r="D31" s="33" t="n">
        <v>1016.31</v>
      </c>
      <c r="E31" s="12" t="n"/>
      <c r="G31" t="inlineStr">
        <is>
          <t>IND-2U</t>
        </is>
      </c>
    </row>
    <row r="32" ht="15.75" customHeight="1" s="51">
      <c r="A32" s="12" t="inlineStr">
        <is>
          <t>5970 Marion Drive — FY2023</t>
        </is>
      </c>
      <c r="B32" s="42" t="inlineStr">
        <is>
          <t>Expense</t>
        </is>
      </c>
      <c r="C32" s="12" t="inlineStr">
        <is>
          <t>Utilities - Water</t>
        </is>
      </c>
      <c r="D32" s="33" t="n">
        <v>2157.08</v>
      </c>
      <c r="E32" s="12" t="n"/>
      <c r="G32" t="inlineStr">
        <is>
          <t>IND-2U</t>
        </is>
      </c>
    </row>
    <row r="33" ht="15.75" customHeight="1" s="51">
      <c r="A33" s="12" t="inlineStr">
        <is>
          <t>5970 Marion Drive — FY2023</t>
        </is>
      </c>
      <c r="B33" s="42" t="inlineStr">
        <is>
          <t>Expense</t>
        </is>
      </c>
      <c r="C33" s="12" t="inlineStr">
        <is>
          <t>Trash</t>
        </is>
      </c>
      <c r="D33" s="33" t="n">
        <v>151.01</v>
      </c>
      <c r="E33" s="12" t="n"/>
      <c r="G33" t="inlineStr">
        <is>
          <t>IND-2U</t>
        </is>
      </c>
    </row>
    <row r="34" ht="15.75" customHeight="1" s="51">
      <c r="A34" s="12" t="inlineStr">
        <is>
          <t>5970 Marion Drive — FY2023</t>
        </is>
      </c>
      <c r="B34" s="42" t="inlineStr">
        <is>
          <t>Expense</t>
        </is>
      </c>
      <c r="C34" s="12" t="inlineStr">
        <is>
          <t>Inspection &amp; Compliance</t>
        </is>
      </c>
      <c r="D34" s="33" t="n">
        <v>110</v>
      </c>
      <c r="E34" s="12" t="n"/>
      <c r="G34" t="inlineStr">
        <is>
          <t>IND-2U</t>
        </is>
      </c>
    </row>
    <row r="35" ht="15.75" customHeight="1" s="51">
      <c r="A35" s="12" t="inlineStr">
        <is>
          <t>5970 Marion Drive — FY2023</t>
        </is>
      </c>
      <c r="B35" s="42" t="inlineStr">
        <is>
          <t>Expense</t>
        </is>
      </c>
      <c r="C35" s="12" t="inlineStr">
        <is>
          <t>Property Management</t>
        </is>
      </c>
      <c r="D35" s="33" t="n">
        <v>6000</v>
      </c>
      <c r="E35" s="12" t="n"/>
      <c r="G35" t="inlineStr">
        <is>
          <t>IND-2U</t>
        </is>
      </c>
    </row>
    <row r="36" ht="15.75" customHeight="1" s="51">
      <c r="A36" s="12" t="inlineStr">
        <is>
          <t>5970 Marion Drive — FY2023</t>
        </is>
      </c>
      <c r="B36" s="42" t="inlineStr">
        <is>
          <t>Expense</t>
        </is>
      </c>
      <c r="C36" s="12" t="inlineStr">
        <is>
          <t>Bank fees</t>
        </is>
      </c>
      <c r="D36" s="33" t="n">
        <v>180</v>
      </c>
      <c r="E36" s="12" t="n"/>
      <c r="G36" t="inlineStr">
        <is>
          <t>IND-2U</t>
        </is>
      </c>
    </row>
    <row r="37" ht="15.75" customHeight="1" s="51">
      <c r="A37" s="12" t="inlineStr">
        <is>
          <t>5970 Marion Drive — FY2023</t>
        </is>
      </c>
      <c r="B37" s="42" t="inlineStr">
        <is>
          <t>Expense</t>
        </is>
      </c>
      <c r="C37" s="12" t="inlineStr">
        <is>
          <t>Insurance</t>
        </is>
      </c>
      <c r="D37" s="33" t="n">
        <v>8640.99</v>
      </c>
      <c r="E37" s="12" t="n"/>
      <c r="G37" t="inlineStr">
        <is>
          <t>IND-2U</t>
        </is>
      </c>
    </row>
    <row r="38" ht="15.75" customHeight="1" s="51">
      <c r="A38" s="12" t="inlineStr">
        <is>
          <t>5970 Marion Drive — FY2023</t>
        </is>
      </c>
      <c r="B38" s="42" t="inlineStr">
        <is>
          <t>Expense</t>
        </is>
      </c>
      <c r="C38" s="12" t="inlineStr">
        <is>
          <t>Taxes - Real Property</t>
        </is>
      </c>
      <c r="D38" s="33" t="n">
        <v>37726.76</v>
      </c>
      <c r="E38" s="12" t="n"/>
      <c r="G38" t="inlineStr">
        <is>
          <t>IND-2U</t>
        </is>
      </c>
    </row>
    <row r="39" ht="15.75" customHeight="1" s="51">
      <c r="A39" s="12" t="inlineStr">
        <is>
          <t>5970 Marion Drive — FY2023</t>
        </is>
      </c>
      <c r="B39" s="42" t="inlineStr">
        <is>
          <t>Expense</t>
        </is>
      </c>
      <c r="C39" s="12" t="inlineStr">
        <is>
          <t>Taxes Other</t>
        </is>
      </c>
      <c r="D39" s="33" t="n">
        <v>4968.83</v>
      </c>
      <c r="E39" s="12" t="n"/>
      <c r="G39" t="inlineStr">
        <is>
          <t>IND-2U</t>
        </is>
      </c>
    </row>
    <row r="40" ht="15.75" customHeight="1" s="51">
      <c r="A40" s="12" t="inlineStr">
        <is>
          <t>5970 Marion Drive — FY2023</t>
        </is>
      </c>
      <c r="B40" s="42" t="inlineStr">
        <is>
          <t>Expense</t>
        </is>
      </c>
      <c r="C40" s="12" t="inlineStr">
        <is>
          <t>Mortgage Principal</t>
        </is>
      </c>
      <c r="D40" s="33" t="n">
        <v>26699.59</v>
      </c>
      <c r="E40" s="12" t="n"/>
      <c r="G40" t="inlineStr">
        <is>
          <t>IND-2U</t>
        </is>
      </c>
    </row>
    <row r="41" ht="15.75" customHeight="1" s="51">
      <c r="A41" s="12" t="inlineStr">
        <is>
          <t>5970 Marion Drive — FY2023</t>
        </is>
      </c>
      <c r="B41" s="42" t="inlineStr">
        <is>
          <t>Expense</t>
        </is>
      </c>
      <c r="C41" s="12" t="inlineStr">
        <is>
          <t>Mortgage Interest</t>
        </is>
      </c>
      <c r="D41" s="33" t="n">
        <v>51624.89</v>
      </c>
      <c r="E41" s="12" t="n"/>
      <c r="G41" t="inlineStr">
        <is>
          <t>IND-2U</t>
        </is>
      </c>
    </row>
    <row r="42" ht="15.75" customHeight="1" s="51">
      <c r="A42" s="26" t="inlineStr">
        <is>
          <t>5970 Marion Drive — FY2023</t>
        </is>
      </c>
      <c r="B42" s="43" t="inlineStr">
        <is>
          <t>Expense</t>
        </is>
      </c>
      <c r="C42" s="27" t="inlineStr">
        <is>
          <t>TOTAL EXPENSE</t>
        </is>
      </c>
      <c r="D42" s="34">
        <f>SUM(D28:D41)</f>
        <v/>
      </c>
      <c r="E42" s="41" t="inlineStr">
        <is>
          <t>Printed total: $188,635.46. cash basis; Owner Draw $100,000 (financing) excluded</t>
        </is>
      </c>
      <c r="G42" t="inlineStr">
        <is>
          <t>IND-2U</t>
        </is>
      </c>
    </row>
    <row r="43" ht="15.75" customHeight="1" s="51">
      <c r="A43" s="12" t="inlineStr">
        <is>
          <t>2011 E 58th (TempTee) — 2024</t>
        </is>
      </c>
      <c r="B43" s="42" t="inlineStr">
        <is>
          <t>Expense</t>
        </is>
      </c>
      <c r="C43" s="12" t="inlineStr">
        <is>
          <t>Advertising (leasing)</t>
        </is>
      </c>
      <c r="D43" s="33" t="n">
        <v>0</v>
      </c>
      <c r="E43" s="12" t="n"/>
      <c r="G43" t="inlineStr">
        <is>
          <t>IND-MFG</t>
        </is>
      </c>
    </row>
    <row r="44" ht="15.75" customHeight="1" s="51">
      <c r="A44" s="12" t="inlineStr">
        <is>
          <t>2011 E 58th (TempTee) — 2024</t>
        </is>
      </c>
      <c r="B44" s="42" t="inlineStr">
        <is>
          <t>Expense</t>
        </is>
      </c>
      <c r="C44" s="12" t="inlineStr">
        <is>
          <t>Building Insurance</t>
        </is>
      </c>
      <c r="D44" s="33" t="n">
        <v>14050</v>
      </c>
      <c r="E44" s="12" t="n"/>
      <c r="G44" t="inlineStr">
        <is>
          <t>IND-MFG</t>
        </is>
      </c>
    </row>
    <row r="45" ht="15.75" customHeight="1" s="51">
      <c r="A45" s="12" t="inlineStr">
        <is>
          <t>2011 E 58th (TempTee) — 2024</t>
        </is>
      </c>
      <c r="B45" s="42" t="inlineStr">
        <is>
          <t>Expense</t>
        </is>
      </c>
      <c r="C45" s="12" t="inlineStr">
        <is>
          <t>Building Repair &amp; Maintenance</t>
        </is>
      </c>
      <c r="D45" s="33" t="n">
        <v>10000</v>
      </c>
      <c r="E45" s="12" t="n"/>
      <c r="G45" t="inlineStr">
        <is>
          <t>IND-MFG</t>
        </is>
      </c>
    </row>
    <row r="46" ht="15.75" customHeight="1" s="51">
      <c r="A46" s="12" t="inlineStr">
        <is>
          <t>2011 E 58th (TempTee) — 2024</t>
        </is>
      </c>
      <c r="B46" s="42" t="inlineStr">
        <is>
          <t>Expense</t>
        </is>
      </c>
      <c r="C46" s="12" t="inlineStr">
        <is>
          <t>Ground Maintenance</t>
        </is>
      </c>
      <c r="D46" s="33" t="n">
        <v>0</v>
      </c>
      <c r="E46" s="12" t="inlineStr">
        <is>
          <t>'in house'</t>
        </is>
      </c>
      <c r="G46" t="inlineStr">
        <is>
          <t>IND-MFG</t>
        </is>
      </c>
    </row>
    <row r="47" ht="15.75" customHeight="1" s="51">
      <c r="A47" s="12" t="inlineStr">
        <is>
          <t>2011 E 58th (TempTee) — 2024</t>
        </is>
      </c>
      <c r="B47" s="42" t="inlineStr">
        <is>
          <t>Expense</t>
        </is>
      </c>
      <c r="C47" s="12" t="inlineStr">
        <is>
          <t>Janitorial</t>
        </is>
      </c>
      <c r="D47" s="33" t="n">
        <v>0</v>
      </c>
      <c r="E47" s="12" t="inlineStr">
        <is>
          <t>'in house'</t>
        </is>
      </c>
      <c r="G47" t="inlineStr">
        <is>
          <t>IND-MFG</t>
        </is>
      </c>
    </row>
    <row r="48" ht="15.75" customHeight="1" s="51">
      <c r="A48" s="12" t="inlineStr">
        <is>
          <t>2011 E 58th (TempTee) — 2024</t>
        </is>
      </c>
      <c r="B48" s="42" t="inlineStr">
        <is>
          <t>Expense</t>
        </is>
      </c>
      <c r="C48" s="12" t="inlineStr">
        <is>
          <t>Leasing Commissions</t>
        </is>
      </c>
      <c r="D48" s="33" t="n">
        <v>0</v>
      </c>
      <c r="E48" s="12" t="n"/>
      <c r="G48" t="inlineStr">
        <is>
          <t>IND-MFG</t>
        </is>
      </c>
    </row>
    <row r="49" ht="15.75" customHeight="1" s="51">
      <c r="A49" s="12" t="inlineStr">
        <is>
          <t>2011 E 58th (TempTee) — 2024</t>
        </is>
      </c>
      <c r="B49" s="42" t="inlineStr">
        <is>
          <t>Expense</t>
        </is>
      </c>
      <c r="C49" s="12" t="inlineStr">
        <is>
          <t>Management</t>
        </is>
      </c>
      <c r="D49" s="33" t="n">
        <v>0</v>
      </c>
      <c r="E49" s="12" t="n"/>
      <c r="G49" t="inlineStr">
        <is>
          <t>IND-MFG</t>
        </is>
      </c>
    </row>
    <row r="50" ht="15.75" customHeight="1" s="51">
      <c r="A50" s="12" t="inlineStr">
        <is>
          <t>2011 E 58th (TempTee) — 2024</t>
        </is>
      </c>
      <c r="B50" s="42" t="inlineStr">
        <is>
          <t>Expense</t>
        </is>
      </c>
      <c r="C50" s="12" t="inlineStr">
        <is>
          <t>Snow/Trash Removal</t>
        </is>
      </c>
      <c r="D50" s="33" t="n">
        <v>12000</v>
      </c>
      <c r="E50" s="12" t="n"/>
      <c r="G50" t="inlineStr">
        <is>
          <t>IND-MFG</t>
        </is>
      </c>
    </row>
    <row r="51" ht="15.75" customHeight="1" s="51">
      <c r="A51" s="12" t="inlineStr">
        <is>
          <t>2011 E 58th (TempTee) — 2024</t>
        </is>
      </c>
      <c r="B51" s="42" t="inlineStr">
        <is>
          <t>Expense</t>
        </is>
      </c>
      <c r="C51" s="12" t="inlineStr">
        <is>
          <t>Utilities</t>
        </is>
      </c>
      <c r="D51" s="33" t="n">
        <v>102000</v>
      </c>
      <c r="E51" s="12" t="n"/>
      <c r="G51" t="inlineStr">
        <is>
          <t>IND-MFG</t>
        </is>
      </c>
    </row>
    <row r="52" ht="15.75" customHeight="1" s="51">
      <c r="A52" s="26" t="inlineStr">
        <is>
          <t>2011 E 58th (TempTee) — 2024</t>
        </is>
      </c>
      <c r="B52" s="43" t="inlineStr">
        <is>
          <t>Expense</t>
        </is>
      </c>
      <c r="C52" s="27" t="inlineStr">
        <is>
          <t>TOTAL EXPENSE</t>
        </is>
      </c>
      <c r="D52" s="34">
        <f>SUM(D43:D51)</f>
        <v/>
      </c>
      <c r="E52" s="41" t="inlineStr">
        <is>
          <t>Printed total: $138,050.00. Adams Co. survey; 100% owner-occupied (~17,000 SF); 'in house' items = $0</t>
        </is>
      </c>
      <c r="G52" t="inlineStr">
        <is>
          <t>IND-MFG</t>
        </is>
      </c>
    </row>
    <row r="53" ht="15.75" customHeight="1" s="51">
      <c r="A53" s="12" t="inlineStr">
        <is>
          <t>125 Bridge St (Broadview) — Form 8825</t>
        </is>
      </c>
      <c r="B53" s="39" t="inlineStr">
        <is>
          <t>Income</t>
        </is>
      </c>
      <c r="C53" s="12" t="inlineStr">
        <is>
          <t>Gross rents</t>
        </is>
      </c>
      <c r="D53" s="33" t="n">
        <v>307817</v>
      </c>
      <c r="E53" s="12" t="inlineStr">
        <is>
          <t>IRS Form 8825, Property A (125 Bridge St, COMMERCIAL)</t>
        </is>
      </c>
      <c r="G53" t="inlineStr">
        <is>
          <t>COM-MT</t>
        </is>
      </c>
    </row>
    <row r="54" ht="15.75" customHeight="1" s="51">
      <c r="A54" s="26" t="inlineStr">
        <is>
          <t>125 Bridge St (Broadview) — Form 8825</t>
        </is>
      </c>
      <c r="B54" s="40" t="inlineStr">
        <is>
          <t>Income</t>
        </is>
      </c>
      <c r="C54" s="27" t="inlineStr">
        <is>
          <t>TOTAL INCOME</t>
        </is>
      </c>
      <c r="D54" s="34">
        <f>SUM(D53)</f>
        <v/>
      </c>
      <c r="E54" s="41" t="inlineStr">
        <is>
          <t>Printed total: $307,817.00.</t>
        </is>
      </c>
      <c r="G54" t="inlineStr">
        <is>
          <t>COM-MT</t>
        </is>
      </c>
    </row>
    <row r="55" ht="15.75" customHeight="1" s="51">
      <c r="A55" s="12" t="inlineStr">
        <is>
          <t>125 Bridge St (Broadview) — Form 8825</t>
        </is>
      </c>
      <c r="B55" s="42" t="inlineStr">
        <is>
          <t>Expense</t>
        </is>
      </c>
      <c r="C55" s="12" t="inlineStr">
        <is>
          <t>Advertising</t>
        </is>
      </c>
      <c r="D55" s="33" t="n">
        <v>776</v>
      </c>
      <c r="E55" s="12" t="n"/>
      <c r="G55" t="inlineStr">
        <is>
          <t>COM-MT</t>
        </is>
      </c>
    </row>
    <row r="56" ht="15.75" customHeight="1" s="51">
      <c r="A56" s="12" t="inlineStr">
        <is>
          <t>125 Bridge St (Broadview) — Form 8825</t>
        </is>
      </c>
      <c r="B56" s="42" t="inlineStr">
        <is>
          <t>Expense</t>
        </is>
      </c>
      <c r="C56" s="12" t="inlineStr">
        <is>
          <t>Insurance</t>
        </is>
      </c>
      <c r="D56" s="33" t="n">
        <v>12004</v>
      </c>
      <c r="E56" s="12" t="n"/>
      <c r="G56" t="inlineStr">
        <is>
          <t>COM-MT</t>
        </is>
      </c>
    </row>
    <row r="57" ht="15.75" customHeight="1" s="51">
      <c r="A57" s="12" t="inlineStr">
        <is>
          <t>125 Bridge St (Broadview) — Form 8825</t>
        </is>
      </c>
      <c r="B57" s="42" t="inlineStr">
        <is>
          <t>Expense</t>
        </is>
      </c>
      <c r="C57" s="12" t="inlineStr">
        <is>
          <t>Legal &amp; professional fees</t>
        </is>
      </c>
      <c r="D57" s="33" t="n">
        <v>10211</v>
      </c>
      <c r="E57" s="12" t="n"/>
      <c r="G57" t="inlineStr">
        <is>
          <t>COM-MT</t>
        </is>
      </c>
    </row>
    <row r="58" ht="15.75" customHeight="1" s="51">
      <c r="A58" s="12" t="inlineStr">
        <is>
          <t>125 Bridge St (Broadview) — Form 8825</t>
        </is>
      </c>
      <c r="B58" s="42" t="inlineStr">
        <is>
          <t>Expense</t>
        </is>
      </c>
      <c r="C58" s="12" t="inlineStr">
        <is>
          <t>Interest</t>
        </is>
      </c>
      <c r="D58" s="33" t="n">
        <v>98058</v>
      </c>
      <c r="E58" s="12" t="n"/>
      <c r="G58" t="inlineStr">
        <is>
          <t>COM-MT</t>
        </is>
      </c>
    </row>
    <row r="59" ht="15.75" customHeight="1" s="51">
      <c r="A59" s="12" t="inlineStr">
        <is>
          <t>125 Bridge St (Broadview) — Form 8825</t>
        </is>
      </c>
      <c r="B59" s="42" t="inlineStr">
        <is>
          <t>Expense</t>
        </is>
      </c>
      <c r="C59" s="12" t="inlineStr">
        <is>
          <t>Repairs</t>
        </is>
      </c>
      <c r="D59" s="33" t="n">
        <v>100279</v>
      </c>
      <c r="E59" s="12" t="n"/>
      <c r="G59" t="inlineStr">
        <is>
          <t>COM-MT</t>
        </is>
      </c>
    </row>
    <row r="60" ht="15.75" customHeight="1" s="51">
      <c r="A60" s="12" t="inlineStr">
        <is>
          <t>125 Bridge St (Broadview) — Form 8825</t>
        </is>
      </c>
      <c r="B60" s="42" t="inlineStr">
        <is>
          <t>Expense</t>
        </is>
      </c>
      <c r="C60" s="12" t="inlineStr">
        <is>
          <t>Utilities</t>
        </is>
      </c>
      <c r="D60" s="33" t="n">
        <v>4731</v>
      </c>
      <c r="E60" s="12" t="n"/>
      <c r="G60" t="inlineStr">
        <is>
          <t>COM-MT</t>
        </is>
      </c>
    </row>
    <row r="61" ht="15.75" customHeight="1" s="51">
      <c r="A61" s="12" t="inlineStr">
        <is>
          <t>125 Bridge St (Broadview) — Form 8825</t>
        </is>
      </c>
      <c r="B61" s="42" t="inlineStr">
        <is>
          <t>Expense</t>
        </is>
      </c>
      <c r="C61" s="12" t="inlineStr">
        <is>
          <t>Depreciation</t>
        </is>
      </c>
      <c r="D61" s="33" t="n">
        <v>47109</v>
      </c>
      <c r="E61" s="12" t="n"/>
      <c r="G61" t="inlineStr">
        <is>
          <t>COM-MT</t>
        </is>
      </c>
    </row>
    <row r="62" ht="15.75" customHeight="1" s="51">
      <c r="A62" s="12" t="inlineStr">
        <is>
          <t>125 Bridge St (Broadview) — Form 8825</t>
        </is>
      </c>
      <c r="B62" s="42" t="inlineStr">
        <is>
          <t>Expense</t>
        </is>
      </c>
      <c r="C62" s="12" t="inlineStr">
        <is>
          <t>Meals - 100%</t>
        </is>
      </c>
      <c r="D62" s="33" t="n">
        <v>1080</v>
      </c>
      <c r="E62" s="12" t="n"/>
      <c r="G62" t="inlineStr">
        <is>
          <t>COM-MT</t>
        </is>
      </c>
    </row>
    <row r="63" ht="15.75" customHeight="1" s="51">
      <c r="A63" s="12" t="inlineStr">
        <is>
          <t>125 Bridge St (Broadview) — Form 8825</t>
        </is>
      </c>
      <c r="B63" s="42" t="inlineStr">
        <is>
          <t>Expense</t>
        </is>
      </c>
      <c r="C63" s="12" t="inlineStr">
        <is>
          <t>Amortization</t>
        </is>
      </c>
      <c r="D63" s="33" t="n">
        <v>2166</v>
      </c>
      <c r="E63" s="12" t="n"/>
      <c r="G63" t="inlineStr">
        <is>
          <t>COM-MT</t>
        </is>
      </c>
    </row>
    <row r="64" ht="15.75" customHeight="1" s="51">
      <c r="A64" s="12" t="inlineStr">
        <is>
          <t>125 Bridge St (Broadview) — Form 8825</t>
        </is>
      </c>
      <c r="B64" s="42" t="inlineStr">
        <is>
          <t>Expense</t>
        </is>
      </c>
      <c r="C64" s="12" t="inlineStr">
        <is>
          <t>Other (Statement #8A)</t>
        </is>
      </c>
      <c r="D64" s="33" t="n">
        <v>39767</v>
      </c>
      <c r="E64" s="12" t="n"/>
      <c r="G64" t="inlineStr">
        <is>
          <t>COM-MT</t>
        </is>
      </c>
    </row>
    <row r="65" ht="15.75" customHeight="1" s="51">
      <c r="A65" s="26" t="inlineStr">
        <is>
          <t>125 Bridge St (Broadview) — Form 8825</t>
        </is>
      </c>
      <c r="B65" s="43" t="inlineStr">
        <is>
          <t>Expense</t>
        </is>
      </c>
      <c r="C65" s="27" t="inlineStr">
        <is>
          <t>TOTAL EXPENSE</t>
        </is>
      </c>
      <c r="D65" s="34">
        <f>SUM(D55:D64)</f>
        <v/>
      </c>
      <c r="E65" s="41" t="inlineStr">
        <is>
          <t>Printed total: $316,181.00. IRS Form 8825; net rental loss $(8,364). Tax basis (incl. depreciation, amortization &amp; interest).</t>
        </is>
      </c>
      <c r="G65" t="inlineStr">
        <is>
          <t>COM-MT</t>
        </is>
      </c>
      <c r="K65" s="48">
        <f>A66</f>
        <v/>
      </c>
      <c r="M65" s="48">
        <f>'Property Master'!D22</f>
        <v/>
      </c>
      <c r="O65" s="48">
        <f>A145</f>
        <v/>
      </c>
    </row>
    <row r="66" ht="15.75" customHeight="1" s="51">
      <c r="A66" s="17" t="inlineStr">
        <is>
          <t>Majestic Commercenter Bldg 12 — FY2024</t>
        </is>
      </c>
      <c r="B66" s="44" t="inlineStr">
        <is>
          <t>Income</t>
        </is>
      </c>
      <c r="C66" s="44" t="inlineStr">
        <is>
          <t>TOTAL INCOME</t>
        </is>
      </c>
      <c r="D66" s="45" t="n">
        <v>0</v>
      </c>
      <c r="E66" s="46" t="inlineStr">
        <is>
          <t>Printed total: $0.00 (100% vacant all year, no revenue).</t>
        </is>
      </c>
      <c r="F66" s="18" t="inlineStr">
        <is>
          <t>584</t>
        </is>
      </c>
      <c r="G66" s="18" t="inlineStr">
        <is>
          <t>IND-WH</t>
        </is>
      </c>
      <c r="K66" s="47">
        <f>'Property Master'!P13</f>
        <v/>
      </c>
      <c r="M66" s="47">
        <f>'Property Master'!P22</f>
        <v/>
      </c>
      <c r="O66" s="48">
        <f>'Property Master'!P21</f>
        <v/>
      </c>
    </row>
    <row r="67" ht="15.75" customHeight="1" s="51">
      <c r="A67" s="17" t="inlineStr">
        <is>
          <t>Majestic Commercenter Bldg 12 — FY2024</t>
        </is>
      </c>
      <c r="B67" s="17" t="inlineStr">
        <is>
          <t>Expense</t>
        </is>
      </c>
      <c r="C67" s="17" t="inlineStr">
        <is>
          <t>5250 - Fire Life Safety</t>
        </is>
      </c>
      <c r="D67" s="36" t="n">
        <v>167.39</v>
      </c>
      <c r="E67" s="17" t="n"/>
      <c r="F67" s="18" t="inlineStr">
        <is>
          <t>584</t>
        </is>
      </c>
      <c r="G67" s="18" t="inlineStr">
        <is>
          <t>IND-WH</t>
        </is>
      </c>
      <c r="J67" s="48" t="inlineStr">
        <is>
          <t>Insurance</t>
        </is>
      </c>
      <c r="K67" s="49">
        <f>D70+D71</f>
        <v/>
      </c>
      <c r="L67" s="50">
        <f>K67/K66</f>
        <v/>
      </c>
      <c r="M67" s="49">
        <f>D158</f>
        <v/>
      </c>
      <c r="N67" s="50">
        <f>M67/M66</f>
        <v/>
      </c>
      <c r="O67" s="49">
        <f>D145</f>
        <v/>
      </c>
      <c r="P67" s="50">
        <f>O67/O66</f>
        <v/>
      </c>
    </row>
    <row r="68" ht="15.75" customHeight="1" s="51">
      <c r="A68" s="17" t="inlineStr">
        <is>
          <t>Majestic Commercenter Bldg 12 — FY2024</t>
        </is>
      </c>
      <c r="B68" s="17" t="inlineStr">
        <is>
          <t>Expense</t>
        </is>
      </c>
      <c r="C68" s="17" t="inlineStr">
        <is>
          <t>5350 - Roof</t>
        </is>
      </c>
      <c r="D68" s="36" t="n">
        <v>1089.79</v>
      </c>
      <c r="E68" s="17" t="n"/>
      <c r="F68" s="18" t="inlineStr">
        <is>
          <t>584</t>
        </is>
      </c>
      <c r="G68" s="18" t="inlineStr">
        <is>
          <t>IND-WH</t>
        </is>
      </c>
      <c r="J68" s="48" t="inlineStr">
        <is>
          <t>Utilities</t>
        </is>
      </c>
      <c r="K68" s="49">
        <f>D85+D86+D87+D88+D89+D90+D73</f>
        <v/>
      </c>
      <c r="L68" s="50">
        <f>K68/K66</f>
        <v/>
      </c>
      <c r="M68" s="49">
        <f>D152</f>
        <v/>
      </c>
      <c r="N68" s="50">
        <f>M68/M66</f>
        <v/>
      </c>
      <c r="O68" s="49">
        <f>D149</f>
        <v/>
      </c>
      <c r="P68" s="50">
        <f>O68/O66</f>
        <v/>
      </c>
    </row>
    <row r="69" ht="15.75" customHeight="1" s="51">
      <c r="A69" s="17" t="inlineStr">
        <is>
          <t>Majestic Commercenter Bldg 12 — FY2024</t>
        </is>
      </c>
      <c r="B69" s="17" t="inlineStr">
        <is>
          <t>Expense</t>
        </is>
      </c>
      <c r="C69" s="17" t="inlineStr">
        <is>
          <t>5500 - Real Estate Taxes</t>
        </is>
      </c>
      <c r="D69" s="36" t="n">
        <v>388880.98</v>
      </c>
      <c r="E69" s="17" t="n"/>
      <c r="F69" s="18" t="inlineStr">
        <is>
          <t>584</t>
        </is>
      </c>
      <c r="G69" s="18" t="inlineStr">
        <is>
          <t>IND-WH</t>
        </is>
      </c>
      <c r="J69" s="48" t="inlineStr">
        <is>
          <t>CAM</t>
        </is>
      </c>
      <c r="K69" s="49">
        <f>D68+D67+D72+D73+D74+D76+D77+D78+D79+D80+D81+D82+D83</f>
        <v/>
      </c>
      <c r="L69" s="50">
        <f>K69/K66</f>
        <v/>
      </c>
      <c r="M69" s="49">
        <f>D152+D153+D156</f>
        <v/>
      </c>
      <c r="N69" s="50">
        <f>M69/M66</f>
        <v/>
      </c>
      <c r="O69" s="49">
        <f>D146+D147+D148</f>
        <v/>
      </c>
      <c r="P69" s="50">
        <f>O69/O66</f>
        <v/>
      </c>
    </row>
    <row r="70" ht="15.75" customHeight="1" s="51">
      <c r="A70" s="17" t="inlineStr">
        <is>
          <t>Majestic Commercenter Bldg 12 — FY2024</t>
        </is>
      </c>
      <c r="B70" s="17" t="inlineStr">
        <is>
          <t>Expense</t>
        </is>
      </c>
      <c r="C70" s="17" t="inlineStr">
        <is>
          <t>6115 - Insurance-Fire &amp; Extended</t>
        </is>
      </c>
      <c r="D70" s="36" t="n">
        <v>9244.92</v>
      </c>
      <c r="E70" s="17" t="n"/>
      <c r="F70" s="18" t="inlineStr">
        <is>
          <t>584</t>
        </is>
      </c>
      <c r="G70" s="18" t="inlineStr">
        <is>
          <t>IND-WH</t>
        </is>
      </c>
      <c r="J70" s="48" t="inlineStr">
        <is>
          <t>Management</t>
        </is>
      </c>
      <c r="M70" s="49">
        <f>D155</f>
        <v/>
      </c>
      <c r="N70" s="50">
        <f>M70/M66</f>
        <v/>
      </c>
    </row>
    <row r="71" ht="15.75" customHeight="1" s="51">
      <c r="A71" s="17" t="inlineStr">
        <is>
          <t>Majestic Commercenter Bldg 12 — FY2024</t>
        </is>
      </c>
      <c r="B71" s="17" t="inlineStr">
        <is>
          <t>Expense</t>
        </is>
      </c>
      <c r="C71" s="17" t="inlineStr">
        <is>
          <t>6120 - Insurance-Liability</t>
        </is>
      </c>
      <c r="D71" s="36" t="n">
        <v>7283.01</v>
      </c>
      <c r="E71" s="17" t="n"/>
      <c r="F71" s="18" t="inlineStr">
        <is>
          <t>584</t>
        </is>
      </c>
      <c r="G71" s="18" t="inlineStr">
        <is>
          <t>IND-WH</t>
        </is>
      </c>
    </row>
    <row r="72" ht="15.75" customHeight="1" s="51">
      <c r="A72" s="17" t="inlineStr">
        <is>
          <t>Majestic Commercenter Bldg 12 — FY2024</t>
        </is>
      </c>
      <c r="B72" s="17" t="inlineStr">
        <is>
          <t>Expense</t>
        </is>
      </c>
      <c r="C72" s="17" t="inlineStr">
        <is>
          <t>6250 - Fire Life Safety</t>
        </is>
      </c>
      <c r="D72" s="36" t="n">
        <v>3964.55</v>
      </c>
      <c r="E72" s="17" t="n"/>
      <c r="F72" s="18" t="inlineStr">
        <is>
          <t>584</t>
        </is>
      </c>
      <c r="G72" s="18" t="inlineStr">
        <is>
          <t>IND-WH</t>
        </is>
      </c>
    </row>
    <row r="73" ht="15.75" customHeight="1" s="51">
      <c r="A73" s="17" t="inlineStr">
        <is>
          <t>Majestic Commercenter Bldg 12 — FY2024</t>
        </is>
      </c>
      <c r="B73" s="17" t="inlineStr">
        <is>
          <t>Expense</t>
        </is>
      </c>
      <c r="C73" s="17" t="inlineStr">
        <is>
          <t>6275 - HVAC</t>
        </is>
      </c>
      <c r="D73" s="36" t="n">
        <v>3343.67</v>
      </c>
      <c r="E73" s="17" t="n"/>
      <c r="F73" s="18" t="inlineStr">
        <is>
          <t>584</t>
        </is>
      </c>
      <c r="G73" s="18" t="inlineStr">
        <is>
          <t>IND-WH</t>
        </is>
      </c>
    </row>
    <row r="74" ht="15.75" customHeight="1" s="51">
      <c r="A74" s="17" t="inlineStr">
        <is>
          <t>Majestic Commercenter Bldg 12 — FY2024</t>
        </is>
      </c>
      <c r="B74" s="17" t="inlineStr">
        <is>
          <t>Expense</t>
        </is>
      </c>
      <c r="C74" s="17" t="inlineStr">
        <is>
          <t>6280 - Janitorial Services</t>
        </is>
      </c>
      <c r="D74" s="36" t="n">
        <v>1359.52</v>
      </c>
      <c r="E74" s="17" t="n"/>
      <c r="F74" s="18" t="inlineStr">
        <is>
          <t>584</t>
        </is>
      </c>
      <c r="G74" s="18" t="inlineStr">
        <is>
          <t>IND-WH</t>
        </is>
      </c>
    </row>
    <row r="75" ht="15.75" customHeight="1" s="51">
      <c r="A75" s="17" t="inlineStr">
        <is>
          <t>Majestic Commercenter Bldg 12 — FY2024</t>
        </is>
      </c>
      <c r="B75" s="17" t="inlineStr">
        <is>
          <t>Expense</t>
        </is>
      </c>
      <c r="C75" s="17" t="inlineStr">
        <is>
          <t>6285 - Keys/Card Access</t>
        </is>
      </c>
      <c r="D75" s="36" t="n">
        <v>306.33</v>
      </c>
      <c r="E75" s="17" t="n"/>
      <c r="F75" s="18" t="inlineStr">
        <is>
          <t>584</t>
        </is>
      </c>
      <c r="G75" s="18" t="inlineStr">
        <is>
          <t>IND-WH</t>
        </is>
      </c>
    </row>
    <row r="76" ht="15.75" customHeight="1" s="51">
      <c r="A76" s="17" t="inlineStr">
        <is>
          <t>Majestic Commercenter Bldg 12 — FY2024</t>
        </is>
      </c>
      <c r="B76" s="17" t="inlineStr">
        <is>
          <t>Expense</t>
        </is>
      </c>
      <c r="C76" s="17" t="inlineStr">
        <is>
          <t>6290 - Landscaping</t>
        </is>
      </c>
      <c r="D76" s="36" t="n">
        <v>12928.82</v>
      </c>
      <c r="E76" s="17" t="n"/>
      <c r="F76" s="18" t="inlineStr">
        <is>
          <t>584</t>
        </is>
      </c>
      <c r="G76" s="18" t="inlineStr">
        <is>
          <t>IND-WH</t>
        </is>
      </c>
    </row>
    <row r="77" ht="15.75" customHeight="1" s="51">
      <c r="A77" s="17" t="inlineStr">
        <is>
          <t>Majestic Commercenter Bldg 12 — FY2024</t>
        </is>
      </c>
      <c r="B77" s="17" t="inlineStr">
        <is>
          <t>Expense</t>
        </is>
      </c>
      <c r="C77" s="17" t="inlineStr">
        <is>
          <t>6305 - Lighting</t>
        </is>
      </c>
      <c r="D77" s="36" t="n">
        <v>46.11</v>
      </c>
      <c r="E77" s="17" t="n"/>
      <c r="F77" s="18" t="inlineStr">
        <is>
          <t>584</t>
        </is>
      </c>
      <c r="G77" s="18" t="inlineStr">
        <is>
          <t>IND-WH</t>
        </is>
      </c>
    </row>
    <row r="78" ht="15.75" customHeight="1" s="51">
      <c r="A78" s="17" t="inlineStr">
        <is>
          <t>Majestic Commercenter Bldg 12 — FY2024</t>
        </is>
      </c>
      <c r="B78" s="17" t="inlineStr">
        <is>
          <t>Expense</t>
        </is>
      </c>
      <c r="C78" s="17" t="inlineStr">
        <is>
          <t>6320 - Parking Lot</t>
        </is>
      </c>
      <c r="D78" s="36" t="n">
        <v>1188.05</v>
      </c>
      <c r="E78" s="17" t="n"/>
      <c r="F78" s="18" t="inlineStr">
        <is>
          <t>584</t>
        </is>
      </c>
      <c r="G78" s="18" t="inlineStr">
        <is>
          <t>IND-WH</t>
        </is>
      </c>
    </row>
    <row r="79" ht="15.75" customHeight="1" s="51">
      <c r="A79" s="17" t="inlineStr">
        <is>
          <t>Majestic Commercenter Bldg 12 — FY2024</t>
        </is>
      </c>
      <c r="B79" s="17" t="inlineStr">
        <is>
          <t>Expense</t>
        </is>
      </c>
      <c r="C79" s="17" t="inlineStr">
        <is>
          <t>6345 - Repairs</t>
        </is>
      </c>
      <c r="D79" s="36" t="n">
        <v>1314.13</v>
      </c>
      <c r="E79" s="17" t="n"/>
      <c r="F79" s="18" t="inlineStr">
        <is>
          <t>584</t>
        </is>
      </c>
      <c r="G79" s="18" t="inlineStr">
        <is>
          <t>IND-WH</t>
        </is>
      </c>
    </row>
    <row r="80" ht="15.75" customHeight="1" s="51">
      <c r="A80" s="17" t="inlineStr">
        <is>
          <t>Majestic Commercenter Bldg 12 — FY2024</t>
        </is>
      </c>
      <c r="B80" s="17" t="inlineStr">
        <is>
          <t>Expense</t>
        </is>
      </c>
      <c r="C80" s="17" t="inlineStr">
        <is>
          <t>6365 - Signs</t>
        </is>
      </c>
      <c r="D80" s="36" t="n">
        <v>391.09</v>
      </c>
      <c r="E80" s="17" t="n"/>
      <c r="F80" s="18" t="inlineStr">
        <is>
          <t>584</t>
        </is>
      </c>
      <c r="G80" s="18" t="inlineStr">
        <is>
          <t>IND-WH</t>
        </is>
      </c>
    </row>
    <row r="81" ht="15.75" customHeight="1" s="51">
      <c r="A81" s="17" t="inlineStr">
        <is>
          <t>Majestic Commercenter Bldg 12 — FY2024</t>
        </is>
      </c>
      <c r="B81" s="17" t="inlineStr">
        <is>
          <t>Expense</t>
        </is>
      </c>
      <c r="C81" s="17" t="inlineStr">
        <is>
          <t>6370 - Snow Removal</t>
        </is>
      </c>
      <c r="D81" s="36" t="n">
        <v>14585.62</v>
      </c>
      <c r="E81" s="17" t="n"/>
      <c r="F81" s="18" t="inlineStr">
        <is>
          <t>584</t>
        </is>
      </c>
      <c r="G81" s="18" t="inlineStr">
        <is>
          <t>IND-WH</t>
        </is>
      </c>
    </row>
    <row r="82" ht="15.75" customHeight="1" s="51">
      <c r="A82" s="17" t="inlineStr">
        <is>
          <t>Majestic Commercenter Bldg 12 — FY2024</t>
        </is>
      </c>
      <c r="B82" s="17" t="inlineStr">
        <is>
          <t>Expense</t>
        </is>
      </c>
      <c r="C82" s="17" t="inlineStr">
        <is>
          <t>6380 - Sweeping</t>
        </is>
      </c>
      <c r="D82" s="36" t="n">
        <v>1287.64</v>
      </c>
      <c r="E82" s="17" t="n"/>
      <c r="F82" s="18" t="inlineStr">
        <is>
          <t>584</t>
        </is>
      </c>
      <c r="G82" s="18" t="inlineStr">
        <is>
          <t>IND-WH</t>
        </is>
      </c>
    </row>
    <row r="83" ht="15.75" customHeight="1" s="51">
      <c r="A83" s="17" t="inlineStr">
        <is>
          <t>Majestic Commercenter Bldg 12 — FY2024</t>
        </is>
      </c>
      <c r="B83" s="17" t="inlineStr">
        <is>
          <t>Expense</t>
        </is>
      </c>
      <c r="C83" s="17" t="inlineStr">
        <is>
          <t>6385 - Window Washing</t>
        </is>
      </c>
      <c r="D83" s="36" t="n">
        <v>780</v>
      </c>
      <c r="E83" s="17" t="n"/>
      <c r="F83" s="18" t="inlineStr">
        <is>
          <t>584</t>
        </is>
      </c>
      <c r="G83" s="18" t="inlineStr">
        <is>
          <t>IND-WH</t>
        </is>
      </c>
    </row>
    <row r="84" ht="15.75" customHeight="1" s="51">
      <c r="A84" s="17" t="inlineStr">
        <is>
          <t>Majestic Commercenter Bldg 12 — FY2024</t>
        </is>
      </c>
      <c r="B84" s="17" t="inlineStr">
        <is>
          <t>Expense</t>
        </is>
      </c>
      <c r="C84" s="17" t="inlineStr">
        <is>
          <t>6500 - Property Taxes (other)</t>
        </is>
      </c>
      <c r="D84" s="36" t="n">
        <v>200.01</v>
      </c>
      <c r="E84" s="17" t="n"/>
      <c r="F84" s="18" t="inlineStr">
        <is>
          <t>584</t>
        </is>
      </c>
      <c r="G84" s="18" t="inlineStr">
        <is>
          <t>IND-WH</t>
        </is>
      </c>
    </row>
    <row r="85" ht="15.75" customHeight="1" s="51">
      <c r="A85" s="17" t="inlineStr">
        <is>
          <t>Majestic Commercenter Bldg 12 — FY2024</t>
        </is>
      </c>
      <c r="B85" s="17" t="inlineStr">
        <is>
          <t>Expense</t>
        </is>
      </c>
      <c r="C85" s="17" t="inlineStr">
        <is>
          <t>6610 - Utilities-Electricity</t>
        </is>
      </c>
      <c r="D85" s="36" t="n">
        <v>2960.51</v>
      </c>
      <c r="E85" s="17" t="n"/>
      <c r="F85" s="18" t="inlineStr">
        <is>
          <t>584</t>
        </is>
      </c>
      <c r="G85" s="18" t="inlineStr">
        <is>
          <t>IND-WH</t>
        </is>
      </c>
    </row>
    <row r="86" ht="15.75" customHeight="1" s="51">
      <c r="A86" s="17" t="inlineStr">
        <is>
          <t>Majestic Commercenter Bldg 12 — FY2024</t>
        </is>
      </c>
      <c r="B86" s="17" t="inlineStr">
        <is>
          <t>Expense</t>
        </is>
      </c>
      <c r="C86" s="17" t="inlineStr">
        <is>
          <t>6615 - Utilities-Fire Service</t>
        </is>
      </c>
      <c r="D86" s="36" t="n">
        <v>362.39</v>
      </c>
      <c r="E86" s="17" t="n"/>
      <c r="F86" s="18" t="inlineStr">
        <is>
          <t>584</t>
        </is>
      </c>
      <c r="G86" s="18" t="inlineStr">
        <is>
          <t>IND-WH</t>
        </is>
      </c>
    </row>
    <row r="87" ht="15.75" customHeight="1" s="51">
      <c r="A87" s="17" t="inlineStr">
        <is>
          <t>Majestic Commercenter Bldg 12 — FY2024</t>
        </is>
      </c>
      <c r="B87" s="17" t="inlineStr">
        <is>
          <t>Expense</t>
        </is>
      </c>
      <c r="C87" s="17" t="inlineStr">
        <is>
          <t>6620 - Utilities-Gas/Heating</t>
        </is>
      </c>
      <c r="D87" s="36" t="n">
        <v>7874.4</v>
      </c>
      <c r="E87" s="17" t="n"/>
      <c r="F87" s="18" t="inlineStr">
        <is>
          <t>584</t>
        </is>
      </c>
      <c r="G87" s="18" t="inlineStr">
        <is>
          <t>IND-WH</t>
        </is>
      </c>
    </row>
    <row r="88" ht="15.75" customHeight="1" s="51">
      <c r="A88" s="17" t="inlineStr">
        <is>
          <t>Majestic Commercenter Bldg 12 — FY2024</t>
        </is>
      </c>
      <c r="B88" s="17" t="inlineStr">
        <is>
          <t>Expense</t>
        </is>
      </c>
      <c r="C88" s="17" t="inlineStr">
        <is>
          <t>6630 - Utilities-Telephone</t>
        </is>
      </c>
      <c r="D88" s="36" t="n">
        <v>248.14</v>
      </c>
      <c r="E88" s="17" t="n"/>
      <c r="F88" s="18" t="inlineStr">
        <is>
          <t>584</t>
        </is>
      </c>
      <c r="G88" s="18" t="inlineStr">
        <is>
          <t>IND-WH</t>
        </is>
      </c>
    </row>
    <row r="89" ht="15.75" customHeight="1" s="51">
      <c r="A89" s="17" t="inlineStr">
        <is>
          <t>Majestic Commercenter Bldg 12 — FY2024</t>
        </is>
      </c>
      <c r="B89" s="17" t="inlineStr">
        <is>
          <t>Expense</t>
        </is>
      </c>
      <c r="C89" s="17" t="inlineStr">
        <is>
          <t>6635 - Utilities-Water</t>
        </is>
      </c>
      <c r="D89" s="36" t="n">
        <v>9246.27</v>
      </c>
      <c r="E89" s="17" t="n"/>
      <c r="F89" s="18" t="inlineStr">
        <is>
          <t>584</t>
        </is>
      </c>
      <c r="G89" s="18" t="inlineStr">
        <is>
          <t>IND-WH</t>
        </is>
      </c>
    </row>
    <row r="90" ht="15.75" customHeight="1" s="51">
      <c r="A90" s="17" t="inlineStr">
        <is>
          <t>Majestic Commercenter Bldg 12 — FY2024</t>
        </is>
      </c>
      <c r="B90" s="17" t="inlineStr">
        <is>
          <t>Expense</t>
        </is>
      </c>
      <c r="C90" s="17" t="inlineStr">
        <is>
          <t>6640 - Utilities-Other</t>
        </is>
      </c>
      <c r="D90" s="36" t="n">
        <v>128.69</v>
      </c>
      <c r="E90" s="17" t="n"/>
      <c r="F90" s="18" t="inlineStr">
        <is>
          <t>584</t>
        </is>
      </c>
      <c r="G90" s="18" t="inlineStr">
        <is>
          <t>IND-WH</t>
        </is>
      </c>
    </row>
    <row r="91" ht="15.75" customHeight="1" s="51">
      <c r="A91" s="17" t="inlineStr">
        <is>
          <t>Majestic Commercenter Bldg 12 — FY2024</t>
        </is>
      </c>
      <c r="B91" s="17" t="inlineStr">
        <is>
          <t>Expense</t>
        </is>
      </c>
      <c r="C91" s="17" t="inlineStr">
        <is>
          <t>8435 - Prof Service-Other</t>
        </is>
      </c>
      <c r="D91" s="36" t="n">
        <v>225</v>
      </c>
      <c r="E91" s="17" t="n"/>
      <c r="F91" s="18" t="inlineStr">
        <is>
          <t>584</t>
        </is>
      </c>
      <c r="G91" s="18" t="inlineStr">
        <is>
          <t>IND-WH</t>
        </is>
      </c>
    </row>
    <row r="92" ht="15.75" customHeight="1" s="51">
      <c r="A92" s="17" t="inlineStr">
        <is>
          <t>Majestic Commercenter Bldg 12 — FY2024</t>
        </is>
      </c>
      <c r="B92" s="44" t="inlineStr">
        <is>
          <t>Expense</t>
        </is>
      </c>
      <c r="C92" s="44" t="inlineStr">
        <is>
          <t>TOTAL EXPENSE</t>
        </is>
      </c>
      <c r="D92" s="45">
        <f>SUM(D67:D91)</f>
        <v/>
      </c>
      <c r="E92" s="46" t="inlineStr">
        <is>
          <t>Printed total: $469,407.03.</t>
        </is>
      </c>
      <c r="F92" s="18" t="inlineStr">
        <is>
          <t>584</t>
        </is>
      </c>
      <c r="G92" s="18" t="inlineStr">
        <is>
          <t>IND-WH</t>
        </is>
      </c>
    </row>
    <row r="93" ht="15.75" customHeight="1" s="51">
      <c r="A93" s="17" t="inlineStr">
        <is>
          <t>Majestic Commercenter Bldg 12 — FY2024</t>
        </is>
      </c>
      <c r="B93" s="44" t="inlineStr">
        <is>
          <t>Other Income/Expense</t>
        </is>
      </c>
      <c r="C93" s="44" t="inlineStr">
        <is>
          <t>TOTAL Other (Income)/Expense</t>
        </is>
      </c>
      <c r="D93" s="45" t="n">
        <v>281155.63</v>
      </c>
      <c r="E93" s="46" t="n"/>
      <c r="F93" s="18" t="inlineStr">
        <is>
          <t>584</t>
        </is>
      </c>
      <c r="G93" s="18" t="inlineStr">
        <is>
          <t>IND-WH</t>
        </is>
      </c>
    </row>
    <row r="94" ht="15.75" customHeight="1" s="51">
      <c r="A94" s="17" t="inlineStr">
        <is>
          <t>Majestic Commercenter Bldg 12 — FY2024</t>
        </is>
      </c>
      <c r="B94" s="44" t="inlineStr">
        <is>
          <t>Net</t>
        </is>
      </c>
      <c r="C94" s="44" t="inlineStr">
        <is>
          <t>NET INCOME / (LOSS)</t>
        </is>
      </c>
      <c r="D94" s="45" t="n">
        <v>-750562.66</v>
      </c>
      <c r="E94" s="46" t="inlineStr">
        <is>
          <t>Net Loss (printed): $(750,562.66). Includes RE taxes, depreciation, and one-time insurance proceeds; property 100% vacant all year.</t>
        </is>
      </c>
      <c r="F94" s="18" t="inlineStr">
        <is>
          <t>584</t>
        </is>
      </c>
      <c r="G94" s="18" t="inlineStr">
        <is>
          <t>IND-WH</t>
        </is>
      </c>
    </row>
    <row r="95" ht="15.75" customHeight="1" s="51">
      <c r="A95" s="17" t="inlineStr">
        <is>
          <t>Majestic Commercenter Bldg 11 — FY2024</t>
        </is>
      </c>
      <c r="B95" s="17" t="inlineStr">
        <is>
          <t>Income</t>
        </is>
      </c>
      <c r="C95" s="17" t="inlineStr">
        <is>
          <t>4015 - Industrial Rental Income</t>
        </is>
      </c>
      <c r="D95" s="36" t="n">
        <v>0</v>
      </c>
      <c r="E95" s="17" t="inlineStr">
        <is>
          <t>Monthly entries net to $0.00 for the year (93.55 + 100.00 - 193.55)</t>
        </is>
      </c>
      <c r="F95" s="18" t="inlineStr">
        <is>
          <t>584</t>
        </is>
      </c>
      <c r="G95" s="18" t="inlineStr">
        <is>
          <t>IND-WH</t>
        </is>
      </c>
    </row>
    <row r="96" ht="15.75" customHeight="1" s="51">
      <c r="A96" s="17" t="inlineStr">
        <is>
          <t>Majestic Commercenter Bldg 11 — FY2024</t>
        </is>
      </c>
      <c r="B96" s="17" t="inlineStr">
        <is>
          <t>Income</t>
        </is>
      </c>
      <c r="C96" s="17" t="inlineStr">
        <is>
          <t>4035 - Rent Concessions</t>
        </is>
      </c>
      <c r="D96" s="36" t="n">
        <v>25811.09</v>
      </c>
      <c r="E96" s="17" t="n"/>
      <c r="F96" s="18" t="inlineStr">
        <is>
          <t>584</t>
        </is>
      </c>
      <c r="G96" s="18" t="inlineStr">
        <is>
          <t>IND-WH</t>
        </is>
      </c>
    </row>
    <row r="97" ht="15.75" customHeight="1" s="51">
      <c r="A97" s="17" t="inlineStr">
        <is>
          <t>Majestic Commercenter Bldg 11 — FY2024</t>
        </is>
      </c>
      <c r="B97" s="17" t="inlineStr">
        <is>
          <t>Income</t>
        </is>
      </c>
      <c r="C97" s="17" t="inlineStr">
        <is>
          <t>4135 - Common Area Reimbursement</t>
        </is>
      </c>
      <c r="D97" s="36" t="n">
        <v>851.23</v>
      </c>
      <c r="E97" s="17" t="n"/>
      <c r="F97" s="18" t="inlineStr">
        <is>
          <t>584</t>
        </is>
      </c>
      <c r="G97" s="18" t="inlineStr">
        <is>
          <t>IND-WH</t>
        </is>
      </c>
    </row>
    <row r="98" ht="15.75" customHeight="1" s="51">
      <c r="A98" s="17" t="inlineStr">
        <is>
          <t>Majestic Commercenter Bldg 11 — FY2024</t>
        </is>
      </c>
      <c r="B98" s="17" t="inlineStr">
        <is>
          <t>Income</t>
        </is>
      </c>
      <c r="C98" s="17" t="inlineStr">
        <is>
          <t>4140 - Insurance Reimbursement</t>
        </is>
      </c>
      <c r="D98" s="36" t="n">
        <v>504.77</v>
      </c>
      <c r="E98" s="17" t="n"/>
      <c r="F98" s="18" t="inlineStr">
        <is>
          <t>584</t>
        </is>
      </c>
      <c r="G98" s="18" t="inlineStr">
        <is>
          <t>IND-WH</t>
        </is>
      </c>
    </row>
    <row r="99" ht="15.75" customHeight="1" s="51">
      <c r="A99" s="17" t="inlineStr">
        <is>
          <t>Majestic Commercenter Bldg 11 — FY2024</t>
        </is>
      </c>
      <c r="B99" s="17" t="inlineStr">
        <is>
          <t>Income</t>
        </is>
      </c>
      <c r="C99" s="17" t="inlineStr">
        <is>
          <t>4145 - Real Estate Tax Reimbursement</t>
        </is>
      </c>
      <c r="D99" s="36" t="n">
        <v>21708.39</v>
      </c>
      <c r="E99" s="17" t="n"/>
      <c r="F99" s="18" t="inlineStr">
        <is>
          <t>584</t>
        </is>
      </c>
      <c r="G99" s="18" t="inlineStr">
        <is>
          <t>IND-WH</t>
        </is>
      </c>
    </row>
    <row r="100" ht="15.75" customHeight="1" s="51">
      <c r="A100" s="17" t="inlineStr">
        <is>
          <t>Majestic Commercenter Bldg 11 — FY2024</t>
        </is>
      </c>
      <c r="B100" s="17" t="inlineStr">
        <is>
          <t>Income</t>
        </is>
      </c>
      <c r="C100" s="17" t="inlineStr">
        <is>
          <t>4150 - Utilities Reimbursement</t>
        </is>
      </c>
      <c r="D100" s="36" t="n">
        <v>1228.65</v>
      </c>
      <c r="E100" s="17" t="n"/>
      <c r="F100" s="18" t="inlineStr">
        <is>
          <t>584</t>
        </is>
      </c>
      <c r="G100" s="18" t="inlineStr">
        <is>
          <t>IND-WH</t>
        </is>
      </c>
    </row>
    <row r="101" ht="15.75" customHeight="1" s="51">
      <c r="A101" s="17" t="inlineStr">
        <is>
          <t>Majestic Commercenter Bldg 11 — FY2024</t>
        </is>
      </c>
      <c r="B101" s="17" t="inlineStr">
        <is>
          <t>Income</t>
        </is>
      </c>
      <c r="C101" s="17" t="inlineStr">
        <is>
          <t>4156 - Tenant TI Reimb Income</t>
        </is>
      </c>
      <c r="D101" s="36" t="n">
        <v>1024.87</v>
      </c>
      <c r="E101" s="17" t="n"/>
      <c r="F101" s="18" t="inlineStr">
        <is>
          <t>584</t>
        </is>
      </c>
      <c r="G101" s="18" t="inlineStr">
        <is>
          <t>IND-WH</t>
        </is>
      </c>
    </row>
    <row r="102" ht="15.75" customHeight="1" s="51">
      <c r="A102" s="17" t="inlineStr">
        <is>
          <t>Majestic Commercenter Bldg 11 — FY2024</t>
        </is>
      </c>
      <c r="B102" s="17" t="inlineStr">
        <is>
          <t>Income</t>
        </is>
      </c>
      <c r="C102" s="17" t="inlineStr">
        <is>
          <t>4160 - Management Fee Reimbursement</t>
        </is>
      </c>
      <c r="D102" s="36" t="n">
        <v>768.39</v>
      </c>
      <c r="E102" s="17" t="n"/>
      <c r="F102" s="18" t="inlineStr">
        <is>
          <t>584</t>
        </is>
      </c>
      <c r="G102" s="18" t="inlineStr">
        <is>
          <t>IND-WH</t>
        </is>
      </c>
    </row>
    <row r="103" ht="15.75" customHeight="1" s="51">
      <c r="A103" s="17" t="inlineStr">
        <is>
          <t>Majestic Commercenter Bldg 11 — FY2024</t>
        </is>
      </c>
      <c r="B103" s="17" t="inlineStr">
        <is>
          <t>Income</t>
        </is>
      </c>
      <c r="C103" s="17" t="inlineStr">
        <is>
          <t>4175 - Reserve Income</t>
        </is>
      </c>
      <c r="D103" s="36" t="n">
        <v>1432.67</v>
      </c>
      <c r="E103" s="17" t="n"/>
      <c r="F103" s="18" t="inlineStr">
        <is>
          <t>584</t>
        </is>
      </c>
      <c r="G103" s="18" t="inlineStr">
        <is>
          <t>IND-WH</t>
        </is>
      </c>
    </row>
    <row r="104" ht="15.75" customHeight="1" s="51">
      <c r="A104" s="17" t="inlineStr">
        <is>
          <t>Majestic Commercenter Bldg 11 — FY2024</t>
        </is>
      </c>
      <c r="B104" s="44" t="inlineStr">
        <is>
          <t>Income</t>
        </is>
      </c>
      <c r="C104" s="44" t="inlineStr">
        <is>
          <t>TOTAL INCOME</t>
        </is>
      </c>
      <c r="D104" s="45">
        <f>SUM(D95:D103)</f>
        <v/>
      </c>
      <c r="E104" s="46" t="inlineStr">
        <is>
          <t>Printed total: $53,330.06.</t>
        </is>
      </c>
      <c r="F104" s="18" t="inlineStr">
        <is>
          <t>584</t>
        </is>
      </c>
      <c r="G104" s="18" t="inlineStr">
        <is>
          <t>IND-WH</t>
        </is>
      </c>
    </row>
    <row r="105" ht="15.75" customHeight="1" s="51">
      <c r="A105" s="17" t="inlineStr">
        <is>
          <t>Majestic Commercenter Bldg 11 — FY2024</t>
        </is>
      </c>
      <c r="B105" s="44" t="inlineStr">
        <is>
          <t>Expense</t>
        </is>
      </c>
      <c r="C105" s="44" t="inlineStr">
        <is>
          <t>TOTAL EXPENSE</t>
        </is>
      </c>
      <c r="D105" s="45" t="n">
        <v>349663.61</v>
      </c>
      <c r="E105" s="46" t="inlineStr">
        <is>
          <t>Printed total: $349,663.61 (full per-account detail not captured; many small monthly line items).</t>
        </is>
      </c>
      <c r="F105" s="18" t="inlineStr">
        <is>
          <t>584</t>
        </is>
      </c>
      <c r="G105" s="18" t="inlineStr">
        <is>
          <t>IND-WH</t>
        </is>
      </c>
    </row>
    <row r="106" ht="15.75" customHeight="1" s="51">
      <c r="A106" s="17" t="inlineStr">
        <is>
          <t>Majestic Commercenter Bldg 11 — FY2024</t>
        </is>
      </c>
      <c r="B106" s="44" t="inlineStr">
        <is>
          <t>Other Income/Expense</t>
        </is>
      </c>
      <c r="C106" s="44" t="inlineStr">
        <is>
          <t>TOTAL Other (Income)/Expense</t>
        </is>
      </c>
      <c r="D106" s="45" t="n">
        <v>162250.28</v>
      </c>
      <c r="E106" s="46" t="n"/>
      <c r="F106" s="18" t="inlineStr">
        <is>
          <t>584</t>
        </is>
      </c>
      <c r="G106" s="18" t="inlineStr">
        <is>
          <t>IND-WH</t>
        </is>
      </c>
    </row>
    <row r="107" ht="15.75" customHeight="1" s="51">
      <c r="A107" s="17" t="inlineStr">
        <is>
          <t>Majestic Commercenter Bldg 11 — FY2024</t>
        </is>
      </c>
      <c r="B107" s="44" t="inlineStr">
        <is>
          <t>Net</t>
        </is>
      </c>
      <c r="C107" s="44" t="inlineStr">
        <is>
          <t>NET INCOME / (LOSS)</t>
        </is>
      </c>
      <c r="D107" s="45" t="n">
        <v>-458583.83</v>
      </c>
      <c r="E107" s="46" t="inlineStr">
        <is>
          <t>Net Loss (printed): $(458,583.83). Building 100% vacant all year (rent line is a small negative true-up); revenue is almost entirely rent concessions/reimbursements.</t>
        </is>
      </c>
      <c r="F107" s="18" t="inlineStr">
        <is>
          <t>584</t>
        </is>
      </c>
      <c r="G107" s="18" t="inlineStr">
        <is>
          <t>IND-WH</t>
        </is>
      </c>
    </row>
    <row r="108" ht="15.75" customHeight="1" s="51">
      <c r="A108" s="17" t="inlineStr">
        <is>
          <t>2780 North Tower Road, LLC — FY2024</t>
        </is>
      </c>
      <c r="B108" s="17" t="inlineStr">
        <is>
          <t>Income</t>
        </is>
      </c>
      <c r="C108" s="17" t="inlineStr">
        <is>
          <t>42327 - Rent Income SRO Tower Road</t>
        </is>
      </c>
      <c r="D108" s="36" t="n">
        <v>3047376</v>
      </c>
      <c r="E108" s="17" t="inlineStr">
        <is>
          <t>Single tenant, actual $7.91/SF NNN</t>
        </is>
      </c>
      <c r="F108" s="18" t="inlineStr">
        <is>
          <t>584</t>
        </is>
      </c>
      <c r="G108" s="18" t="inlineStr">
        <is>
          <t>IND-DIST</t>
        </is>
      </c>
    </row>
    <row r="109" ht="15.75" customHeight="1" s="51">
      <c r="A109" s="17" t="inlineStr">
        <is>
          <t>2780 North Tower Road, LLC — FY2024</t>
        </is>
      </c>
      <c r="B109" s="44" t="inlineStr">
        <is>
          <t>Income</t>
        </is>
      </c>
      <c r="C109" s="44" t="inlineStr">
        <is>
          <t>TOTAL INCOME</t>
        </is>
      </c>
      <c r="D109" s="45">
        <f>SUM(D108)</f>
        <v/>
      </c>
      <c r="E109" s="46" t="inlineStr">
        <is>
          <t>Printed total: $3,047,376.</t>
        </is>
      </c>
      <c r="F109" s="18" t="inlineStr">
        <is>
          <t>584</t>
        </is>
      </c>
      <c r="G109" s="18" t="inlineStr">
        <is>
          <t>IND-DIST</t>
        </is>
      </c>
    </row>
    <row r="110" ht="15.75" customHeight="1" s="51">
      <c r="A110" s="17" t="inlineStr">
        <is>
          <t>2780 North Tower Road, LLC — FY2024</t>
        </is>
      </c>
      <c r="B110" s="17" t="inlineStr">
        <is>
          <t>Expense</t>
        </is>
      </c>
      <c r="C110" s="17" t="inlineStr">
        <is>
          <t>60400 - Bank Service Charges</t>
        </is>
      </c>
      <c r="D110" s="36" t="n">
        <v>207</v>
      </c>
      <c r="E110" s="17" t="n"/>
      <c r="F110" s="18" t="inlineStr">
        <is>
          <t>584</t>
        </is>
      </c>
      <c r="G110" s="18" t="inlineStr">
        <is>
          <t>IND-DIST</t>
        </is>
      </c>
    </row>
    <row r="111" ht="15.75" customHeight="1" s="51">
      <c r="A111" s="17" t="inlineStr">
        <is>
          <t>2780 North Tower Road, LLC — FY2024</t>
        </is>
      </c>
      <c r="B111" s="17" t="inlineStr">
        <is>
          <t>Expense</t>
        </is>
      </c>
      <c r="C111" s="17" t="inlineStr">
        <is>
          <t>62500 - Dues and Subscriptions</t>
        </is>
      </c>
      <c r="D111" s="36" t="n">
        <v>839</v>
      </c>
      <c r="E111" s="17" t="n"/>
      <c r="F111" s="18" t="inlineStr">
        <is>
          <t>584</t>
        </is>
      </c>
      <c r="G111" s="18" t="inlineStr">
        <is>
          <t>IND-DIST</t>
        </is>
      </c>
    </row>
    <row r="112" ht="15.75" customHeight="1" s="51">
      <c r="A112" s="17" t="inlineStr">
        <is>
          <t>2780 North Tower Road, LLC — FY2024</t>
        </is>
      </c>
      <c r="B112" s="17" t="inlineStr">
        <is>
          <t>Expense</t>
        </is>
      </c>
      <c r="C112" s="17" t="inlineStr">
        <is>
          <t>64900 - Office Supplies</t>
        </is>
      </c>
      <c r="D112" s="36" t="n">
        <v>0</v>
      </c>
      <c r="E112" s="17" t="n"/>
      <c r="F112" s="18" t="inlineStr">
        <is>
          <t>584</t>
        </is>
      </c>
      <c r="G112" s="18" t="inlineStr">
        <is>
          <t>IND-DIST</t>
        </is>
      </c>
    </row>
    <row r="113" ht="15.75" customHeight="1" s="51">
      <c r="A113" s="17" t="inlineStr">
        <is>
          <t>2780 North Tower Road, LLC — FY2024</t>
        </is>
      </c>
      <c r="B113" s="17" t="inlineStr">
        <is>
          <t>Expense</t>
        </is>
      </c>
      <c r="C113" s="17" t="inlineStr">
        <is>
          <t>66700 - Professional Fees (Accounting+Svc Agmt+Other)</t>
        </is>
      </c>
      <c r="D113" s="36" t="n">
        <v>20011</v>
      </c>
      <c r="E113" s="17" t="n"/>
      <c r="F113" s="18" t="inlineStr">
        <is>
          <t>584</t>
        </is>
      </c>
      <c r="G113" s="18" t="inlineStr">
        <is>
          <t>IND-DIST</t>
        </is>
      </c>
    </row>
    <row r="114" ht="15.75" customHeight="1" s="51">
      <c r="A114" s="17" t="inlineStr">
        <is>
          <t>2780 North Tower Road, LLC — FY2024</t>
        </is>
      </c>
      <c r="B114" s="17" t="inlineStr">
        <is>
          <t>Expense</t>
        </is>
      </c>
      <c r="C114" s="17" t="inlineStr">
        <is>
          <t>67200 - Repairs and Maintenance</t>
        </is>
      </c>
      <c r="D114" s="36" t="n">
        <v>0</v>
      </c>
      <c r="E114" s="17" t="n"/>
      <c r="F114" s="18" t="inlineStr">
        <is>
          <t>584</t>
        </is>
      </c>
      <c r="G114" s="18" t="inlineStr">
        <is>
          <t>IND-DIST</t>
        </is>
      </c>
    </row>
    <row r="115" ht="15.75" customHeight="1" s="51">
      <c r="A115" s="17" t="inlineStr">
        <is>
          <t>2780 North Tower Road, LLC — FY2024</t>
        </is>
      </c>
      <c r="B115" s="17" t="inlineStr">
        <is>
          <t>Expense</t>
        </is>
      </c>
      <c r="C115" s="17" t="inlineStr">
        <is>
          <t>68000 - Taxes - Property</t>
        </is>
      </c>
      <c r="D115" s="36" t="n">
        <v>0</v>
      </c>
      <c r="E115" s="17" t="n"/>
      <c r="F115" s="18" t="inlineStr">
        <is>
          <t>584</t>
        </is>
      </c>
      <c r="G115" s="18" t="inlineStr">
        <is>
          <t>IND-DIST</t>
        </is>
      </c>
    </row>
    <row r="116" ht="15.75" customHeight="1" s="51">
      <c r="A116" s="17" t="inlineStr">
        <is>
          <t>2780 North Tower Road, LLC — FY2024</t>
        </is>
      </c>
      <c r="B116" s="17" t="inlineStr">
        <is>
          <t>Expense</t>
        </is>
      </c>
      <c r="C116" s="17" t="inlineStr">
        <is>
          <t>68600 - Utilities</t>
        </is>
      </c>
      <c r="D116" s="36" t="n">
        <v>0</v>
      </c>
      <c r="E116" s="17" t="n"/>
      <c r="F116" s="18" t="inlineStr">
        <is>
          <t>584</t>
        </is>
      </c>
      <c r="G116" s="18" t="inlineStr">
        <is>
          <t>IND-DIST</t>
        </is>
      </c>
    </row>
    <row r="117" ht="15.75" customHeight="1" s="51">
      <c r="A117" s="17" t="inlineStr">
        <is>
          <t>2780 North Tower Road, LLC — FY2024</t>
        </is>
      </c>
      <c r="B117" s="17" t="inlineStr">
        <is>
          <t>Expense</t>
        </is>
      </c>
      <c r="C117" s="17" t="inlineStr">
        <is>
          <t>74410 - Outside Services</t>
        </is>
      </c>
      <c r="D117" s="36" t="n">
        <v>14830</v>
      </c>
      <c r="E117" s="17" t="n"/>
      <c r="F117" s="18" t="inlineStr">
        <is>
          <t>584</t>
        </is>
      </c>
      <c r="G117" s="18" t="inlineStr">
        <is>
          <t>IND-DIST</t>
        </is>
      </c>
    </row>
    <row r="118" ht="15.75" customHeight="1" s="51">
      <c r="A118" s="17" t="inlineStr">
        <is>
          <t>2780 North Tower Road, LLC — FY2024</t>
        </is>
      </c>
      <c r="B118" s="17" t="inlineStr">
        <is>
          <t>Expense</t>
        </is>
      </c>
      <c r="C118" s="17" t="inlineStr">
        <is>
          <t>75015 - Legal</t>
        </is>
      </c>
      <c r="D118" s="36" t="n">
        <v>11093</v>
      </c>
      <c r="E118" s="17" t="n"/>
      <c r="F118" s="18" t="inlineStr">
        <is>
          <t>584</t>
        </is>
      </c>
      <c r="G118" s="18" t="inlineStr">
        <is>
          <t>IND-DIST</t>
        </is>
      </c>
    </row>
    <row r="119" ht="15.75" customHeight="1" s="51">
      <c r="A119" s="17" t="inlineStr">
        <is>
          <t>2780 North Tower Road, LLC — FY2024</t>
        </is>
      </c>
      <c r="B119" s="17" t="inlineStr">
        <is>
          <t>Expense</t>
        </is>
      </c>
      <c r="C119" s="17" t="inlineStr">
        <is>
          <t>75020 - Consulting fees</t>
        </is>
      </c>
      <c r="D119" s="36" t="n">
        <v>0</v>
      </c>
      <c r="E119" s="17" t="n"/>
      <c r="F119" s="18" t="inlineStr">
        <is>
          <t>584</t>
        </is>
      </c>
      <c r="G119" s="18" t="inlineStr">
        <is>
          <t>IND-DIST</t>
        </is>
      </c>
    </row>
    <row r="120" ht="15.75" customHeight="1" s="51">
      <c r="A120" s="17" t="inlineStr">
        <is>
          <t>2780 North Tower Road, LLC — FY2024</t>
        </is>
      </c>
      <c r="B120" s="17" t="inlineStr">
        <is>
          <t>Expense</t>
        </is>
      </c>
      <c r="C120" s="17" t="inlineStr">
        <is>
          <t>77025 - Depreciation-Bldgs &amp; Improvement</t>
        </is>
      </c>
      <c r="D120" s="36" t="n">
        <v>456096</v>
      </c>
      <c r="E120" s="17" t="n"/>
      <c r="F120" s="18" t="inlineStr">
        <is>
          <t>584</t>
        </is>
      </c>
      <c r="G120" s="18" t="inlineStr">
        <is>
          <t>IND-DIST</t>
        </is>
      </c>
    </row>
    <row r="121" ht="15.75" customHeight="1" s="51">
      <c r="A121" s="17" t="inlineStr">
        <is>
          <t>2780 North Tower Road, LLC — FY2024</t>
        </is>
      </c>
      <c r="B121" s="17" t="inlineStr">
        <is>
          <t>Expense</t>
        </is>
      </c>
      <c r="C121" s="17" t="inlineStr">
        <is>
          <t>77026 - Amortization</t>
        </is>
      </c>
      <c r="D121" s="36" t="n">
        <v>12124</v>
      </c>
      <c r="E121" s="17" t="n"/>
      <c r="F121" s="18" t="inlineStr">
        <is>
          <t>584</t>
        </is>
      </c>
      <c r="G121" s="18" t="inlineStr">
        <is>
          <t>IND-DIST</t>
        </is>
      </c>
    </row>
    <row r="122" ht="15.75" customHeight="1" s="51">
      <c r="A122" s="17" t="inlineStr">
        <is>
          <t>2780 North Tower Road, LLC — FY2024</t>
        </is>
      </c>
      <c r="B122" s="44" t="inlineStr">
        <is>
          <t>Expense</t>
        </is>
      </c>
      <c r="C122" s="44" t="inlineStr">
        <is>
          <t>TOTAL EXPENSE</t>
        </is>
      </c>
      <c r="D122" s="45">
        <f>SUM(D110:D121)</f>
        <v/>
      </c>
      <c r="E122" s="46" t="inlineStr">
        <is>
          <t>Printed total: $515,200.</t>
        </is>
      </c>
      <c r="F122" s="18" t="inlineStr">
        <is>
          <t>584</t>
        </is>
      </c>
      <c r="G122" s="18" t="inlineStr">
        <is>
          <t>IND-DIST</t>
        </is>
      </c>
    </row>
    <row r="123" ht="15.75" customHeight="1" s="51">
      <c r="A123" s="17" t="inlineStr">
        <is>
          <t>2780 North Tower Road, LLC — FY2024</t>
        </is>
      </c>
      <c r="B123" s="17" t="inlineStr">
        <is>
          <t>Interest</t>
        </is>
      </c>
      <c r="C123" s="17" t="inlineStr">
        <is>
          <t>92000 Interest Expense - Notes</t>
        </is>
      </c>
      <c r="D123" s="36" t="n">
        <v>613282</v>
      </c>
      <c r="E123" s="17" t="n"/>
      <c r="F123" s="18" t="inlineStr">
        <is>
          <t>584</t>
        </is>
      </c>
      <c r="G123" s="18" t="inlineStr">
        <is>
          <t>IND-DIST</t>
        </is>
      </c>
    </row>
    <row r="124" ht="15.75" customHeight="1" s="51">
      <c r="A124" s="17" t="inlineStr">
        <is>
          <t>2780 North Tower Road, LLC — FY2024</t>
        </is>
      </c>
      <c r="B124" s="44" t="inlineStr">
        <is>
          <t>Other Income/Expense</t>
        </is>
      </c>
      <c r="C124" s="44" t="inlineStr">
        <is>
          <t>TOTAL Interest &amp; Other Expense (net)</t>
        </is>
      </c>
      <c r="D124" s="45" t="n">
        <v>613282</v>
      </c>
      <c r="E124" s="46" t="n"/>
      <c r="F124" s="18" t="inlineStr">
        <is>
          <t>584</t>
        </is>
      </c>
      <c r="G124" s="18" t="inlineStr">
        <is>
          <t>IND-DIST</t>
        </is>
      </c>
    </row>
    <row r="125" ht="15.75" customHeight="1" s="51">
      <c r="A125" s="17" t="inlineStr">
        <is>
          <t>2780 North Tower Road, LLC — FY2024</t>
        </is>
      </c>
      <c r="B125" s="44" t="inlineStr">
        <is>
          <t>Net</t>
        </is>
      </c>
      <c r="C125" s="44" t="inlineStr">
        <is>
          <t>NET INCOME / (LOSS)</t>
        </is>
      </c>
      <c r="D125" s="45" t="n">
        <v>1918894</v>
      </c>
      <c r="E125" s="46" t="inlineStr">
        <is>
          <t>Net Income (printed): $1,918,894. Accrual basis P&amp;L; includes depreciation, amortization &amp; mortgage interest.</t>
        </is>
      </c>
      <c r="F125" s="18" t="inlineStr">
        <is>
          <t>584</t>
        </is>
      </c>
      <c r="G125" s="18" t="inlineStr">
        <is>
          <t>IND-DIST</t>
        </is>
      </c>
    </row>
    <row r="126" ht="15.75" customHeight="1" s="51">
      <c r="A126" s="17" t="inlineStr">
        <is>
          <t>2780 North Tower Road, LLC — FY2023</t>
        </is>
      </c>
      <c r="B126" s="17" t="inlineStr">
        <is>
          <t>Income</t>
        </is>
      </c>
      <c r="C126" s="17" t="inlineStr">
        <is>
          <t>42327 - Rent Income SRO Tower Road</t>
        </is>
      </c>
      <c r="D126" s="36" t="n">
        <v>2979661</v>
      </c>
      <c r="E126" s="17" t="inlineStr">
        <is>
          <t>Single tenant, actual $7.74/SF NNN</t>
        </is>
      </c>
      <c r="F126" s="18" t="inlineStr">
        <is>
          <t>584</t>
        </is>
      </c>
      <c r="G126" s="18" t="inlineStr">
        <is>
          <t>IND-DIST</t>
        </is>
      </c>
    </row>
    <row r="127" ht="15.75" customHeight="1" s="51">
      <c r="A127" s="17" t="inlineStr">
        <is>
          <t>2780 North Tower Road, LLC — FY2023</t>
        </is>
      </c>
      <c r="B127" s="44" t="inlineStr">
        <is>
          <t>Income</t>
        </is>
      </c>
      <c r="C127" s="44" t="inlineStr">
        <is>
          <t>TOTAL INCOME</t>
        </is>
      </c>
      <c r="D127" s="45">
        <f>SUM(D126)</f>
        <v/>
      </c>
      <c r="E127" s="46" t="inlineStr">
        <is>
          <t>Printed total: $2,979,661.</t>
        </is>
      </c>
      <c r="F127" s="18" t="inlineStr">
        <is>
          <t>584</t>
        </is>
      </c>
      <c r="G127" s="18" t="inlineStr">
        <is>
          <t>IND-DIST</t>
        </is>
      </c>
    </row>
    <row r="128" ht="15.75" customHeight="1" s="51">
      <c r="A128" s="17" t="inlineStr">
        <is>
          <t>2780 North Tower Road, LLC — FY2023</t>
        </is>
      </c>
      <c r="B128" s="17" t="inlineStr">
        <is>
          <t>Expense</t>
        </is>
      </c>
      <c r="C128" s="17" t="inlineStr">
        <is>
          <t>60400 - Bank Service Charges</t>
        </is>
      </c>
      <c r="D128" s="36" t="n">
        <v>355</v>
      </c>
      <c r="E128" s="17" t="n"/>
      <c r="F128" s="18" t="inlineStr">
        <is>
          <t>584</t>
        </is>
      </c>
      <c r="G128" s="18" t="inlineStr">
        <is>
          <t>IND-DIST</t>
        </is>
      </c>
    </row>
    <row r="129" ht="15.75" customHeight="1" s="51">
      <c r="A129" s="17" t="inlineStr">
        <is>
          <t>2780 North Tower Road, LLC — FY2023</t>
        </is>
      </c>
      <c r="B129" s="17" t="inlineStr">
        <is>
          <t>Expense</t>
        </is>
      </c>
      <c r="C129" s="17" t="inlineStr">
        <is>
          <t>62500 - Dues and Subscriptions</t>
        </is>
      </c>
      <c r="D129" s="36" t="n">
        <v>800</v>
      </c>
      <c r="E129" s="17" t="n"/>
      <c r="F129" s="18" t="inlineStr">
        <is>
          <t>584</t>
        </is>
      </c>
      <c r="G129" s="18" t="inlineStr">
        <is>
          <t>IND-DIST</t>
        </is>
      </c>
    </row>
    <row r="130" ht="15.75" customHeight="1" s="51">
      <c r="A130" s="17" t="inlineStr">
        <is>
          <t>2780 North Tower Road, LLC — FY2023</t>
        </is>
      </c>
      <c r="B130" s="17" t="inlineStr">
        <is>
          <t>Expense</t>
        </is>
      </c>
      <c r="C130" s="17" t="inlineStr">
        <is>
          <t>64900 - Office Supplies</t>
        </is>
      </c>
      <c r="D130" s="36" t="n">
        <v>10</v>
      </c>
      <c r="E130" s="17" t="n"/>
      <c r="F130" s="18" t="inlineStr">
        <is>
          <t>584</t>
        </is>
      </c>
      <c r="G130" s="18" t="inlineStr">
        <is>
          <t>IND-DIST</t>
        </is>
      </c>
    </row>
    <row r="131" ht="15.75" customHeight="1" s="51">
      <c r="A131" s="17" t="inlineStr">
        <is>
          <t>2780 North Tower Road, LLC — FY2023</t>
        </is>
      </c>
      <c r="B131" s="17" t="inlineStr">
        <is>
          <t>Expense</t>
        </is>
      </c>
      <c r="C131" s="17" t="inlineStr">
        <is>
          <t>66700 - Professional Fees (Accounting+Svc Agmt)</t>
        </is>
      </c>
      <c r="D131" s="36" t="n">
        <v>20451</v>
      </c>
      <c r="E131" s="17" t="n"/>
      <c r="F131" s="18" t="inlineStr">
        <is>
          <t>584</t>
        </is>
      </c>
      <c r="G131" s="18" t="inlineStr">
        <is>
          <t>IND-DIST</t>
        </is>
      </c>
    </row>
    <row r="132" ht="15.75" customHeight="1" s="51">
      <c r="A132" s="17" t="inlineStr">
        <is>
          <t>2780 North Tower Road, LLC — FY2023</t>
        </is>
      </c>
      <c r="B132" s="17" t="inlineStr">
        <is>
          <t>Expense</t>
        </is>
      </c>
      <c r="C132" s="17" t="inlineStr">
        <is>
          <t>67200 - Repairs and Maintenance</t>
        </is>
      </c>
      <c r="D132" s="36" t="n">
        <v>0</v>
      </c>
      <c r="E132" s="17" t="n"/>
      <c r="F132" s="18" t="inlineStr">
        <is>
          <t>584</t>
        </is>
      </c>
      <c r="G132" s="18" t="inlineStr">
        <is>
          <t>IND-DIST</t>
        </is>
      </c>
    </row>
    <row r="133" ht="15.75" customHeight="1" s="51">
      <c r="A133" s="17" t="inlineStr">
        <is>
          <t>2780 North Tower Road, LLC — FY2023</t>
        </is>
      </c>
      <c r="B133" s="17" t="inlineStr">
        <is>
          <t>Expense</t>
        </is>
      </c>
      <c r="C133" s="17" t="inlineStr">
        <is>
          <t>68000 - Taxes - Property</t>
        </is>
      </c>
      <c r="D133" s="36" t="n">
        <v>0</v>
      </c>
      <c r="E133" s="17" t="n"/>
      <c r="F133" s="18" t="inlineStr">
        <is>
          <t>584</t>
        </is>
      </c>
      <c r="G133" s="18" t="inlineStr">
        <is>
          <t>IND-DIST</t>
        </is>
      </c>
    </row>
    <row r="134" ht="15.75" customHeight="1" s="51">
      <c r="A134" s="17" t="inlineStr">
        <is>
          <t>2780 North Tower Road, LLC — FY2023</t>
        </is>
      </c>
      <c r="B134" s="17" t="inlineStr">
        <is>
          <t>Expense</t>
        </is>
      </c>
      <c r="C134" s="17" t="inlineStr">
        <is>
          <t>68600 - Utilities</t>
        </is>
      </c>
      <c r="D134" s="36" t="n">
        <v>687</v>
      </c>
      <c r="E134" s="17" t="n"/>
      <c r="F134" s="18" t="inlineStr">
        <is>
          <t>584</t>
        </is>
      </c>
      <c r="G134" s="18" t="inlineStr">
        <is>
          <t>IND-DIST</t>
        </is>
      </c>
    </row>
    <row r="135" ht="15.75" customHeight="1" s="51">
      <c r="A135" s="17" t="inlineStr">
        <is>
          <t>2780 North Tower Road, LLC — FY2023</t>
        </is>
      </c>
      <c r="B135" s="17" t="inlineStr">
        <is>
          <t>Expense</t>
        </is>
      </c>
      <c r="C135" s="17" t="inlineStr">
        <is>
          <t>74410 - Outside Services</t>
        </is>
      </c>
      <c r="D135" s="36" t="n">
        <v>2206</v>
      </c>
      <c r="E135" s="17" t="n"/>
      <c r="F135" s="18" t="inlineStr">
        <is>
          <t>584</t>
        </is>
      </c>
      <c r="G135" s="18" t="inlineStr">
        <is>
          <t>IND-DIST</t>
        </is>
      </c>
    </row>
    <row r="136" ht="15.75" customHeight="1" s="51">
      <c r="A136" s="17" t="inlineStr">
        <is>
          <t>2780 North Tower Road, LLC — FY2023</t>
        </is>
      </c>
      <c r="B136" s="17" t="inlineStr">
        <is>
          <t>Expense</t>
        </is>
      </c>
      <c r="C136" s="17" t="inlineStr">
        <is>
          <t>75015 - Legal</t>
        </is>
      </c>
      <c r="D136" s="36" t="n">
        <v>4730</v>
      </c>
      <c r="E136" s="17" t="n"/>
      <c r="F136" s="18" t="inlineStr">
        <is>
          <t>584</t>
        </is>
      </c>
      <c r="G136" s="18" t="inlineStr">
        <is>
          <t>IND-DIST</t>
        </is>
      </c>
    </row>
    <row r="137" ht="15.75" customHeight="1" s="51">
      <c r="A137" s="17" t="inlineStr">
        <is>
          <t>2780 North Tower Road, LLC — FY2023</t>
        </is>
      </c>
      <c r="B137" s="17" t="inlineStr">
        <is>
          <t>Expense</t>
        </is>
      </c>
      <c r="C137" s="17" t="inlineStr">
        <is>
          <t>75020 - Consulting fees</t>
        </is>
      </c>
      <c r="D137" s="36" t="n">
        <v>0</v>
      </c>
      <c r="E137" s="17" t="n"/>
      <c r="F137" s="18" t="inlineStr">
        <is>
          <t>584</t>
        </is>
      </c>
      <c r="G137" s="18" t="inlineStr">
        <is>
          <t>IND-DIST</t>
        </is>
      </c>
    </row>
    <row r="138" ht="15.75" customHeight="1" s="51">
      <c r="A138" s="17" t="inlineStr">
        <is>
          <t>2780 North Tower Road, LLC — FY2023</t>
        </is>
      </c>
      <c r="B138" s="17" t="inlineStr">
        <is>
          <t>Expense</t>
        </is>
      </c>
      <c r="C138" s="17" t="inlineStr">
        <is>
          <t>77025 - Depreciation-Bldgs &amp; Improvement</t>
        </is>
      </c>
      <c r="D138" s="36" t="n">
        <v>456096</v>
      </c>
      <c r="E138" s="17" t="n"/>
      <c r="F138" s="18" t="inlineStr">
        <is>
          <t>584</t>
        </is>
      </c>
      <c r="G138" s="18" t="inlineStr">
        <is>
          <t>IND-DIST</t>
        </is>
      </c>
    </row>
    <row r="139" ht="15.75" customHeight="1" s="51">
      <c r="A139" s="17" t="inlineStr">
        <is>
          <t>2780 North Tower Road, LLC — FY2023</t>
        </is>
      </c>
      <c r="B139" s="17" t="inlineStr">
        <is>
          <t>Expense</t>
        </is>
      </c>
      <c r="C139" s="17" t="inlineStr">
        <is>
          <t>77026 - Amortization</t>
        </is>
      </c>
      <c r="D139" s="36" t="n">
        <v>12124</v>
      </c>
      <c r="E139" s="17" t="n"/>
      <c r="F139" s="18" t="inlineStr">
        <is>
          <t>584</t>
        </is>
      </c>
      <c r="G139" s="18" t="inlineStr">
        <is>
          <t>IND-DIST</t>
        </is>
      </c>
    </row>
    <row r="140" ht="15.75" customHeight="1" s="51">
      <c r="A140" s="17" t="inlineStr">
        <is>
          <t>2780 North Tower Road, LLC — FY2023</t>
        </is>
      </c>
      <c r="B140" s="44" t="inlineStr">
        <is>
          <t>Expense</t>
        </is>
      </c>
      <c r="C140" s="44" t="inlineStr">
        <is>
          <t>TOTAL EXPENSE</t>
        </is>
      </c>
      <c r="D140" s="45">
        <f>SUM(D128:D139)</f>
        <v/>
      </c>
      <c r="E140" s="46" t="inlineStr">
        <is>
          <t>Printed total: $497,459.</t>
        </is>
      </c>
      <c r="F140" s="18" t="inlineStr">
        <is>
          <t>584</t>
        </is>
      </c>
      <c r="G140" s="18" t="inlineStr">
        <is>
          <t>IND-DIST</t>
        </is>
      </c>
    </row>
    <row r="141" ht="15.75" customHeight="1" s="51">
      <c r="A141" s="17" t="inlineStr">
        <is>
          <t>2780 North Tower Road, LLC — FY2023</t>
        </is>
      </c>
      <c r="B141" s="17" t="inlineStr">
        <is>
          <t>Interest</t>
        </is>
      </c>
      <c r="C141" s="17" t="inlineStr">
        <is>
          <t>92000 Interest Expense - Notes (net of $18 other income)</t>
        </is>
      </c>
      <c r="D141" s="36" t="n">
        <v>641014</v>
      </c>
      <c r="E141" s="17" t="n"/>
      <c r="F141" s="18" t="inlineStr">
        <is>
          <t>584</t>
        </is>
      </c>
      <c r="G141" s="18" t="inlineStr">
        <is>
          <t>IND-DIST</t>
        </is>
      </c>
    </row>
    <row r="142" ht="15.75" customHeight="1" s="51">
      <c r="A142" s="17" t="inlineStr">
        <is>
          <t>2780 North Tower Road, LLC — FY2023</t>
        </is>
      </c>
      <c r="B142" s="44" t="inlineStr">
        <is>
          <t>Other Income/Expense</t>
        </is>
      </c>
      <c r="C142" s="44" t="inlineStr">
        <is>
          <t>TOTAL Interest &amp; Other Expense (net)</t>
        </is>
      </c>
      <c r="D142" s="45" t="n">
        <v>640996</v>
      </c>
      <c r="E142" s="46" t="n"/>
      <c r="F142" s="18" t="inlineStr">
        <is>
          <t>584</t>
        </is>
      </c>
      <c r="G142" s="18" t="inlineStr">
        <is>
          <t>IND-DIST</t>
        </is>
      </c>
    </row>
    <row r="143" ht="15.75" customHeight="1" s="51">
      <c r="A143" s="17" t="inlineStr">
        <is>
          <t>2780 North Tower Road, LLC — FY2023</t>
        </is>
      </c>
      <c r="B143" s="44" t="inlineStr">
        <is>
          <t>Net</t>
        </is>
      </c>
      <c r="C143" s="44" t="inlineStr">
        <is>
          <t>NET INCOME / (LOSS)</t>
        </is>
      </c>
      <c r="D143" s="45" t="n">
        <v>1841206</v>
      </c>
      <c r="E143" s="46" t="inlineStr">
        <is>
          <t>Net Income (printed): $1,841,206. Accrual basis P&amp;L; includes depreciation, amortization &amp; mortgage interest.</t>
        </is>
      </c>
      <c r="F143" s="18" t="inlineStr">
        <is>
          <t>584</t>
        </is>
      </c>
      <c r="G143" s="18" t="inlineStr">
        <is>
          <t>IND-DIST</t>
        </is>
      </c>
    </row>
    <row r="144" ht="15.75" customHeight="1" s="51">
      <c r="A144" s="17" t="inlineStr">
        <is>
          <t>TrusTile Doors (R0198564) — Oct'23-Sep'24 survey</t>
        </is>
      </c>
      <c r="B144" s="44" t="inlineStr">
        <is>
          <t>Income</t>
        </is>
      </c>
      <c r="C144" s="44" t="inlineStr">
        <is>
          <t>TOTAL INCOME</t>
        </is>
      </c>
      <c r="D144" s="45" t="n"/>
      <c r="E144" s="46" t="inlineStr">
        <is>
          <t>Owner-occupied; no income reported (form requires expenses only).</t>
        </is>
      </c>
      <c r="F144" s="18" t="inlineStr">
        <is>
          <t>584</t>
        </is>
      </c>
      <c r="G144" s="18" t="inlineStr">
        <is>
          <t>IND-MFG</t>
        </is>
      </c>
    </row>
    <row r="145" ht="15.75" customHeight="1" s="51">
      <c r="A145" s="17" t="inlineStr">
        <is>
          <t>TrusTile Doors (R0198564) — Oct'23-Sep'24 survey</t>
        </is>
      </c>
      <c r="B145" s="17" t="inlineStr">
        <is>
          <t>Expense</t>
        </is>
      </c>
      <c r="C145" s="17" t="inlineStr">
        <is>
          <t>Building Insurance</t>
        </is>
      </c>
      <c r="D145" s="36" t="n">
        <v>361160</v>
      </c>
      <c r="E145" s="17" t="n"/>
      <c r="F145" s="18" t="inlineStr">
        <is>
          <t>584</t>
        </is>
      </c>
      <c r="G145" s="18" t="inlineStr">
        <is>
          <t>IND-MFG</t>
        </is>
      </c>
    </row>
    <row r="146" ht="15.75" customHeight="1" s="51">
      <c r="A146" s="17" t="inlineStr">
        <is>
          <t>TrusTile Doors (R0198564) — Oct'23-Sep'24 survey</t>
        </is>
      </c>
      <c r="B146" s="17" t="inlineStr">
        <is>
          <t>Expense</t>
        </is>
      </c>
      <c r="C146" s="17" t="inlineStr">
        <is>
          <t>Building Repair &amp; Maintenance (incl. Ground Maint.)</t>
        </is>
      </c>
      <c r="D146" s="36" t="n">
        <v>796122</v>
      </c>
      <c r="E146" s="17" t="n"/>
      <c r="F146" s="18" t="inlineStr">
        <is>
          <t>584</t>
        </is>
      </c>
      <c r="G146" s="18" t="inlineStr">
        <is>
          <t>IND-MFG</t>
        </is>
      </c>
    </row>
    <row r="147" ht="15.75" customHeight="1" s="51">
      <c r="A147" s="17" t="inlineStr">
        <is>
          <t>TrusTile Doors (R0198564) — Oct'23-Sep'24 survey</t>
        </is>
      </c>
      <c r="B147" s="17" t="inlineStr">
        <is>
          <t>Expense</t>
        </is>
      </c>
      <c r="C147" s="17" t="inlineStr">
        <is>
          <t>Janitorial Services</t>
        </is>
      </c>
      <c r="D147" s="36" t="n">
        <v>150032</v>
      </c>
      <c r="E147" s="17" t="n"/>
      <c r="F147" s="18" t="inlineStr">
        <is>
          <t>584</t>
        </is>
      </c>
      <c r="G147" s="18" t="inlineStr">
        <is>
          <t>IND-MFG</t>
        </is>
      </c>
    </row>
    <row r="148" ht="15.75" customHeight="1" s="51">
      <c r="A148" s="17" t="inlineStr">
        <is>
          <t>TrusTile Doors (R0198564) — Oct'23-Sep'24 survey</t>
        </is>
      </c>
      <c r="B148" s="17" t="inlineStr">
        <is>
          <t>Expense</t>
        </is>
      </c>
      <c r="C148" s="17" t="inlineStr">
        <is>
          <t>Snow/Trash Removal</t>
        </is>
      </c>
      <c r="D148" s="36" t="n">
        <v>749196</v>
      </c>
      <c r="E148" s="17" t="n"/>
      <c r="F148" s="18" t="inlineStr">
        <is>
          <t>584</t>
        </is>
      </c>
      <c r="G148" s="18" t="inlineStr">
        <is>
          <t>IND-MFG</t>
        </is>
      </c>
    </row>
    <row r="149" ht="15.75" customHeight="1" s="51">
      <c r="A149" s="17" t="inlineStr">
        <is>
          <t>TrusTile Doors (R0198564) — Oct'23-Sep'24 survey</t>
        </is>
      </c>
      <c r="B149" s="17" t="inlineStr">
        <is>
          <t>Expense</t>
        </is>
      </c>
      <c r="C149" s="17" t="inlineStr">
        <is>
          <t>Utilities</t>
        </is>
      </c>
      <c r="D149" s="36" t="n">
        <v>1031487</v>
      </c>
      <c r="E149" s="17" t="n"/>
      <c r="F149" s="18" t="inlineStr">
        <is>
          <t>584</t>
        </is>
      </c>
      <c r="G149" s="18" t="inlineStr">
        <is>
          <t>IND-MFG</t>
        </is>
      </c>
    </row>
    <row r="150" ht="15.75" customHeight="1" s="51">
      <c r="A150" s="17" t="inlineStr">
        <is>
          <t>TrusTile Doors (R0198564) — Oct'23-Sep'24 survey</t>
        </is>
      </c>
      <c r="B150" s="44" t="inlineStr">
        <is>
          <t>Expense</t>
        </is>
      </c>
      <c r="C150" s="44" t="inlineStr">
        <is>
          <t>TOTAL EXPENSE</t>
        </is>
      </c>
      <c r="D150" s="45">
        <f>SUM(D145:D149)</f>
        <v/>
      </c>
      <c r="E150" s="46" t="inlineStr">
        <is>
          <t>Sum of reported items (owner did not report Advertising, Leasing Commissions, or Management fees — NA, no leasing).</t>
        </is>
      </c>
      <c r="F150" s="18" t="inlineStr">
        <is>
          <t>584</t>
        </is>
      </c>
      <c r="G150" s="18" t="inlineStr">
        <is>
          <t>IND-MFG</t>
        </is>
      </c>
    </row>
    <row r="151" ht="15.75" customHeight="1" s="51">
      <c r="A151" s="17" t="inlineStr">
        <is>
          <t>Broadway Logistics Center — FY2024</t>
        </is>
      </c>
      <c r="B151" s="44" t="inlineStr">
        <is>
          <t>Income</t>
        </is>
      </c>
      <c r="C151" s="44" t="inlineStr">
        <is>
          <t>TOTAL INCOME</t>
        </is>
      </c>
      <c r="D151" s="45" t="n">
        <v>0</v>
      </c>
      <c r="E151" s="46" t="inlineStr">
        <is>
          <t>Printed total: $0.00 (100% vacant all year, no revenue).</t>
        </is>
      </c>
      <c r="F151" s="18" t="inlineStr">
        <is>
          <t>584</t>
        </is>
      </c>
      <c r="G151" s="18" t="inlineStr">
        <is>
          <t>IND-WH</t>
        </is>
      </c>
    </row>
    <row r="152" ht="15.75" customHeight="1" s="51">
      <c r="A152" s="17" t="inlineStr">
        <is>
          <t>Broadway Logistics Center — FY2024</t>
        </is>
      </c>
      <c r="B152" s="17" t="inlineStr">
        <is>
          <t>Expense</t>
        </is>
      </c>
      <c r="C152" s="17" t="inlineStr">
        <is>
          <t>Repair &amp; Maint: General Bldg/Weather Prep/Ext Window Clean</t>
        </is>
      </c>
      <c r="D152" s="36" t="n">
        <v>3639.29</v>
      </c>
      <c r="E152" s="17" t="n"/>
      <c r="F152" s="18" t="inlineStr">
        <is>
          <t>584</t>
        </is>
      </c>
      <c r="G152" s="18" t="inlineStr">
        <is>
          <t>IND-WH</t>
        </is>
      </c>
    </row>
    <row r="153" ht="15.75" customHeight="1" s="51">
      <c r="A153" s="17" t="inlineStr">
        <is>
          <t>Broadway Logistics Center — FY2024</t>
        </is>
      </c>
      <c r="B153" s="17" t="inlineStr">
        <is>
          <t>Expense</t>
        </is>
      </c>
      <c r="C153" s="17" t="inlineStr">
        <is>
          <t>Contract Svcs: Fire Alarm/Sweeping/Janitorial</t>
        </is>
      </c>
      <c r="D153" s="36" t="n">
        <v>5744.23</v>
      </c>
      <c r="E153" s="17" t="n"/>
      <c r="F153" s="18" t="inlineStr">
        <is>
          <t>584</t>
        </is>
      </c>
      <c r="G153" s="18" t="inlineStr">
        <is>
          <t>IND-WH</t>
        </is>
      </c>
    </row>
    <row r="154" ht="15.75" customHeight="1" s="51">
      <c r="A154" s="17" t="inlineStr">
        <is>
          <t>Broadway Logistics Center — FY2024</t>
        </is>
      </c>
      <c r="B154" s="17" t="inlineStr">
        <is>
          <t>Expense</t>
        </is>
      </c>
      <c r="C154" s="17" t="inlineStr">
        <is>
          <t>Utilities: Electricity/Gas/Water-Sewer</t>
        </is>
      </c>
      <c r="D154" s="36" t="n">
        <v>11084.46</v>
      </c>
      <c r="E154" s="17" t="n"/>
      <c r="F154" s="18" t="inlineStr">
        <is>
          <t>584</t>
        </is>
      </c>
      <c r="G154" s="18" t="inlineStr">
        <is>
          <t>IND-WH</t>
        </is>
      </c>
    </row>
    <row r="155" ht="15.75" customHeight="1" s="51">
      <c r="A155" s="17" t="inlineStr">
        <is>
          <t>Broadway Logistics Center — FY2024</t>
        </is>
      </c>
      <c r="B155" s="17" t="inlineStr">
        <is>
          <t>Expense</t>
        </is>
      </c>
      <c r="C155" s="17" t="inlineStr">
        <is>
          <t>Management Fee - 3rd Party</t>
        </is>
      </c>
      <c r="D155" s="36" t="n">
        <v>12500</v>
      </c>
      <c r="E155" s="17" t="n"/>
      <c r="F155" s="18" t="inlineStr">
        <is>
          <t>584</t>
        </is>
      </c>
      <c r="G155" s="18" t="inlineStr">
        <is>
          <t>IND-WH</t>
        </is>
      </c>
    </row>
    <row r="156" ht="15.75" customHeight="1" s="51">
      <c r="A156" s="17" t="inlineStr">
        <is>
          <t>Broadway Logistics Center — FY2024</t>
        </is>
      </c>
      <c r="B156" s="17" t="inlineStr">
        <is>
          <t>Expense</t>
        </is>
      </c>
      <c r="C156" s="17" t="inlineStr">
        <is>
          <t>General &amp; Admin: Payroll/Travel/Bank/Software</t>
        </is>
      </c>
      <c r="D156" s="36" t="n">
        <v>13013.26</v>
      </c>
      <c r="E156" s="17" t="n"/>
      <c r="F156" s="18" t="inlineStr">
        <is>
          <t>584</t>
        </is>
      </c>
      <c r="G156" s="18" t="inlineStr">
        <is>
          <t>IND-WH</t>
        </is>
      </c>
    </row>
    <row r="157" ht="15.75" customHeight="1" s="51">
      <c r="A157" s="17" t="inlineStr">
        <is>
          <t>Broadway Logistics Center — FY2024</t>
        </is>
      </c>
      <c r="B157" s="17" t="inlineStr">
        <is>
          <t>Expense</t>
        </is>
      </c>
      <c r="C157" s="17" t="inlineStr">
        <is>
          <t>Taxes: Real Estate + Consulting</t>
        </is>
      </c>
      <c r="D157" s="36" t="n">
        <v>318641.99</v>
      </c>
      <c r="E157" s="17" t="n"/>
      <c r="F157" s="18" t="inlineStr">
        <is>
          <t>584</t>
        </is>
      </c>
      <c r="G157" s="18" t="inlineStr">
        <is>
          <t>IND-WH</t>
        </is>
      </c>
    </row>
    <row r="158" ht="15.75" customHeight="1" s="51">
      <c r="A158" s="17" t="inlineStr">
        <is>
          <t>Broadway Logistics Center — FY2024</t>
        </is>
      </c>
      <c r="B158" s="17" t="inlineStr">
        <is>
          <t>Expense</t>
        </is>
      </c>
      <c r="C158" s="17" t="inlineStr">
        <is>
          <t>Insurance - Property</t>
        </is>
      </c>
      <c r="D158" s="36" t="n">
        <v>32411.18</v>
      </c>
      <c r="E158" s="17" t="n"/>
      <c r="F158" s="18" t="inlineStr">
        <is>
          <t>584</t>
        </is>
      </c>
      <c r="G158" s="18" t="inlineStr">
        <is>
          <t>IND-WH</t>
        </is>
      </c>
    </row>
    <row r="159" ht="15.75" customHeight="1" s="51">
      <c r="A159" s="17" t="inlineStr">
        <is>
          <t>Broadway Logistics Center — FY2024</t>
        </is>
      </c>
      <c r="B159" s="17" t="inlineStr">
        <is>
          <t>Expense</t>
        </is>
      </c>
      <c r="C159" s="17" t="inlineStr">
        <is>
          <t>Non-Recoverable: Electricity Vacant</t>
        </is>
      </c>
      <c r="D159" s="36" t="n">
        <v>424.02</v>
      </c>
      <c r="E159" s="17" t="n"/>
      <c r="F159" s="18" t="inlineStr">
        <is>
          <t>584</t>
        </is>
      </c>
      <c r="G159" s="18" t="inlineStr">
        <is>
          <t>IND-WH</t>
        </is>
      </c>
    </row>
    <row r="160" ht="15.75" customHeight="1" s="51">
      <c r="A160" s="17" t="inlineStr">
        <is>
          <t>Broadway Logistics Center — FY2024</t>
        </is>
      </c>
      <c r="B160" s="17" t="inlineStr">
        <is>
          <t>Expense</t>
        </is>
      </c>
      <c r="C160" s="17" t="inlineStr">
        <is>
          <t>Non-Recoverable: Advertising/Marketing</t>
        </is>
      </c>
      <c r="D160" s="36" t="n">
        <v>11278.58</v>
      </c>
      <c r="E160" s="17" t="n"/>
      <c r="F160" s="18" t="inlineStr">
        <is>
          <t>584</t>
        </is>
      </c>
      <c r="G160" s="18" t="inlineStr">
        <is>
          <t>IND-WH</t>
        </is>
      </c>
    </row>
    <row r="161" ht="15.75" customHeight="1" s="51">
      <c r="A161" s="17" t="inlineStr">
        <is>
          <t>Broadway Logistics Center — FY2024</t>
        </is>
      </c>
      <c r="B161" s="17" t="inlineStr">
        <is>
          <t>Expense</t>
        </is>
      </c>
      <c r="C161" s="17" t="inlineStr">
        <is>
          <t>Non-Recoverable: Office/Admin (Bank Fees+Travel)</t>
        </is>
      </c>
      <c r="D161" s="36" t="n">
        <v>2522.08</v>
      </c>
      <c r="E161" s="17" t="n"/>
      <c r="F161" s="18" t="inlineStr">
        <is>
          <t>584</t>
        </is>
      </c>
      <c r="G161" s="18" t="inlineStr">
        <is>
          <t>IND-WH</t>
        </is>
      </c>
    </row>
    <row r="162" ht="15.75" customHeight="1" s="51">
      <c r="A162" s="17" t="inlineStr">
        <is>
          <t>Broadway Logistics Center — FY2024</t>
        </is>
      </c>
      <c r="B162" s="44" t="inlineStr">
        <is>
          <t>Expense</t>
        </is>
      </c>
      <c r="C162" s="44" t="inlineStr">
        <is>
          <t>TOTAL EXPENSE</t>
        </is>
      </c>
      <c r="D162" s="45">
        <f>SUM(D152:D161)</f>
        <v/>
      </c>
      <c r="E162" s="46" t="inlineStr">
        <is>
          <t>Printed total: $411,259.09 (Recoverable $397,034.41 + Non-Recoverable $14,224.68).</t>
        </is>
      </c>
      <c r="F162" s="18" t="inlineStr">
        <is>
          <t>584</t>
        </is>
      </c>
      <c r="G162" s="18" t="inlineStr">
        <is>
          <t>IND-WH</t>
        </is>
      </c>
    </row>
    <row r="163" ht="15.75" customHeight="1" s="51">
      <c r="A163" s="17" t="inlineStr">
        <is>
          <t>Broadway Logistics Center — FY2024</t>
        </is>
      </c>
      <c r="B163" s="44" t="inlineStr">
        <is>
          <t>Net</t>
        </is>
      </c>
      <c r="C163" s="44" t="inlineStr">
        <is>
          <t>NET INCOME / (LOSS)</t>
        </is>
      </c>
      <c r="D163" s="45" t="n">
        <v>-411259.09</v>
      </c>
      <c r="E163" s="46" t="inlineStr">
        <is>
          <t>Net Operating Income (printed): $(411,259.09). Property 100% vacant all year (2 units, 201,329 SF).</t>
        </is>
      </c>
      <c r="F163" s="18" t="inlineStr">
        <is>
          <t>584</t>
        </is>
      </c>
      <c r="G163" s="18" t="inlineStr">
        <is>
          <t>IND-WH</t>
        </is>
      </c>
    </row>
    <row r="164" ht="15.75" customHeight="1" s="51">
      <c r="A164" s="17" t="inlineStr">
        <is>
          <t>Majestic Commercenter Bldg 15 — FY2024</t>
        </is>
      </c>
      <c r="B164" s="44" t="inlineStr">
        <is>
          <t>Income</t>
        </is>
      </c>
      <c r="C164" s="44" t="inlineStr">
        <is>
          <t>TOTAL INCOME</t>
        </is>
      </c>
      <c r="D164" s="45" t="n">
        <v>6394065.27</v>
      </c>
      <c r="E164" s="46" t="inlineStr">
        <is>
          <t>Printed total (see source; per-account detail not transcribed).</t>
        </is>
      </c>
      <c r="F164" s="18" t="inlineStr">
        <is>
          <t>584</t>
        </is>
      </c>
      <c r="G164" s="18" t="inlineStr">
        <is>
          <t>IND-WH</t>
        </is>
      </c>
    </row>
    <row r="165" ht="15.75" customHeight="1" s="51">
      <c r="A165" s="17" t="inlineStr">
        <is>
          <t>Majestic Commercenter Bldg 15 — FY2024</t>
        </is>
      </c>
      <c r="B165" s="44" t="inlineStr">
        <is>
          <t>Expense</t>
        </is>
      </c>
      <c r="C165" s="44" t="inlineStr">
        <is>
          <t>TOTAL OPERATING EXPENSE</t>
        </is>
      </c>
      <c r="D165" s="45" t="n">
        <v>2252980.35</v>
      </c>
      <c r="E165" s="46" t="inlineStr">
        <is>
          <t>Revenue itemized (7 accounts, incl. $1.94M RE tax reimbursement matching RE tax expense - full NNN passthrough); operating-expense per-account detail not transcribed here (23 GL accounts) — see source PDF. Includes mortgage interest &amp; depreciation/amortization.</t>
        </is>
      </c>
      <c r="F165" s="18" t="inlineStr">
        <is>
          <t>584</t>
        </is>
      </c>
      <c r="G165" s="18" t="inlineStr">
        <is>
          <t>IND-WH</t>
        </is>
      </c>
    </row>
    <row r="166" ht="15.75" customHeight="1" s="51">
      <c r="A166" s="17" t="inlineStr">
        <is>
          <t>Majestic Commercenter Bldg 15 — FY2024</t>
        </is>
      </c>
      <c r="B166" s="17" t="inlineStr">
        <is>
          <t>Interest</t>
        </is>
      </c>
      <c r="C166" s="17" t="inlineStr">
        <is>
          <t>Total Interest Expense</t>
        </is>
      </c>
      <c r="D166" s="36" t="n">
        <v>1155312.33</v>
      </c>
      <c r="E166" s="17" t="n"/>
      <c r="F166" s="18" t="inlineStr">
        <is>
          <t>584</t>
        </is>
      </c>
      <c r="G166" s="18" t="inlineStr">
        <is>
          <t>IND-WH</t>
        </is>
      </c>
    </row>
    <row r="167" ht="15.75" customHeight="1" s="51">
      <c r="A167" s="17" t="inlineStr">
        <is>
          <t>Majestic Commercenter Bldg 15 — FY2024</t>
        </is>
      </c>
      <c r="B167" s="17" t="inlineStr">
        <is>
          <t>Other Income/Expense</t>
        </is>
      </c>
      <c r="C167" s="17" t="inlineStr">
        <is>
          <t>Total Other (Income)/Expense (incl. Depr/Amort)</t>
        </is>
      </c>
      <c r="D167" s="36" t="n">
        <v>1047279.52</v>
      </c>
      <c r="E167" s="17" t="n"/>
      <c r="F167" s="18" t="inlineStr">
        <is>
          <t>584</t>
        </is>
      </c>
      <c r="G167" s="18" t="inlineStr">
        <is>
          <t>IND-WH</t>
        </is>
      </c>
    </row>
    <row r="168" ht="15.75" customHeight="1" s="51">
      <c r="A168" s="17" t="inlineStr">
        <is>
          <t>Majestic Commercenter Bldg 15 — FY2024</t>
        </is>
      </c>
      <c r="B168" s="44" t="inlineStr">
        <is>
          <t>Net</t>
        </is>
      </c>
      <c r="C168" s="44" t="inlineStr">
        <is>
          <t>NET INCOME / (LOSS)</t>
        </is>
      </c>
      <c r="D168" s="45" t="n">
        <v>1938493.07</v>
      </c>
      <c r="E168" s="46" t="inlineStr">
        <is>
          <t>Printed total.</t>
        </is>
      </c>
      <c r="F168" s="18" t="inlineStr">
        <is>
          <t>584</t>
        </is>
      </c>
      <c r="G168" s="18" t="inlineStr">
        <is>
          <t>IND-WH</t>
        </is>
      </c>
    </row>
    <row r="169" ht="15.75" customHeight="1" s="51">
      <c r="A169" s="17" t="inlineStr">
        <is>
          <t>Majestic Commercenter Bldg 15 — FY2023</t>
        </is>
      </c>
      <c r="B169" s="44" t="inlineStr">
        <is>
          <t>Income</t>
        </is>
      </c>
      <c r="C169" s="44" t="inlineStr">
        <is>
          <t>TOTAL INCOME</t>
        </is>
      </c>
      <c r="D169" s="45" t="n">
        <v>6886428.4</v>
      </c>
      <c r="E169" s="46" t="inlineStr">
        <is>
          <t>Printed total (see source; per-account detail not transcribed).</t>
        </is>
      </c>
      <c r="F169" s="18" t="inlineStr">
        <is>
          <t>584</t>
        </is>
      </c>
      <c r="G169" s="18" t="inlineStr">
        <is>
          <t>IND-WH</t>
        </is>
      </c>
    </row>
    <row r="170" ht="15.75" customHeight="1" s="51">
      <c r="A170" s="17" t="inlineStr">
        <is>
          <t>Majestic Commercenter Bldg 15 — FY2023</t>
        </is>
      </c>
      <c r="B170" s="44" t="inlineStr">
        <is>
          <t>Expense</t>
        </is>
      </c>
      <c r="C170" s="44" t="inlineStr">
        <is>
          <t>TOTAL OPERATING EXPENSE</t>
        </is>
      </c>
      <c r="D170" s="45" t="n">
        <v>2770056.15</v>
      </c>
      <c r="E170" s="46" t="inlineStr">
        <is>
          <t>Summary totals only; per-account detail not transcribed for this year. Includes mortgage interest &amp; depreciation/amortization.</t>
        </is>
      </c>
      <c r="F170" s="18" t="inlineStr">
        <is>
          <t>584</t>
        </is>
      </c>
      <c r="G170" s="18" t="inlineStr">
        <is>
          <t>IND-WH</t>
        </is>
      </c>
    </row>
    <row r="171" ht="15.75" customHeight="1" s="51">
      <c r="A171" s="17" t="inlineStr">
        <is>
          <t>Majestic Commercenter Bldg 15 — FY2023</t>
        </is>
      </c>
      <c r="B171" s="17" t="inlineStr">
        <is>
          <t>Interest</t>
        </is>
      </c>
      <c r="C171" s="17" t="inlineStr">
        <is>
          <t>Total Interest Expense</t>
        </is>
      </c>
      <c r="D171" s="36" t="n">
        <v>1194478.02</v>
      </c>
      <c r="E171" s="17" t="n"/>
      <c r="F171" s="18" t="inlineStr">
        <is>
          <t>584</t>
        </is>
      </c>
      <c r="G171" s="18" t="inlineStr">
        <is>
          <t>IND-WH</t>
        </is>
      </c>
    </row>
    <row r="172" ht="15.75" customHeight="1" s="51">
      <c r="A172" s="17" t="inlineStr">
        <is>
          <t>Majestic Commercenter Bldg 15 — FY2023</t>
        </is>
      </c>
      <c r="B172" s="17" t="inlineStr">
        <is>
          <t>Other Income/Expense</t>
        </is>
      </c>
      <c r="C172" s="17" t="inlineStr">
        <is>
          <t>Total Other (Income)/Expense (incl. Depr/Amort)</t>
        </is>
      </c>
      <c r="D172" s="36" t="n">
        <v>1231423.96</v>
      </c>
      <c r="E172" s="17" t="n"/>
      <c r="F172" s="18" t="inlineStr">
        <is>
          <t>584</t>
        </is>
      </c>
      <c r="G172" s="18" t="inlineStr">
        <is>
          <t>IND-WH</t>
        </is>
      </c>
    </row>
    <row r="173" ht="15.75" customHeight="1" s="51">
      <c r="A173" s="17" t="inlineStr">
        <is>
          <t>Majestic Commercenter Bldg 15 — FY2023</t>
        </is>
      </c>
      <c r="B173" s="44" t="inlineStr">
        <is>
          <t>Net</t>
        </is>
      </c>
      <c r="C173" s="44" t="inlineStr">
        <is>
          <t>NET INCOME / (LOSS)</t>
        </is>
      </c>
      <c r="D173" s="45" t="n">
        <v>1690470.27</v>
      </c>
      <c r="E173" s="46" t="inlineStr">
        <is>
          <t>Printed total.</t>
        </is>
      </c>
      <c r="F173" s="18" t="inlineStr">
        <is>
          <t>584</t>
        </is>
      </c>
      <c r="G173" s="18" t="inlineStr">
        <is>
          <t>IND-WH</t>
        </is>
      </c>
    </row>
    <row r="174" ht="15.75" customHeight="1" s="51">
      <c r="A174" s="17" t="inlineStr">
        <is>
          <t>Majestic Commercenter Bldg 29 — FY2024</t>
        </is>
      </c>
      <c r="B174" s="44" t="inlineStr">
        <is>
          <t>Income</t>
        </is>
      </c>
      <c r="C174" s="44" t="inlineStr">
        <is>
          <t>TOTAL INCOME</t>
        </is>
      </c>
      <c r="D174" s="45" t="n">
        <v>5057545.44</v>
      </c>
      <c r="E174" s="46" t="inlineStr">
        <is>
          <t>Printed total (see source; per-account detail not transcribed).</t>
        </is>
      </c>
      <c r="F174" s="18" t="inlineStr">
        <is>
          <t>584</t>
        </is>
      </c>
      <c r="G174" s="18" t="inlineStr">
        <is>
          <t>IND-WH</t>
        </is>
      </c>
    </row>
    <row r="175" ht="15.75" customHeight="1" s="51">
      <c r="A175" s="17" t="inlineStr">
        <is>
          <t>Majestic Commercenter Bldg 29 — FY2024</t>
        </is>
      </c>
      <c r="B175" s="44" t="inlineStr">
        <is>
          <t>Expense</t>
        </is>
      </c>
      <c r="C175" s="44" t="inlineStr">
        <is>
          <t>TOTAL OPERATING EXPENSE</t>
        </is>
      </c>
      <c r="D175" s="45" t="n">
        <v>1735622.01</v>
      </c>
      <c r="E175" s="46" t="inlineStr">
        <is>
          <t>Revenue itemized (10 accounts, incl. $1.24M RE tax reimb. + $1.1M Tenant TI Reimb Income); operating-expense per-account detail not transcribed — see source PDF. Includes mortgage interest &amp; depreciation/amortization.</t>
        </is>
      </c>
      <c r="F175" s="18" t="inlineStr">
        <is>
          <t>584</t>
        </is>
      </c>
      <c r="G175" s="18" t="inlineStr">
        <is>
          <t>IND-WH</t>
        </is>
      </c>
    </row>
    <row r="176" ht="15.75" customHeight="1" s="51">
      <c r="A176" s="17" t="inlineStr">
        <is>
          <t>Majestic Commercenter Bldg 29 — FY2024</t>
        </is>
      </c>
      <c r="B176" s="17" t="inlineStr">
        <is>
          <t>Interest</t>
        </is>
      </c>
      <c r="C176" s="17" t="inlineStr">
        <is>
          <t>Total Interest Expense</t>
        </is>
      </c>
      <c r="D176" s="36" t="n">
        <v>745482.47</v>
      </c>
      <c r="E176" s="17" t="n"/>
      <c r="F176" s="18" t="inlineStr">
        <is>
          <t>584</t>
        </is>
      </c>
      <c r="G176" s="18" t="inlineStr">
        <is>
          <t>IND-WH</t>
        </is>
      </c>
    </row>
    <row r="177" ht="15.75" customHeight="1" s="51">
      <c r="A177" s="17" t="inlineStr">
        <is>
          <t>Majestic Commercenter Bldg 29 — FY2024</t>
        </is>
      </c>
      <c r="B177" s="17" t="inlineStr">
        <is>
          <t>Other Income/Expense</t>
        </is>
      </c>
      <c r="C177" s="17" t="inlineStr">
        <is>
          <t>Total Other (Income)/Expense (incl. Depr/Amort)</t>
        </is>
      </c>
      <c r="D177" s="36" t="n">
        <v>1919699.32</v>
      </c>
      <c r="E177" s="17" t="n"/>
      <c r="F177" s="18" t="inlineStr">
        <is>
          <t>584</t>
        </is>
      </c>
      <c r="G177" s="18" t="inlineStr">
        <is>
          <t>IND-WH</t>
        </is>
      </c>
    </row>
    <row r="178" ht="15.75" customHeight="1" s="51">
      <c r="A178" s="17" t="inlineStr">
        <is>
          <t>Majestic Commercenter Bldg 29 — FY2024</t>
        </is>
      </c>
      <c r="B178" s="44" t="inlineStr">
        <is>
          <t>Net</t>
        </is>
      </c>
      <c r="C178" s="44" t="inlineStr">
        <is>
          <t>NET INCOME / (LOSS)</t>
        </is>
      </c>
      <c r="D178" s="45" t="n">
        <v>656741.64</v>
      </c>
      <c r="E178" s="46" t="inlineStr">
        <is>
          <t>Printed total.</t>
        </is>
      </c>
      <c r="F178" s="18" t="inlineStr">
        <is>
          <t>584</t>
        </is>
      </c>
      <c r="G178" s="18" t="inlineStr">
        <is>
          <t>IND-WH</t>
        </is>
      </c>
    </row>
    <row r="179" ht="15.75" customHeight="1" s="51">
      <c r="A179" s="17" t="inlineStr">
        <is>
          <t>Majestic Commercenter Bldg 29 — FY2023</t>
        </is>
      </c>
      <c r="B179" s="44" t="inlineStr">
        <is>
          <t>Income</t>
        </is>
      </c>
      <c r="C179" s="44" t="inlineStr">
        <is>
          <t>TOTAL INCOME</t>
        </is>
      </c>
      <c r="D179" s="45" t="n">
        <v>5318565.93</v>
      </c>
      <c r="E179" s="46" t="inlineStr">
        <is>
          <t>Printed total (see source; per-account detail not transcribed).</t>
        </is>
      </c>
      <c r="F179" s="18" t="inlineStr">
        <is>
          <t>584</t>
        </is>
      </c>
      <c r="G179" s="18" t="inlineStr">
        <is>
          <t>IND-WH</t>
        </is>
      </c>
    </row>
    <row r="180" ht="15.75" customHeight="1" s="51">
      <c r="A180" s="17" t="inlineStr">
        <is>
          <t>Majestic Commercenter Bldg 29 — FY2023</t>
        </is>
      </c>
      <c r="B180" s="44" t="inlineStr">
        <is>
          <t>Expense</t>
        </is>
      </c>
      <c r="C180" s="44" t="inlineStr">
        <is>
          <t>TOTAL OPERATING EXPENSE</t>
        </is>
      </c>
      <c r="D180" s="45" t="n">
        <v>2007665.41</v>
      </c>
      <c r="E180" s="46" t="inlineStr">
        <is>
          <t>Summary totals only; per-account detail not transcribed for this year. Includes mortgage interest &amp; depreciation/amortization.</t>
        </is>
      </c>
      <c r="F180" s="18" t="inlineStr">
        <is>
          <t>584</t>
        </is>
      </c>
      <c r="G180" s="18" t="inlineStr">
        <is>
          <t>IND-WH</t>
        </is>
      </c>
    </row>
    <row r="181" ht="15.75" customHeight="1" s="51">
      <c r="A181" s="17" t="inlineStr">
        <is>
          <t>Majestic Commercenter Bldg 29 — FY2023</t>
        </is>
      </c>
      <c r="B181" s="17" t="inlineStr">
        <is>
          <t>Interest</t>
        </is>
      </c>
      <c r="C181" s="17" t="inlineStr">
        <is>
          <t>Total Interest Expense</t>
        </is>
      </c>
      <c r="D181" s="36" t="n">
        <v>776042.9</v>
      </c>
      <c r="E181" s="17" t="n"/>
      <c r="F181" s="18" t="inlineStr">
        <is>
          <t>584</t>
        </is>
      </c>
      <c r="G181" s="18" t="inlineStr">
        <is>
          <t>IND-WH</t>
        </is>
      </c>
    </row>
    <row r="182" ht="15.75" customHeight="1" s="51">
      <c r="A182" s="17" t="inlineStr">
        <is>
          <t>Majestic Commercenter Bldg 29 — FY2023</t>
        </is>
      </c>
      <c r="B182" s="17" t="inlineStr">
        <is>
          <t>Other Income/Expense</t>
        </is>
      </c>
      <c r="C182" s="17" t="inlineStr">
        <is>
          <t>Total Other (Income)/Expense (incl. Depr/Amort)</t>
        </is>
      </c>
      <c r="D182" s="36" t="n">
        <v>1939714.87</v>
      </c>
      <c r="E182" s="17" t="n"/>
      <c r="F182" s="18" t="inlineStr">
        <is>
          <t>584</t>
        </is>
      </c>
      <c r="G182" s="18" t="inlineStr">
        <is>
          <t>IND-WH</t>
        </is>
      </c>
    </row>
    <row r="183" ht="15.75" customHeight="1" s="51">
      <c r="A183" s="17" t="inlineStr">
        <is>
          <t>Majestic Commercenter Bldg 29 — FY2023</t>
        </is>
      </c>
      <c r="B183" s="44" t="inlineStr">
        <is>
          <t>Net</t>
        </is>
      </c>
      <c r="C183" s="44" t="inlineStr">
        <is>
          <t>NET INCOME / (LOSS)</t>
        </is>
      </c>
      <c r="D183" s="45" t="n">
        <v>595142.75</v>
      </c>
      <c r="E183" s="46" t="inlineStr">
        <is>
          <t>Printed total.</t>
        </is>
      </c>
      <c r="F183" s="18" t="inlineStr">
        <is>
          <t>584</t>
        </is>
      </c>
      <c r="G183" s="18" t="inlineStr">
        <is>
          <t>IND-WH</t>
        </is>
      </c>
    </row>
    <row r="184" ht="15.75" customHeight="1" s="51">
      <c r="A184" s="17" t="inlineStr">
        <is>
          <t>Majestic Commercenter Bldg 26 — FY2024</t>
        </is>
      </c>
      <c r="B184" s="44" t="inlineStr">
        <is>
          <t>Income</t>
        </is>
      </c>
      <c r="C184" s="44" t="inlineStr">
        <is>
          <t>TOTAL INCOME</t>
        </is>
      </c>
      <c r="D184" s="45" t="n">
        <v>1780473.56</v>
      </c>
      <c r="E184" s="46" t="inlineStr">
        <is>
          <t>Printed total (see source; per-account detail not transcribed).</t>
        </is>
      </c>
      <c r="F184" s="18" t="inlineStr">
        <is>
          <t>584</t>
        </is>
      </c>
      <c r="G184" s="18" t="inlineStr">
        <is>
          <t>IND-WH</t>
        </is>
      </c>
    </row>
    <row r="185" ht="15.75" customHeight="1" s="51">
      <c r="A185" s="17" t="inlineStr">
        <is>
          <t>Majestic Commercenter Bldg 26 — FY2024</t>
        </is>
      </c>
      <c r="B185" s="44" t="inlineStr">
        <is>
          <t>Expense</t>
        </is>
      </c>
      <c r="C185" s="44" t="inlineStr">
        <is>
          <t>TOTAL OPERATING EXPENSE</t>
        </is>
      </c>
      <c r="D185" s="45" t="n">
        <v>722934.98</v>
      </c>
      <c r="E185" s="46" t="inlineStr">
        <is>
          <t>Summary totals (single-tenant building); GL revenue not itemized by tenant name. Includes mortgage interest &amp; depreciation/amortization.</t>
        </is>
      </c>
      <c r="F185" s="18" t="inlineStr">
        <is>
          <t>584</t>
        </is>
      </c>
      <c r="G185" s="18" t="inlineStr">
        <is>
          <t>IND-WH</t>
        </is>
      </c>
    </row>
    <row r="186" ht="15.75" customHeight="1" s="51">
      <c r="A186" s="17" t="inlineStr">
        <is>
          <t>Majestic Commercenter Bldg 26 — FY2024</t>
        </is>
      </c>
      <c r="B186" s="17" t="inlineStr">
        <is>
          <t>Interest</t>
        </is>
      </c>
      <c r="C186" s="17" t="inlineStr">
        <is>
          <t>Total Interest Expense</t>
        </is>
      </c>
      <c r="D186" s="36" t="n">
        <v>406575.93</v>
      </c>
      <c r="E186" s="17" t="n"/>
      <c r="F186" s="18" t="inlineStr">
        <is>
          <t>584</t>
        </is>
      </c>
      <c r="G186" s="18" t="inlineStr">
        <is>
          <t>IND-WH</t>
        </is>
      </c>
    </row>
    <row r="187" ht="15.75" customHeight="1" s="51">
      <c r="A187" s="17" t="inlineStr">
        <is>
          <t>Majestic Commercenter Bldg 26 — FY2024</t>
        </is>
      </c>
      <c r="B187" s="17" t="inlineStr">
        <is>
          <t>Other Income/Expense</t>
        </is>
      </c>
      <c r="C187" s="17" t="inlineStr">
        <is>
          <t>Total Other (Income)/Expense (incl. Depr/Amort)</t>
        </is>
      </c>
      <c r="D187" s="36" t="n">
        <v>424973.74</v>
      </c>
      <c r="E187" s="17" t="n"/>
      <c r="F187" s="18" t="inlineStr">
        <is>
          <t>584</t>
        </is>
      </c>
      <c r="G187" s="18" t="inlineStr">
        <is>
          <t>IND-WH</t>
        </is>
      </c>
    </row>
    <row r="188" ht="15.75" customHeight="1" s="51">
      <c r="A188" s="17" t="inlineStr">
        <is>
          <t>Majestic Commercenter Bldg 26 — FY2024</t>
        </is>
      </c>
      <c r="B188" s="44" t="inlineStr">
        <is>
          <t>Net</t>
        </is>
      </c>
      <c r="C188" s="44" t="inlineStr">
        <is>
          <t>NET INCOME / (LOSS)</t>
        </is>
      </c>
      <c r="D188" s="45" t="n">
        <v>225988.91</v>
      </c>
      <c r="E188" s="46" t="inlineStr">
        <is>
          <t>Printed total.</t>
        </is>
      </c>
      <c r="F188" s="18" t="inlineStr">
        <is>
          <t>584</t>
        </is>
      </c>
      <c r="G188" s="18" t="inlineStr">
        <is>
          <t>IND-WH</t>
        </is>
      </c>
    </row>
    <row r="189" ht="15.75" customHeight="1" s="51">
      <c r="A189" s="17" t="inlineStr">
        <is>
          <t>Majestic Commercenter Bldg 26 — FY2023</t>
        </is>
      </c>
      <c r="B189" s="44" t="inlineStr">
        <is>
          <t>Income</t>
        </is>
      </c>
      <c r="C189" s="44" t="inlineStr">
        <is>
          <t>TOTAL INCOME</t>
        </is>
      </c>
      <c r="D189" s="45" t="n">
        <v>1868293.25</v>
      </c>
      <c r="E189" s="46" t="inlineStr">
        <is>
          <t>Printed total (see source; per-account detail not transcribed).</t>
        </is>
      </c>
      <c r="F189" s="18" t="inlineStr">
        <is>
          <t>584</t>
        </is>
      </c>
      <c r="G189" s="18" t="inlineStr">
        <is>
          <t>IND-WH</t>
        </is>
      </c>
    </row>
    <row r="190" ht="15.75" customHeight="1" s="51">
      <c r="A190" s="17" t="inlineStr">
        <is>
          <t>Majestic Commercenter Bldg 26 — FY2023</t>
        </is>
      </c>
      <c r="B190" s="44" t="inlineStr">
        <is>
          <t>Expense</t>
        </is>
      </c>
      <c r="C190" s="44" t="inlineStr">
        <is>
          <t>TOTAL OPERATING EXPENSE</t>
        </is>
      </c>
      <c r="D190" s="45" t="n">
        <v>874497.0600000001</v>
      </c>
      <c r="E190" s="46" t="inlineStr">
        <is>
          <t>Summary totals only. Includes mortgage interest &amp; depreciation/amortization.</t>
        </is>
      </c>
      <c r="F190" s="18" t="inlineStr">
        <is>
          <t>584</t>
        </is>
      </c>
      <c r="G190" s="18" t="inlineStr">
        <is>
          <t>IND-WH</t>
        </is>
      </c>
    </row>
    <row r="191" ht="15.75" customHeight="1" s="51">
      <c r="A191" s="17" t="inlineStr">
        <is>
          <t>Majestic Commercenter Bldg 26 — FY2023</t>
        </is>
      </c>
      <c r="B191" s="17" t="inlineStr">
        <is>
          <t>Interest</t>
        </is>
      </c>
      <c r="C191" s="17" t="inlineStr">
        <is>
          <t>Total Interest Expense</t>
        </is>
      </c>
      <c r="D191" s="36" t="n">
        <v>419334.01</v>
      </c>
      <c r="E191" s="17" t="n"/>
      <c r="F191" s="18" t="inlineStr">
        <is>
          <t>584</t>
        </is>
      </c>
      <c r="G191" s="18" t="inlineStr">
        <is>
          <t>IND-WH</t>
        </is>
      </c>
    </row>
    <row r="192" ht="15.75" customHeight="1" s="51">
      <c r="A192" s="17" t="inlineStr">
        <is>
          <t>Majestic Commercenter Bldg 26 — FY2023</t>
        </is>
      </c>
      <c r="B192" s="17" t="inlineStr">
        <is>
          <t>Other Income/Expense</t>
        </is>
      </c>
      <c r="C192" s="17" t="inlineStr">
        <is>
          <t>Total Other (Income)/Expense (incl. Depr/Amort)</t>
        </is>
      </c>
      <c r="D192" s="36" t="n">
        <v>496946.56</v>
      </c>
      <c r="E192" s="17" t="n"/>
      <c r="F192" s="18" t="inlineStr">
        <is>
          <t>584</t>
        </is>
      </c>
      <c r="G192" s="18" t="inlineStr">
        <is>
          <t>IND-WH</t>
        </is>
      </c>
    </row>
    <row r="193" ht="15.75" customHeight="1" s="51">
      <c r="A193" s="17" t="inlineStr">
        <is>
          <t>Majestic Commercenter Bldg 26 — FY2023</t>
        </is>
      </c>
      <c r="B193" s="44" t="inlineStr">
        <is>
          <t>Net</t>
        </is>
      </c>
      <c r="C193" s="44" t="inlineStr">
        <is>
          <t>NET INCOME / (LOSS)</t>
        </is>
      </c>
      <c r="D193" s="45" t="n">
        <v>77515.62</v>
      </c>
      <c r="E193" s="46" t="inlineStr">
        <is>
          <t>Printed total.</t>
        </is>
      </c>
      <c r="F193" s="18" t="inlineStr">
        <is>
          <t>584</t>
        </is>
      </c>
      <c r="G193" s="18" t="inlineStr">
        <is>
          <t>IND-WH</t>
        </is>
      </c>
    </row>
    <row r="194" ht="15.75" customHeight="1" s="51">
      <c r="A194" s="17" t="inlineStr">
        <is>
          <t>22100 E 26th Ave (ASB) — FY2024</t>
        </is>
      </c>
      <c r="B194" s="44" t="inlineStr">
        <is>
          <t>Income</t>
        </is>
      </c>
      <c r="C194" s="44" t="inlineStr">
        <is>
          <t>TOTAL INCOME</t>
        </is>
      </c>
      <c r="D194" s="45" t="n">
        <v>761790.88</v>
      </c>
      <c r="E194" s="46" t="inlineStr">
        <is>
          <t>Printed total (see source; per-account detail not transcribed).</t>
        </is>
      </c>
      <c r="F194" s="18" t="inlineStr">
        <is>
          <t>584</t>
        </is>
      </c>
      <c r="G194" s="18" t="inlineStr">
        <is>
          <t>IND-WH</t>
        </is>
      </c>
    </row>
    <row r="195" ht="15.75" customHeight="1" s="51">
      <c r="A195" s="17" t="inlineStr">
        <is>
          <t>22100 E 26th Ave (ASB) — FY2024</t>
        </is>
      </c>
      <c r="B195" s="44" t="inlineStr">
        <is>
          <t>Expense</t>
        </is>
      </c>
      <c r="C195" s="44" t="inlineStr">
        <is>
          <t>TOTAL OPERATING EXPENSE</t>
        </is>
      </c>
      <c r="D195" s="45" t="n">
        <v>1725293.03</v>
      </c>
      <c r="E195" s="46" t="inlineStr">
        <is>
          <t>Monthly-detail OCR was unreliable (symbol-font/garbled cells); category subtotals used (Recoverable Exp $1,705,067.11 + Non-Recoverable $215,887.56). Net Income includes ~$490,735 of net leasing capex/TI/commissions on top of operations (building only 28% occupied at DOV).</t>
        </is>
      </c>
      <c r="F195" s="18" t="inlineStr">
        <is>
          <t>584</t>
        </is>
      </c>
      <c r="G195" s="18" t="inlineStr">
        <is>
          <t>IND-WH</t>
        </is>
      </c>
    </row>
    <row r="196" ht="15.75" customHeight="1" s="51">
      <c r="A196" s="17" t="inlineStr">
        <is>
          <t>22100 E 26th Ave (ASB) — FY2024</t>
        </is>
      </c>
      <c r="B196" s="44" t="inlineStr">
        <is>
          <t>Net</t>
        </is>
      </c>
      <c r="C196" s="44" t="inlineStr">
        <is>
          <t>NET INCOME / (LOSS)</t>
        </is>
      </c>
      <c r="D196" s="45" t="n">
        <v>-2919258.61</v>
      </c>
      <c r="E196" s="46" t="inlineStr">
        <is>
          <t>Printed total.</t>
        </is>
      </c>
      <c r="F196" s="18" t="inlineStr">
        <is>
          <t>584</t>
        </is>
      </c>
      <c r="G196" s="18" t="inlineStr">
        <is>
          <t>IND-WH</t>
        </is>
      </c>
    </row>
    <row r="197" ht="15.75" customHeight="1" s="51">
      <c r="A197" s="17" t="inlineStr">
        <is>
          <t>22100 E 26th Ave (ASB) — FY2023</t>
        </is>
      </c>
      <c r="B197" s="44" t="inlineStr">
        <is>
          <t>Income</t>
        </is>
      </c>
      <c r="C197" s="44" t="inlineStr">
        <is>
          <t>TOTAL INCOME</t>
        </is>
      </c>
      <c r="D197" s="45" t="n">
        <v>62585.76</v>
      </c>
      <c r="E197" s="46" t="inlineStr">
        <is>
          <t>Printed total (see source; per-account detail not transcribed).</t>
        </is>
      </c>
      <c r="F197" s="18" t="inlineStr">
        <is>
          <t>584</t>
        </is>
      </c>
      <c r="G197" s="18" t="inlineStr">
        <is>
          <t>IND-WH</t>
        </is>
      </c>
    </row>
    <row r="198" ht="15.75" customHeight="1" s="51">
      <c r="A198" s="17" t="inlineStr">
        <is>
          <t>22100 E 26th Ave (ASB) — FY2023</t>
        </is>
      </c>
      <c r="B198" s="44" t="inlineStr">
        <is>
          <t>Expense</t>
        </is>
      </c>
      <c r="C198" s="44" t="inlineStr">
        <is>
          <t>TOTAL OPERATING EXPENSE</t>
        </is>
      </c>
      <c r="D198" s="45" t="n">
        <v>2131090.35</v>
      </c>
      <c r="E198" s="46" t="inlineStr">
        <is>
          <t>Category subtotals used (Recoverable Exp $2,130,623.68 + Non-Recoverable $466.67). Net Income includes ~$2.65M of leasing capex/TI/commissions (building largely vacant, pre-Vederra lease).</t>
        </is>
      </c>
      <c r="F198" s="18" t="inlineStr">
        <is>
          <t>584</t>
        </is>
      </c>
      <c r="G198" s="18" t="inlineStr">
        <is>
          <t>IND-WH</t>
        </is>
      </c>
    </row>
    <row r="199" ht="15.75" customHeight="1" s="51">
      <c r="A199" s="17" t="inlineStr">
        <is>
          <t>22100 E 26th Ave (ASB) — FY2023</t>
        </is>
      </c>
      <c r="B199" s="44" t="inlineStr">
        <is>
          <t>Net</t>
        </is>
      </c>
      <c r="C199" s="44" t="inlineStr">
        <is>
          <t>NET INCOME / (LOSS)</t>
        </is>
      </c>
      <c r="D199" s="45" t="n">
        <v>-4719167.51</v>
      </c>
      <c r="E199" s="46" t="inlineStr">
        <is>
          <t>Printed total.</t>
        </is>
      </c>
      <c r="F199" s="18" t="inlineStr">
        <is>
          <t>584</t>
        </is>
      </c>
      <c r="G199" s="18" t="inlineStr">
        <is>
          <t>IND-WH</t>
        </is>
      </c>
    </row>
    <row r="200" ht="15.75" customHeight="1" s="51">
      <c r="A200" s="17" t="inlineStr">
        <is>
          <t>Majestic Commercenter Bldg 24 — FY2024</t>
        </is>
      </c>
      <c r="B200" s="44" t="inlineStr">
        <is>
          <t>Income</t>
        </is>
      </c>
      <c r="C200" s="44" t="inlineStr">
        <is>
          <t>TOTAL INCOME</t>
        </is>
      </c>
      <c r="D200" s="45" t="n">
        <v>2567319.8</v>
      </c>
      <c r="E200" s="46" t="inlineStr">
        <is>
          <t>Printed total (see source; per-account detail not transcribed).</t>
        </is>
      </c>
      <c r="F200" s="18" t="inlineStr">
        <is>
          <t>584</t>
        </is>
      </c>
      <c r="G200" s="18" t="inlineStr">
        <is>
          <t>IND-WH</t>
        </is>
      </c>
    </row>
    <row r="201" ht="15.75" customHeight="1" s="51">
      <c r="A201" s="17" t="inlineStr">
        <is>
          <t>Majestic Commercenter Bldg 24 — FY2024</t>
        </is>
      </c>
      <c r="B201" s="44" t="inlineStr">
        <is>
          <t>Expense</t>
        </is>
      </c>
      <c r="C201" s="44" t="inlineStr">
        <is>
          <t>TOTAL OPERATING EXPENSE</t>
        </is>
      </c>
      <c r="D201" s="45" t="n">
        <v>908870.85</v>
      </c>
      <c r="E201" s="46" t="inlineStr">
        <is>
          <t>Summary totals only; multi-tenant, GL not itemized by tenant. Includes mortgage interest &amp; depreciation/amortization.</t>
        </is>
      </c>
      <c r="F201" s="18" t="inlineStr">
        <is>
          <t>584</t>
        </is>
      </c>
      <c r="G201" s="18" t="inlineStr">
        <is>
          <t>IND-WH</t>
        </is>
      </c>
    </row>
    <row r="202" ht="15.75" customHeight="1" s="51">
      <c r="A202" s="17" t="inlineStr">
        <is>
          <t>Majestic Commercenter Bldg 24 — FY2024</t>
        </is>
      </c>
      <c r="B202" s="17" t="inlineStr">
        <is>
          <t>Interest</t>
        </is>
      </c>
      <c r="C202" s="17" t="inlineStr">
        <is>
          <t>Total Interest Expense</t>
        </is>
      </c>
      <c r="D202" s="36" t="n">
        <v>394862.68</v>
      </c>
      <c r="E202" s="17" t="n"/>
      <c r="F202" s="18" t="inlineStr">
        <is>
          <t>584</t>
        </is>
      </c>
      <c r="G202" s="18" t="inlineStr">
        <is>
          <t>IND-WH</t>
        </is>
      </c>
    </row>
    <row r="203" ht="15.75" customHeight="1" s="51">
      <c r="A203" s="17" t="inlineStr">
        <is>
          <t>Majestic Commercenter Bldg 24 — FY2024</t>
        </is>
      </c>
      <c r="B203" s="17" t="inlineStr">
        <is>
          <t>Other Income/Expense</t>
        </is>
      </c>
      <c r="C203" s="17" t="inlineStr">
        <is>
          <t>Total Other (Income)/Expense (incl. Depr/Amort)</t>
        </is>
      </c>
      <c r="D203" s="36" t="n">
        <v>748154.67</v>
      </c>
      <c r="E203" s="17" t="n"/>
      <c r="F203" s="18" t="inlineStr">
        <is>
          <t>584</t>
        </is>
      </c>
      <c r="G203" s="18" t="inlineStr">
        <is>
          <t>IND-WH</t>
        </is>
      </c>
    </row>
    <row r="204" ht="15.75" customHeight="1" s="51">
      <c r="A204" s="17" t="inlineStr">
        <is>
          <t>Majestic Commercenter Bldg 24 — FY2024</t>
        </is>
      </c>
      <c r="B204" s="44" t="inlineStr">
        <is>
          <t>Net</t>
        </is>
      </c>
      <c r="C204" s="44" t="inlineStr">
        <is>
          <t>NET INCOME / (LOSS)</t>
        </is>
      </c>
      <c r="D204" s="45" t="n">
        <v>515431.6</v>
      </c>
      <c r="E204" s="46" t="inlineStr">
        <is>
          <t>Printed total.</t>
        </is>
      </c>
      <c r="F204" s="18" t="inlineStr">
        <is>
          <t>584</t>
        </is>
      </c>
      <c r="G204" s="18" t="inlineStr">
        <is>
          <t>IND-WH</t>
        </is>
      </c>
    </row>
    <row r="205" ht="15.75" customHeight="1" s="51">
      <c r="A205" s="17" t="inlineStr">
        <is>
          <t>Majestic Commercenter Bldg 24 — FY2023</t>
        </is>
      </c>
      <c r="B205" s="44" t="inlineStr">
        <is>
          <t>Income</t>
        </is>
      </c>
      <c r="C205" s="44" t="inlineStr">
        <is>
          <t>TOTAL INCOME</t>
        </is>
      </c>
      <c r="D205" s="45" t="n">
        <v>2728325.62</v>
      </c>
      <c r="E205" s="46" t="inlineStr">
        <is>
          <t>Printed total (see source; per-account detail not transcribed).</t>
        </is>
      </c>
      <c r="F205" s="18" t="inlineStr">
        <is>
          <t>584</t>
        </is>
      </c>
      <c r="G205" s="18" t="inlineStr">
        <is>
          <t>IND-WH</t>
        </is>
      </c>
    </row>
    <row r="206" ht="15.75" customHeight="1" s="51">
      <c r="A206" s="17" t="inlineStr">
        <is>
          <t>Majestic Commercenter Bldg 24 — FY2023</t>
        </is>
      </c>
      <c r="B206" s="44" t="inlineStr">
        <is>
          <t>Expense</t>
        </is>
      </c>
      <c r="C206" s="44" t="inlineStr">
        <is>
          <t>TOTAL OPERATING EXPENSE</t>
        </is>
      </c>
      <c r="D206" s="45" t="n">
        <v>1165864.56</v>
      </c>
      <c r="E206" s="46" t="inlineStr">
        <is>
          <t>Summary totals only. Includes mortgage interest &amp; depreciation/amortization.</t>
        </is>
      </c>
      <c r="F206" s="18" t="inlineStr">
        <is>
          <t>584</t>
        </is>
      </c>
      <c r="G206" s="18" t="inlineStr">
        <is>
          <t>IND-WH</t>
        </is>
      </c>
    </row>
    <row r="207" ht="15.75" customHeight="1" s="51">
      <c r="A207" s="17" t="inlineStr">
        <is>
          <t>Majestic Commercenter Bldg 24 — FY2023</t>
        </is>
      </c>
      <c r="B207" s="17" t="inlineStr">
        <is>
          <t>Interest</t>
        </is>
      </c>
      <c r="C207" s="17" t="inlineStr">
        <is>
          <t>Total Interest Expense</t>
        </is>
      </c>
      <c r="D207" s="36" t="n">
        <v>409481.66</v>
      </c>
      <c r="E207" s="17" t="n"/>
      <c r="F207" s="18" t="inlineStr">
        <is>
          <t>584</t>
        </is>
      </c>
      <c r="G207" s="18" t="inlineStr">
        <is>
          <t>IND-WH</t>
        </is>
      </c>
    </row>
    <row r="208" ht="15.75" customHeight="1" s="51">
      <c r="A208" s="17" t="inlineStr">
        <is>
          <t>Majestic Commercenter Bldg 24 — FY2023</t>
        </is>
      </c>
      <c r="B208" s="17" t="inlineStr">
        <is>
          <t>Other Income/Expense</t>
        </is>
      </c>
      <c r="C208" s="17" t="inlineStr">
        <is>
          <t>Total Other (Income)/Expense (incl. Depr/Amort)</t>
        </is>
      </c>
      <c r="D208" s="36" t="n">
        <v>967951.04</v>
      </c>
      <c r="E208" s="17" t="n"/>
      <c r="F208" s="18" t="inlineStr">
        <is>
          <t>584</t>
        </is>
      </c>
      <c r="G208" s="18" t="inlineStr">
        <is>
          <t>IND-WH</t>
        </is>
      </c>
    </row>
    <row r="209" ht="15.75" customHeight="1" s="51">
      <c r="A209" s="17" t="inlineStr">
        <is>
          <t>Majestic Commercenter Bldg 24 — FY2023</t>
        </is>
      </c>
      <c r="B209" s="44" t="inlineStr">
        <is>
          <t>Net</t>
        </is>
      </c>
      <c r="C209" s="44" t="inlineStr">
        <is>
          <t>NET INCOME / (LOSS)</t>
        </is>
      </c>
      <c r="D209" s="45" t="n">
        <v>185028.36</v>
      </c>
      <c r="E209" s="46" t="inlineStr">
        <is>
          <t>Printed total.</t>
        </is>
      </c>
      <c r="F209" s="18" t="inlineStr">
        <is>
          <t>584</t>
        </is>
      </c>
      <c r="G209" s="18" t="inlineStr">
        <is>
          <t>IND-WH</t>
        </is>
      </c>
    </row>
    <row r="210" ht="15.75" customHeight="1" s="51">
      <c r="A210" s="17" t="inlineStr">
        <is>
          <t>Majestic Commercenter Bldg 22 — FY2024</t>
        </is>
      </c>
      <c r="B210" s="44" t="inlineStr">
        <is>
          <t>Income</t>
        </is>
      </c>
      <c r="C210" s="44" t="inlineStr">
        <is>
          <t>TOTAL INCOME</t>
        </is>
      </c>
      <c r="D210" s="45" t="n">
        <v>1648443.25</v>
      </c>
      <c r="E210" s="46" t="inlineStr">
        <is>
          <t>Printed total (see source; per-account detail not transcribed).</t>
        </is>
      </c>
      <c r="F210" s="18" t="inlineStr">
        <is>
          <t>584</t>
        </is>
      </c>
      <c r="G210" s="18" t="inlineStr">
        <is>
          <t>IND-WH</t>
        </is>
      </c>
    </row>
    <row r="211" ht="15.75" customHeight="1" s="51">
      <c r="A211" s="17" t="inlineStr">
        <is>
          <t>Majestic Commercenter Bldg 22 — FY2024</t>
        </is>
      </c>
      <c r="B211" s="44" t="inlineStr">
        <is>
          <t>Expense</t>
        </is>
      </c>
      <c r="C211" s="44" t="inlineStr">
        <is>
          <t>TOTAL OPERATING EXPENSE</t>
        </is>
      </c>
      <c r="D211" s="45" t="n">
        <v>872475.4300000001</v>
      </c>
      <c r="E211" s="46" t="inlineStr">
        <is>
          <t>Summary totals only; multi-tenant, 75% occupied at DOV. Includes mortgage interest &amp; depreciation/amortization; net LOSS despite positive operating income.</t>
        </is>
      </c>
      <c r="F211" s="18" t="inlineStr">
        <is>
          <t>584</t>
        </is>
      </c>
      <c r="G211" s="18" t="inlineStr">
        <is>
          <t>IND-WH</t>
        </is>
      </c>
    </row>
    <row r="212" ht="15.75" customHeight="1" s="51">
      <c r="A212" s="17" t="inlineStr">
        <is>
          <t>Majestic Commercenter Bldg 22 — FY2024</t>
        </is>
      </c>
      <c r="B212" s="17" t="inlineStr">
        <is>
          <t>Interest</t>
        </is>
      </c>
      <c r="C212" s="17" t="inlineStr">
        <is>
          <t>Total Interest Expense</t>
        </is>
      </c>
      <c r="D212" s="36" t="n">
        <v>457397.92</v>
      </c>
      <c r="E212" s="17" t="n"/>
      <c r="F212" s="18" t="inlineStr">
        <is>
          <t>584</t>
        </is>
      </c>
      <c r="G212" s="18" t="inlineStr">
        <is>
          <t>IND-WH</t>
        </is>
      </c>
    </row>
    <row r="213" ht="15.75" customHeight="1" s="51">
      <c r="A213" s="17" t="inlineStr">
        <is>
          <t>Majestic Commercenter Bldg 22 — FY2024</t>
        </is>
      </c>
      <c r="B213" s="17" t="inlineStr">
        <is>
          <t>Other Income/Expense</t>
        </is>
      </c>
      <c r="C213" s="17" t="inlineStr">
        <is>
          <t>Total Other (Income)/Expense (incl. Depr/Amort)</t>
        </is>
      </c>
      <c r="D213" s="36" t="n">
        <v>743031.13</v>
      </c>
      <c r="E213" s="17" t="n"/>
      <c r="F213" s="18" t="inlineStr">
        <is>
          <t>584</t>
        </is>
      </c>
      <c r="G213" s="18" t="inlineStr">
        <is>
          <t>IND-WH</t>
        </is>
      </c>
    </row>
    <row r="214" ht="15.75" customHeight="1" s="51">
      <c r="A214" s="17" t="inlineStr">
        <is>
          <t>Majestic Commercenter Bldg 22 — FY2024</t>
        </is>
      </c>
      <c r="B214" s="44" t="inlineStr">
        <is>
          <t>Net</t>
        </is>
      </c>
      <c r="C214" s="44" t="inlineStr">
        <is>
          <t>NET INCOME / (LOSS)</t>
        </is>
      </c>
      <c r="D214" s="45" t="n">
        <v>-424461.23</v>
      </c>
      <c r="E214" s="46" t="inlineStr">
        <is>
          <t>Printed total.</t>
        </is>
      </c>
      <c r="F214" s="18" t="inlineStr">
        <is>
          <t>584</t>
        </is>
      </c>
      <c r="G214" s="18" t="inlineStr">
        <is>
          <t>IND-WH</t>
        </is>
      </c>
    </row>
    <row r="215" ht="15.75" customHeight="1" s="51">
      <c r="A215" s="17" t="inlineStr">
        <is>
          <t>Majestic Commercenter Bldg 22 — FY2023</t>
        </is>
      </c>
      <c r="B215" s="44" t="inlineStr">
        <is>
          <t>Income</t>
        </is>
      </c>
      <c r="C215" s="44" t="inlineStr">
        <is>
          <t>TOTAL INCOME</t>
        </is>
      </c>
      <c r="D215" s="45" t="n">
        <v>1898261.15</v>
      </c>
      <c r="E215" s="46" t="inlineStr">
        <is>
          <t>Printed total (see source; per-account detail not transcribed).</t>
        </is>
      </c>
      <c r="F215" s="18" t="inlineStr">
        <is>
          <t>584</t>
        </is>
      </c>
      <c r="G215" s="18" t="inlineStr">
        <is>
          <t>IND-WH</t>
        </is>
      </c>
    </row>
    <row r="216" ht="15.75" customHeight="1" s="51">
      <c r="A216" s="17" t="inlineStr">
        <is>
          <t>Majestic Commercenter Bldg 22 — FY2023</t>
        </is>
      </c>
      <c r="B216" s="44" t="inlineStr">
        <is>
          <t>Expense</t>
        </is>
      </c>
      <c r="C216" s="44" t="inlineStr">
        <is>
          <t>TOTAL OPERATING EXPENSE</t>
        </is>
      </c>
      <c r="D216" s="45" t="n">
        <v>982119.23</v>
      </c>
      <c r="E216" s="46" t="inlineStr">
        <is>
          <t>Summary totals only. Includes mortgage interest &amp; depreciation/amortization; net LOSS despite positive operating income.</t>
        </is>
      </c>
      <c r="F216" s="18" t="inlineStr">
        <is>
          <t>584</t>
        </is>
      </c>
      <c r="G216" s="18" t="inlineStr">
        <is>
          <t>IND-WH</t>
        </is>
      </c>
    </row>
    <row r="217" ht="15.75" customHeight="1" s="51">
      <c r="A217" s="17" t="inlineStr">
        <is>
          <t>Majestic Commercenter Bldg 22 — FY2023</t>
        </is>
      </c>
      <c r="B217" s="17" t="inlineStr">
        <is>
          <t>Interest</t>
        </is>
      </c>
      <c r="C217" s="17" t="inlineStr">
        <is>
          <t>Total Interest Expense</t>
        </is>
      </c>
      <c r="D217" s="36" t="n">
        <v>471750.67</v>
      </c>
      <c r="E217" s="17" t="n"/>
      <c r="F217" s="18" t="inlineStr">
        <is>
          <t>584</t>
        </is>
      </c>
      <c r="G217" s="18" t="inlineStr">
        <is>
          <t>IND-WH</t>
        </is>
      </c>
    </row>
    <row r="218" ht="15.75" customHeight="1" s="51">
      <c r="A218" s="17" t="inlineStr">
        <is>
          <t>Majestic Commercenter Bldg 22 — FY2023</t>
        </is>
      </c>
      <c r="B218" s="17" t="inlineStr">
        <is>
          <t>Other Income/Expense</t>
        </is>
      </c>
      <c r="C218" s="17" t="inlineStr">
        <is>
          <t>Total Other (Income)/Expense (incl. Depr/Amort)</t>
        </is>
      </c>
      <c r="D218" s="36" t="n">
        <v>864589.1</v>
      </c>
      <c r="E218" s="17" t="n"/>
      <c r="F218" s="18" t="inlineStr">
        <is>
          <t>584</t>
        </is>
      </c>
      <c r="G218" s="18" t="inlineStr">
        <is>
          <t>IND-WH</t>
        </is>
      </c>
    </row>
    <row r="219" ht="15.75" customHeight="1" s="51">
      <c r="A219" s="17" t="inlineStr">
        <is>
          <t>Majestic Commercenter Bldg 22 — FY2023</t>
        </is>
      </c>
      <c r="B219" s="44" t="inlineStr">
        <is>
          <t>Net</t>
        </is>
      </c>
      <c r="C219" s="44" t="inlineStr">
        <is>
          <t>NET INCOME / (LOSS)</t>
        </is>
      </c>
      <c r="D219" s="45" t="n">
        <v>-420197.85</v>
      </c>
      <c r="E219" s="46" t="inlineStr">
        <is>
          <t>Printed total.</t>
        </is>
      </c>
      <c r="F219" s="18" t="inlineStr">
        <is>
          <t>584</t>
        </is>
      </c>
      <c r="G219" s="18" t="inlineStr">
        <is>
          <t>IND-WH</t>
        </is>
      </c>
    </row>
    <row r="220" ht="15.75" customHeight="1" s="51"/>
    <row r="221" ht="15.75" customHeight="1" s="51"/>
    <row r="222" ht="15.75" customHeight="1" s="51"/>
    <row r="223" ht="15.75" customHeight="1" s="51"/>
    <row r="224" ht="15.75" customHeight="1" s="51"/>
    <row r="225" ht="15.75" customHeight="1" s="51"/>
    <row r="226" ht="15.75" customHeight="1" s="51"/>
    <row r="227" ht="15.75" customHeight="1" s="51"/>
    <row r="228" ht="15.75" customHeight="1" s="51"/>
    <row r="229" ht="15.75" customHeight="1" s="51"/>
    <row r="230" ht="15.75" customHeight="1" s="51"/>
    <row r="231" ht="15.75" customHeight="1" s="51"/>
    <row r="232" ht="15.75" customHeight="1" s="51"/>
    <row r="233" ht="15.75" customHeight="1" s="51"/>
    <row r="234" ht="15.75" customHeight="1" s="51"/>
    <row r="235" ht="15.75" customHeight="1" s="51"/>
    <row r="236" ht="15.75" customHeight="1" s="51"/>
    <row r="237" ht="15.75" customHeight="1" s="51"/>
    <row r="238" ht="15.75" customHeight="1" s="51"/>
    <row r="239" ht="15.75" customHeight="1" s="51"/>
    <row r="240" ht="15.75" customHeight="1" s="51"/>
    <row r="241" ht="15.75" customHeight="1" s="51"/>
    <row r="242" ht="15.75" customHeight="1" s="51"/>
    <row r="243" ht="15.75" customHeight="1" s="51"/>
    <row r="244" ht="15.75" customHeight="1" s="51"/>
    <row r="245" ht="15.75" customHeight="1" s="51"/>
    <row r="246" ht="15.75" customHeight="1" s="51"/>
    <row r="247" ht="15.75" customHeight="1" s="51"/>
    <row r="248" ht="15.75" customHeight="1" s="51"/>
    <row r="249" ht="15.75" customHeight="1" s="51"/>
    <row r="250" ht="15.75" customHeight="1" s="51"/>
    <row r="251" ht="15.75" customHeight="1" s="51"/>
    <row r="252" ht="15.75" customHeight="1" s="51"/>
    <row r="253" ht="15.75" customHeight="1" s="51"/>
    <row r="254" ht="15.75" customHeight="1" s="51"/>
    <row r="255" ht="15.75" customHeight="1" s="51"/>
    <row r="256" ht="15.75" customHeight="1" s="51"/>
    <row r="257" ht="15.75" customHeight="1" s="51"/>
    <row r="258" ht="15.75" customHeight="1" s="51"/>
    <row r="259" ht="15.75" customHeight="1" s="51"/>
    <row r="260" ht="15.75" customHeight="1" s="51"/>
    <row r="261" ht="15.75" customHeight="1" s="51"/>
    <row r="262" ht="15.75" customHeight="1" s="51"/>
    <row r="263" ht="15.75" customHeight="1" s="51"/>
    <row r="264" ht="15.75" customHeight="1" s="51"/>
    <row r="265" ht="15.75" customHeight="1" s="51"/>
    <row r="266" ht="15.75" customHeight="1" s="51"/>
    <row r="267" ht="15.75" customHeight="1" s="51"/>
    <row r="268" ht="15.75" customHeight="1" s="51"/>
    <row r="269" ht="15.75" customHeight="1" s="51"/>
    <row r="270" ht="15.75" customHeight="1" s="51"/>
    <row r="271" ht="15.75" customHeight="1" s="51"/>
    <row r="272" ht="15.75" customHeight="1" s="51"/>
    <row r="273" ht="15.75" customHeight="1" s="51"/>
    <row r="274" ht="15.75" customHeight="1" s="51"/>
    <row r="275" ht="15.75" customHeight="1" s="51"/>
    <row r="276" ht="15.75" customHeight="1" s="51"/>
    <row r="277" ht="15.75" customHeight="1" s="51"/>
    <row r="278" ht="15.75" customHeight="1" s="51"/>
    <row r="279" ht="15.75" customHeight="1" s="51"/>
    <row r="280" ht="15.75" customHeight="1" s="51"/>
    <row r="281" ht="15.75" customHeight="1" s="51"/>
    <row r="282" ht="15.75" customHeight="1" s="51"/>
    <row r="283" ht="15.75" customHeight="1" s="51"/>
    <row r="284" ht="15.75" customHeight="1" s="51"/>
    <row r="285" ht="15.75" customHeight="1" s="51"/>
    <row r="286" ht="15.75" customHeight="1" s="51"/>
    <row r="287" ht="15.75" customHeight="1" s="51"/>
    <row r="288" ht="15.75" customHeight="1" s="51"/>
    <row r="289" ht="15.75" customHeight="1" s="51"/>
    <row r="290" ht="15.75" customHeight="1" s="51"/>
    <row r="291" ht="15.75" customHeight="1" s="51"/>
    <row r="292" ht="15.75" customHeight="1" s="51"/>
    <row r="293" ht="15.75" customHeight="1" s="51"/>
    <row r="294" ht="15.75" customHeight="1" s="51"/>
    <row r="295" ht="15.75" customHeight="1" s="51"/>
    <row r="296" ht="15.75" customHeight="1" s="51"/>
    <row r="297" ht="15.75" customHeight="1" s="51"/>
    <row r="298" ht="15.75" customHeight="1" s="51"/>
    <row r="299" ht="15.75" customHeight="1" s="51"/>
    <row r="300" ht="15.75" customHeight="1" s="51"/>
    <row r="301" ht="15.75" customHeight="1" s="51"/>
    <row r="302" ht="15.75" customHeight="1" s="51"/>
    <row r="303" ht="15.75" customHeight="1" s="51"/>
    <row r="304" ht="15.75" customHeight="1" s="51"/>
    <row r="305" ht="15.75" customHeight="1" s="51"/>
    <row r="306" ht="15.75" customHeight="1" s="51"/>
    <row r="307" ht="15.75" customHeight="1" s="51"/>
    <row r="308" ht="15.75" customHeight="1" s="51"/>
    <row r="309" ht="15.75" customHeight="1" s="51"/>
    <row r="310" ht="15.75" customHeight="1" s="51"/>
    <row r="311" ht="15.75" customHeight="1" s="51"/>
    <row r="312" ht="15.75" customHeight="1" s="51"/>
    <row r="313" ht="15.75" customHeight="1" s="51"/>
    <row r="314" ht="15.75" customHeight="1" s="51"/>
    <row r="315" ht="15.75" customHeight="1" s="51"/>
    <row r="316" ht="15.75" customHeight="1" s="51"/>
    <row r="317" ht="15.75" customHeight="1" s="51"/>
    <row r="318" ht="15.75" customHeight="1" s="51"/>
    <row r="319" ht="15.75" customHeight="1" s="51"/>
    <row r="320" ht="15.75" customHeight="1" s="51"/>
    <row r="321" ht="15.75" customHeight="1" s="51"/>
    <row r="322" ht="15.75" customHeight="1" s="51"/>
    <row r="323" ht="15.75" customHeight="1" s="51"/>
    <row r="324" ht="15.75" customHeight="1" s="51"/>
    <row r="325" ht="15.75" customHeight="1" s="51"/>
    <row r="326" ht="15.75" customHeight="1" s="51"/>
    <row r="327" ht="15.75" customHeight="1" s="51"/>
    <row r="328" ht="15.75" customHeight="1" s="51"/>
    <row r="329" ht="15.75" customHeight="1" s="51"/>
    <row r="330" ht="15.75" customHeight="1" s="51"/>
    <row r="331" ht="15.75" customHeight="1" s="51"/>
    <row r="332" ht="15.75" customHeight="1" s="51"/>
    <row r="333" ht="15.75" customHeight="1" s="51"/>
    <row r="334" ht="15.75" customHeight="1" s="51"/>
    <row r="335" ht="15.75" customHeight="1" s="51"/>
    <row r="336" ht="15.75" customHeight="1" s="51"/>
    <row r="337" ht="15.75" customHeight="1" s="51"/>
    <row r="338" ht="15.75" customHeight="1" s="51"/>
    <row r="339" ht="15.75" customHeight="1" s="51"/>
    <row r="340" ht="15.75" customHeight="1" s="51"/>
    <row r="341" ht="15.75" customHeight="1" s="51"/>
    <row r="342" ht="15.75" customHeight="1" s="51"/>
    <row r="343" ht="15.75" customHeight="1" s="51"/>
    <row r="344" ht="15.75" customHeight="1" s="51"/>
    <row r="345" ht="15.75" customHeight="1" s="51"/>
    <row r="346" ht="15.75" customHeight="1" s="51"/>
    <row r="347" ht="15.75" customHeight="1" s="51"/>
    <row r="348" ht="15.75" customHeight="1" s="51"/>
    <row r="349" ht="15.75" customHeight="1" s="51"/>
    <row r="350" ht="15.75" customHeight="1" s="51"/>
    <row r="351" ht="15.75" customHeight="1" s="51"/>
    <row r="352" ht="15.75" customHeight="1" s="51"/>
    <row r="353" ht="15.75" customHeight="1" s="51"/>
    <row r="354" ht="15.75" customHeight="1" s="51"/>
    <row r="355" ht="15.75" customHeight="1" s="51"/>
    <row r="356" ht="15.75" customHeight="1" s="51"/>
    <row r="357" ht="15.75" customHeight="1" s="51"/>
    <row r="358" ht="15.75" customHeight="1" s="51"/>
    <row r="359" ht="15.75" customHeight="1" s="51"/>
    <row r="360" ht="15.75" customHeight="1" s="51"/>
    <row r="361" ht="15.75" customHeight="1" s="51"/>
    <row r="362" ht="15.75" customHeight="1" s="51"/>
    <row r="363" ht="15.75" customHeight="1" s="51"/>
    <row r="364" ht="15.75" customHeight="1" s="51"/>
    <row r="365" ht="15.75" customHeight="1" s="51"/>
    <row r="366" ht="15.75" customHeight="1" s="51"/>
    <row r="367" ht="15.75" customHeight="1" s="51"/>
    <row r="368" ht="15.75" customHeight="1" s="51"/>
    <row r="369" ht="15.75" customHeight="1" s="51"/>
    <row r="370" ht="15.75" customHeight="1" s="51"/>
    <row r="371" ht="15.75" customHeight="1" s="51"/>
    <row r="372" ht="15.75" customHeight="1" s="51"/>
    <row r="373" ht="15.75" customHeight="1" s="51"/>
    <row r="374" ht="15.75" customHeight="1" s="51"/>
    <row r="375" ht="15.75" customHeight="1" s="51"/>
    <row r="376" ht="15.75" customHeight="1" s="51"/>
    <row r="377" ht="15.75" customHeight="1" s="51"/>
    <row r="378" ht="15.75" customHeight="1" s="51"/>
    <row r="379" ht="15.75" customHeight="1" s="51"/>
    <row r="380" ht="15.75" customHeight="1" s="51"/>
    <row r="381" ht="15.75" customHeight="1" s="51"/>
    <row r="382" ht="15.75" customHeight="1" s="51"/>
    <row r="383" ht="15.75" customHeight="1" s="51"/>
    <row r="384" ht="15.75" customHeight="1" s="51"/>
    <row r="385" ht="15.75" customHeight="1" s="51"/>
    <row r="386" ht="15.75" customHeight="1" s="51"/>
    <row r="387" ht="15.75" customHeight="1" s="51"/>
    <row r="388" ht="15.75" customHeight="1" s="51"/>
    <row r="389" ht="15.75" customHeight="1" s="51"/>
    <row r="390" ht="15.75" customHeight="1" s="51"/>
    <row r="391" ht="15.75" customHeight="1" s="51"/>
    <row r="392" ht="15.75" customHeight="1" s="51"/>
    <row r="393" ht="15.75" customHeight="1" s="51"/>
    <row r="394" ht="15.75" customHeight="1" s="51"/>
    <row r="395" ht="15.75" customHeight="1" s="51"/>
    <row r="396" ht="15.75" customHeight="1" s="51"/>
    <row r="397" ht="15.75" customHeight="1" s="51"/>
    <row r="398" ht="15.75" customHeight="1" s="51"/>
    <row r="399" ht="15.75" customHeight="1" s="51"/>
    <row r="400" ht="15.75" customHeight="1" s="51"/>
    <row r="401" ht="15.75" customHeight="1" s="51"/>
    <row r="402" ht="15.75" customHeight="1" s="51"/>
    <row r="403" ht="15.75" customHeight="1" s="51"/>
    <row r="404" ht="15.75" customHeight="1" s="51"/>
    <row r="405" ht="15.75" customHeight="1" s="51"/>
    <row r="406" ht="15.75" customHeight="1" s="51"/>
    <row r="407" ht="15.75" customHeight="1" s="51"/>
    <row r="408" ht="15.75" customHeight="1" s="51"/>
    <row r="409" ht="15.75" customHeight="1" s="51"/>
    <row r="410" ht="15.75" customHeight="1" s="51"/>
    <row r="411" ht="15.75" customHeight="1" s="51"/>
    <row r="412" ht="15.75" customHeight="1" s="51"/>
    <row r="413" ht="15.75" customHeight="1" s="51"/>
    <row r="414" ht="15.75" customHeight="1" s="51"/>
    <row r="415" ht="15.75" customHeight="1" s="51"/>
    <row r="416" ht="15.75" customHeight="1" s="51"/>
    <row r="417" ht="15.75" customHeight="1" s="51"/>
    <row r="418" ht="15.75" customHeight="1" s="51"/>
    <row r="419" ht="15.75" customHeight="1" s="51"/>
    <row r="420" ht="15.75" customHeight="1" s="51"/>
    <row r="421" ht="15.75" customHeight="1" s="51"/>
    <row r="422" ht="15.75" customHeight="1" s="51"/>
    <row r="423" ht="15.75" customHeight="1" s="51"/>
    <row r="424" ht="15.75" customHeight="1" s="51"/>
    <row r="425" ht="15.75" customHeight="1" s="51"/>
    <row r="426" ht="15.75" customHeight="1" s="51"/>
    <row r="427" ht="15.75" customHeight="1" s="51"/>
    <row r="428" ht="15.75" customHeight="1" s="51"/>
    <row r="429" ht="15.75" customHeight="1" s="51"/>
    <row r="430" ht="15.75" customHeight="1" s="51"/>
    <row r="431" ht="15.75" customHeight="1" s="51"/>
    <row r="432" ht="15.75" customHeight="1" s="51"/>
    <row r="433" ht="15.75" customHeight="1" s="51"/>
    <row r="434" ht="15.75" customHeight="1" s="51"/>
    <row r="435" ht="15.75" customHeight="1" s="51"/>
    <row r="436" ht="15.75" customHeight="1" s="51"/>
    <row r="437" ht="15.75" customHeight="1" s="51"/>
    <row r="438" ht="15.75" customHeight="1" s="51"/>
    <row r="439" ht="15.75" customHeight="1" s="51"/>
    <row r="440" ht="15.75" customHeight="1" s="51"/>
    <row r="441" ht="15.75" customHeight="1" s="51"/>
    <row r="442" ht="15.75" customHeight="1" s="51"/>
    <row r="443" ht="15.75" customHeight="1" s="51"/>
    <row r="444" ht="15.75" customHeight="1" s="51"/>
    <row r="445" ht="15.75" customHeight="1" s="51"/>
    <row r="446" ht="15.75" customHeight="1" s="51"/>
    <row r="447" ht="15.75" customHeight="1" s="51"/>
    <row r="448" ht="15.75" customHeight="1" s="51"/>
    <row r="449" ht="15.75" customHeight="1" s="51"/>
    <row r="450" ht="15.75" customHeight="1" s="51"/>
    <row r="451" ht="15.75" customHeight="1" s="51"/>
    <row r="452" ht="15.75" customHeight="1" s="51"/>
    <row r="453" ht="15.75" customHeight="1" s="51"/>
    <row r="454" ht="15.75" customHeight="1" s="51"/>
    <row r="455" ht="15.75" customHeight="1" s="51"/>
    <row r="456" ht="15.75" customHeight="1" s="51"/>
    <row r="457" ht="15.75" customHeight="1" s="51"/>
    <row r="458" ht="15.75" customHeight="1" s="51"/>
    <row r="459" ht="15.75" customHeight="1" s="51"/>
    <row r="460" ht="15.75" customHeight="1" s="51"/>
    <row r="461" ht="15.75" customHeight="1" s="51"/>
    <row r="462" ht="15.75" customHeight="1" s="51"/>
    <row r="463" ht="15.75" customHeight="1" s="51"/>
    <row r="464" ht="15.75" customHeight="1" s="51"/>
    <row r="465" ht="15.75" customHeight="1" s="51"/>
    <row r="466" ht="15.75" customHeight="1" s="51"/>
    <row r="467" ht="15.75" customHeight="1" s="51"/>
    <row r="468" ht="15.75" customHeight="1" s="51"/>
    <row r="469" ht="15.75" customHeight="1" s="51"/>
    <row r="470" ht="15.75" customHeight="1" s="51"/>
    <row r="471" ht="15.75" customHeight="1" s="51"/>
    <row r="472" ht="15.75" customHeight="1" s="51"/>
    <row r="473" ht="15.75" customHeight="1" s="51"/>
    <row r="474" ht="15.75" customHeight="1" s="51"/>
    <row r="475" ht="15.75" customHeight="1" s="51"/>
    <row r="476" ht="15.75" customHeight="1" s="51"/>
    <row r="477" ht="15.75" customHeight="1" s="51"/>
    <row r="478" ht="15.75" customHeight="1" s="51"/>
    <row r="479" ht="15.75" customHeight="1" s="51"/>
    <row r="480" ht="15.75" customHeight="1" s="51"/>
    <row r="481" ht="15.75" customHeight="1" s="51"/>
    <row r="482" ht="15.75" customHeight="1" s="51"/>
    <row r="483" ht="15.75" customHeight="1" s="51"/>
    <row r="484" ht="15.75" customHeight="1" s="51"/>
    <row r="485" ht="15.75" customHeight="1" s="51"/>
    <row r="486" ht="15.75" customHeight="1" s="51"/>
    <row r="487" ht="15.75" customHeight="1" s="51"/>
    <row r="488" ht="15.75" customHeight="1" s="51"/>
    <row r="489" ht="15.75" customHeight="1" s="51"/>
    <row r="490" ht="15.75" customHeight="1" s="51"/>
    <row r="491" ht="15.75" customHeight="1" s="51"/>
    <row r="492" ht="15.75" customHeight="1" s="51"/>
    <row r="493" ht="15.75" customHeight="1" s="51"/>
    <row r="494" ht="15.75" customHeight="1" s="51"/>
    <row r="495" ht="15.75" customHeight="1" s="51"/>
    <row r="496" ht="15.75" customHeight="1" s="51"/>
    <row r="497" ht="15.75" customHeight="1" s="51"/>
    <row r="498" ht="15.75" customHeight="1" s="51"/>
    <row r="499" ht="15.75" customHeight="1" s="51"/>
    <row r="500" ht="15.75" customHeight="1" s="51"/>
    <row r="501" ht="15.75" customHeight="1" s="51"/>
    <row r="502" ht="15.75" customHeight="1" s="51"/>
    <row r="503" ht="15.75" customHeight="1" s="51"/>
    <row r="504" ht="15.75" customHeight="1" s="51"/>
    <row r="505" ht="15.75" customHeight="1" s="51"/>
    <row r="506" ht="15.75" customHeight="1" s="51"/>
    <row r="507" ht="15.75" customHeight="1" s="51"/>
    <row r="508" ht="15.75" customHeight="1" s="51"/>
    <row r="509" ht="15.75" customHeight="1" s="51"/>
    <row r="510" ht="15.75" customHeight="1" s="51"/>
    <row r="511" ht="15.75" customHeight="1" s="51"/>
    <row r="512" ht="15.75" customHeight="1" s="51"/>
    <row r="513" ht="15.75" customHeight="1" s="51"/>
    <row r="514" ht="15.75" customHeight="1" s="51"/>
    <row r="515" ht="15.75" customHeight="1" s="51"/>
    <row r="516" ht="15.75" customHeight="1" s="51"/>
    <row r="517" ht="15.75" customHeight="1" s="51"/>
    <row r="518" ht="15.75" customHeight="1" s="51"/>
    <row r="519" ht="15.75" customHeight="1" s="51"/>
    <row r="520" ht="15.75" customHeight="1" s="51"/>
    <row r="521" ht="15.75" customHeight="1" s="51"/>
    <row r="522" ht="15.75" customHeight="1" s="51"/>
    <row r="523" ht="15.75" customHeight="1" s="51"/>
    <row r="524" ht="15.75" customHeight="1" s="51"/>
    <row r="525" ht="15.75" customHeight="1" s="51"/>
    <row r="526" ht="15.75" customHeight="1" s="51"/>
    <row r="527" ht="15.75" customHeight="1" s="51"/>
    <row r="528" ht="15.75" customHeight="1" s="51"/>
    <row r="529" ht="15.75" customHeight="1" s="51"/>
    <row r="530" ht="15.75" customHeight="1" s="51"/>
    <row r="531" ht="15.75" customHeight="1" s="51"/>
    <row r="532" ht="15.75" customHeight="1" s="51"/>
    <row r="533" ht="15.75" customHeight="1" s="51"/>
    <row r="534" ht="15.75" customHeight="1" s="51"/>
    <row r="535" ht="15.75" customHeight="1" s="51"/>
    <row r="536" ht="15.75" customHeight="1" s="51"/>
    <row r="537" ht="15.75" customHeight="1" s="51"/>
    <row r="538" ht="15.75" customHeight="1" s="51"/>
    <row r="539" ht="15.75" customHeight="1" s="51"/>
    <row r="540" ht="15.75" customHeight="1" s="51"/>
    <row r="541" ht="15.75" customHeight="1" s="51"/>
    <row r="542" ht="15.75" customHeight="1" s="51"/>
    <row r="543" ht="15.75" customHeight="1" s="51"/>
    <row r="544" ht="15.75" customHeight="1" s="51"/>
    <row r="545" ht="15.75" customHeight="1" s="51"/>
    <row r="546" ht="15.75" customHeight="1" s="51"/>
    <row r="547" ht="15.75" customHeight="1" s="51"/>
    <row r="548" ht="15.75" customHeight="1" s="51"/>
    <row r="549" ht="15.75" customHeight="1" s="51"/>
    <row r="550" ht="15.75" customHeight="1" s="51"/>
    <row r="551" ht="15.75" customHeight="1" s="51"/>
    <row r="552" ht="15.75" customHeight="1" s="51"/>
    <row r="553" ht="15.75" customHeight="1" s="51"/>
    <row r="554" ht="15.75" customHeight="1" s="51"/>
    <row r="555" ht="15.75" customHeight="1" s="51"/>
    <row r="556" ht="15.75" customHeight="1" s="51"/>
    <row r="557" ht="15.75" customHeight="1" s="51"/>
    <row r="558" ht="15.75" customHeight="1" s="51"/>
    <row r="559" ht="15.75" customHeight="1" s="51"/>
    <row r="560" ht="15.75" customHeight="1" s="51"/>
    <row r="561" ht="15.75" customHeight="1" s="51"/>
    <row r="562" ht="15.75" customHeight="1" s="51"/>
    <row r="563" ht="15.75" customHeight="1" s="51"/>
    <row r="564" ht="15.75" customHeight="1" s="51"/>
    <row r="565" ht="15.75" customHeight="1" s="51"/>
    <row r="566" ht="15.75" customHeight="1" s="51"/>
    <row r="567" ht="15.75" customHeight="1" s="51"/>
    <row r="568" ht="15.75" customHeight="1" s="51"/>
    <row r="569" ht="15.75" customHeight="1" s="51"/>
    <row r="570" ht="15.75" customHeight="1" s="51"/>
    <row r="571" ht="15.75" customHeight="1" s="51"/>
    <row r="572" ht="15.75" customHeight="1" s="51"/>
    <row r="573" ht="15.75" customHeight="1" s="51"/>
    <row r="574" ht="15.75" customHeight="1" s="51"/>
    <row r="575" ht="15.75" customHeight="1" s="51"/>
    <row r="576" ht="15.75" customHeight="1" s="51"/>
    <row r="577" ht="15.75" customHeight="1" s="51"/>
    <row r="578" ht="15.75" customHeight="1" s="51"/>
    <row r="579" ht="15.75" customHeight="1" s="51"/>
    <row r="580" ht="15.75" customHeight="1" s="51"/>
    <row r="581" ht="15.75" customHeight="1" s="51"/>
    <row r="582" ht="15.75" customHeight="1" s="51"/>
    <row r="583" ht="15.75" customHeight="1" s="51"/>
    <row r="584" ht="15.75" customHeight="1" s="51"/>
    <row r="585" ht="15.75" customHeight="1" s="51"/>
    <row r="586" ht="15.75" customHeight="1" s="51"/>
    <row r="587" ht="15.75" customHeight="1" s="51"/>
    <row r="588" ht="15.75" customHeight="1" s="51"/>
    <row r="589" ht="15.75" customHeight="1" s="51"/>
    <row r="590" ht="15.75" customHeight="1" s="51"/>
    <row r="591" ht="15.75" customHeight="1" s="51"/>
    <row r="592" ht="15.75" customHeight="1" s="51"/>
    <row r="593" ht="15.75" customHeight="1" s="51"/>
    <row r="594" ht="15.75" customHeight="1" s="51"/>
    <row r="595" ht="15.75" customHeight="1" s="51"/>
    <row r="596" ht="15.75" customHeight="1" s="51"/>
    <row r="597" ht="15.75" customHeight="1" s="51"/>
    <row r="598" ht="15.75" customHeight="1" s="51"/>
    <row r="599" ht="15.75" customHeight="1" s="51"/>
    <row r="600" ht="15.75" customHeight="1" s="51"/>
    <row r="601" ht="15.75" customHeight="1" s="51"/>
    <row r="602" ht="15.75" customHeight="1" s="51"/>
    <row r="603" ht="15.75" customHeight="1" s="51"/>
    <row r="604" ht="15.75" customHeight="1" s="51"/>
    <row r="605" ht="15.75" customHeight="1" s="51"/>
    <row r="606" ht="15.75" customHeight="1" s="51"/>
    <row r="607" ht="15.75" customHeight="1" s="51"/>
    <row r="608" ht="15.75" customHeight="1" s="51"/>
    <row r="609" ht="15.75" customHeight="1" s="51"/>
    <row r="610" ht="15.75" customHeight="1" s="51"/>
    <row r="611" ht="15.75" customHeight="1" s="51"/>
    <row r="612" ht="15.75" customHeight="1" s="51"/>
    <row r="613" ht="15.75" customHeight="1" s="51"/>
    <row r="614" ht="15.75" customHeight="1" s="51"/>
    <row r="615" ht="15.75" customHeight="1" s="51"/>
    <row r="616" ht="15.75" customHeight="1" s="51"/>
    <row r="617" ht="15.75" customHeight="1" s="51"/>
    <row r="618" ht="15.75" customHeight="1" s="51"/>
    <row r="619" ht="15.75" customHeight="1" s="51"/>
    <row r="620" ht="15.75" customHeight="1" s="51"/>
    <row r="621" ht="15.75" customHeight="1" s="51"/>
    <row r="622" ht="15.75" customHeight="1" s="51"/>
    <row r="623" ht="15.75" customHeight="1" s="51"/>
    <row r="624" ht="15.75" customHeight="1" s="51"/>
    <row r="625" ht="15.75" customHeight="1" s="51"/>
    <row r="626" ht="15.75" customHeight="1" s="51"/>
    <row r="627" ht="15.75" customHeight="1" s="51"/>
    <row r="628" ht="15.75" customHeight="1" s="51"/>
    <row r="629" ht="15.75" customHeight="1" s="51"/>
    <row r="630" ht="15.75" customHeight="1" s="51"/>
    <row r="631" ht="15.75" customHeight="1" s="51"/>
    <row r="632" ht="15.75" customHeight="1" s="51"/>
    <row r="633" ht="15.75" customHeight="1" s="51"/>
    <row r="634" ht="15.75" customHeight="1" s="51"/>
    <row r="635" ht="15.75" customHeight="1" s="51"/>
    <row r="636" ht="15.75" customHeight="1" s="51"/>
    <row r="637" ht="15.75" customHeight="1" s="51"/>
    <row r="638" ht="15.75" customHeight="1" s="51"/>
    <row r="639" ht="15.75" customHeight="1" s="51"/>
    <row r="640" ht="15.75" customHeight="1" s="51"/>
    <row r="641" ht="15.75" customHeight="1" s="51"/>
    <row r="642" ht="15.75" customHeight="1" s="51"/>
    <row r="643" ht="15.75" customHeight="1" s="51"/>
    <row r="644" ht="15.75" customHeight="1" s="51"/>
    <row r="645" ht="15.75" customHeight="1" s="51"/>
    <row r="646" ht="15.75" customHeight="1" s="51"/>
    <row r="647" ht="15.75" customHeight="1" s="51"/>
    <row r="648" ht="15.75" customHeight="1" s="51"/>
    <row r="649" ht="15.75" customHeight="1" s="51"/>
    <row r="650" ht="15.75" customHeight="1" s="51"/>
    <row r="651" ht="15.75" customHeight="1" s="51"/>
    <row r="652" ht="15.75" customHeight="1" s="51"/>
    <row r="653" ht="15.75" customHeight="1" s="51"/>
    <row r="654" ht="15.75" customHeight="1" s="51"/>
    <row r="655" ht="15.75" customHeight="1" s="51"/>
    <row r="656" ht="15.75" customHeight="1" s="51"/>
    <row r="657" ht="15.75" customHeight="1" s="51"/>
    <row r="658" ht="15.75" customHeight="1" s="51"/>
    <row r="659" ht="15.75" customHeight="1" s="51"/>
    <row r="660" ht="15.75" customHeight="1" s="51"/>
    <row r="661" ht="15.75" customHeight="1" s="51"/>
    <row r="662" ht="15.75" customHeight="1" s="51"/>
    <row r="663" ht="15.75" customHeight="1" s="51"/>
    <row r="664" ht="15.75" customHeight="1" s="51"/>
    <row r="665" ht="15.75" customHeight="1" s="51"/>
    <row r="666" ht="15.75" customHeight="1" s="51"/>
    <row r="667" ht="15.75" customHeight="1" s="51"/>
    <row r="668" ht="15.75" customHeight="1" s="51"/>
    <row r="669" ht="15.75" customHeight="1" s="51"/>
    <row r="670" ht="15.75" customHeight="1" s="51"/>
    <row r="671" ht="15.75" customHeight="1" s="51"/>
    <row r="672" ht="15.75" customHeight="1" s="51"/>
    <row r="673" ht="15.75" customHeight="1" s="51"/>
    <row r="674" ht="15.75" customHeight="1" s="51"/>
    <row r="675" ht="15.75" customHeight="1" s="51"/>
    <row r="676" ht="15.75" customHeight="1" s="51"/>
    <row r="677" ht="15.75" customHeight="1" s="51"/>
    <row r="678" ht="15.75" customHeight="1" s="51"/>
    <row r="679" ht="15.75" customHeight="1" s="51"/>
    <row r="680" ht="15.75" customHeight="1" s="51"/>
    <row r="681" ht="15.75" customHeight="1" s="51"/>
    <row r="682" ht="15.75" customHeight="1" s="51"/>
    <row r="683" ht="15.75" customHeight="1" s="51"/>
    <row r="684" ht="15.75" customHeight="1" s="51"/>
    <row r="685" ht="15.75" customHeight="1" s="51"/>
    <row r="686" ht="15.75" customHeight="1" s="51"/>
    <row r="687" ht="15.75" customHeight="1" s="51"/>
    <row r="688" ht="15.75" customHeight="1" s="51"/>
    <row r="689" ht="15.75" customHeight="1" s="51"/>
    <row r="690" ht="15.75" customHeight="1" s="51"/>
    <row r="691" ht="15.75" customHeight="1" s="51"/>
    <row r="692" ht="15.75" customHeight="1" s="51"/>
    <row r="693" ht="15.75" customHeight="1" s="51"/>
    <row r="694" ht="15.75" customHeight="1" s="51"/>
    <row r="695" ht="15.75" customHeight="1" s="51"/>
    <row r="696" ht="15.75" customHeight="1" s="51"/>
    <row r="697" ht="15.75" customHeight="1" s="51"/>
    <row r="698" ht="15.75" customHeight="1" s="51"/>
    <row r="699" ht="15.75" customHeight="1" s="51"/>
    <row r="700" ht="15.75" customHeight="1" s="51"/>
    <row r="701" ht="15.75" customHeight="1" s="51"/>
    <row r="702" ht="15.75" customHeight="1" s="51"/>
    <row r="703" ht="15.75" customHeight="1" s="51"/>
    <row r="704" ht="15.75" customHeight="1" s="51"/>
    <row r="705" ht="15.75" customHeight="1" s="51"/>
    <row r="706" ht="15.75" customHeight="1" s="51"/>
    <row r="707" ht="15.75" customHeight="1" s="51"/>
    <row r="708" ht="15.75" customHeight="1" s="51"/>
    <row r="709" ht="15.75" customHeight="1" s="51"/>
    <row r="710" ht="15.75" customHeight="1" s="51"/>
    <row r="711" ht="15.75" customHeight="1" s="51"/>
    <row r="712" ht="15.75" customHeight="1" s="51"/>
    <row r="713" ht="15.75" customHeight="1" s="51"/>
    <row r="714" ht="15.75" customHeight="1" s="51"/>
    <row r="715" ht="15.75" customHeight="1" s="51"/>
    <row r="716" ht="15.75" customHeight="1" s="51"/>
    <row r="717" ht="15.75" customHeight="1" s="51"/>
    <row r="718" ht="15.75" customHeight="1" s="51"/>
    <row r="719" ht="15.75" customHeight="1" s="51"/>
    <row r="720" ht="15.75" customHeight="1" s="51"/>
    <row r="721" ht="15.75" customHeight="1" s="51"/>
    <row r="722" ht="15.75" customHeight="1" s="51"/>
    <row r="723" ht="15.75" customHeight="1" s="51"/>
    <row r="724" ht="15.75" customHeight="1" s="51"/>
    <row r="725" ht="15.75" customHeight="1" s="51"/>
    <row r="726" ht="15.75" customHeight="1" s="51"/>
    <row r="727" ht="15.75" customHeight="1" s="51"/>
    <row r="728" ht="15.75" customHeight="1" s="51"/>
    <row r="729" ht="15.75" customHeight="1" s="51"/>
    <row r="730" ht="15.75" customHeight="1" s="51"/>
    <row r="731" ht="15.75" customHeight="1" s="51"/>
    <row r="732" ht="15.75" customHeight="1" s="51"/>
    <row r="733" ht="15.75" customHeight="1" s="51"/>
    <row r="734" ht="15.75" customHeight="1" s="51"/>
    <row r="735" ht="15.75" customHeight="1" s="51"/>
    <row r="736" ht="15.75" customHeight="1" s="51"/>
    <row r="737" ht="15.75" customHeight="1" s="51"/>
    <row r="738" ht="15.75" customHeight="1" s="51"/>
    <row r="739" ht="15.75" customHeight="1" s="51"/>
    <row r="740" ht="15.75" customHeight="1" s="51"/>
    <row r="741" ht="15.75" customHeight="1" s="51"/>
    <row r="742" ht="15.75" customHeight="1" s="51"/>
    <row r="743" ht="15.75" customHeight="1" s="51"/>
    <row r="744" ht="15.75" customHeight="1" s="51"/>
    <row r="745" ht="15.75" customHeight="1" s="51"/>
    <row r="746" ht="15.75" customHeight="1" s="51"/>
    <row r="747" ht="15.75" customHeight="1" s="51"/>
    <row r="748" ht="15.75" customHeight="1" s="51"/>
    <row r="749" ht="15.75" customHeight="1" s="51"/>
    <row r="750" ht="15.75" customHeight="1" s="51"/>
    <row r="751" ht="15.75" customHeight="1" s="51"/>
    <row r="752" ht="15.75" customHeight="1" s="51"/>
    <row r="753" ht="15.75" customHeight="1" s="51"/>
    <row r="754" ht="15.75" customHeight="1" s="51"/>
    <row r="755" ht="15.75" customHeight="1" s="51"/>
    <row r="756" ht="15.75" customHeight="1" s="51"/>
    <row r="757" ht="15.75" customHeight="1" s="51"/>
    <row r="758" ht="15.75" customHeight="1" s="51"/>
    <row r="759" ht="15.75" customHeight="1" s="51"/>
    <row r="760" ht="15.75" customHeight="1" s="51"/>
    <row r="761" ht="15.75" customHeight="1" s="51"/>
    <row r="762" ht="15.75" customHeight="1" s="51"/>
    <row r="763" ht="15.75" customHeight="1" s="51"/>
    <row r="764" ht="15.75" customHeight="1" s="51"/>
    <row r="765" ht="15.75" customHeight="1" s="51"/>
    <row r="766" ht="15.75" customHeight="1" s="51"/>
    <row r="767" ht="15.75" customHeight="1" s="51"/>
    <row r="768" ht="15.75" customHeight="1" s="51"/>
    <row r="769" ht="15.75" customHeight="1" s="51"/>
    <row r="770" ht="15.75" customHeight="1" s="51"/>
    <row r="771" ht="15.75" customHeight="1" s="51"/>
    <row r="772" ht="15.75" customHeight="1" s="51"/>
    <row r="773" ht="15.75" customHeight="1" s="51"/>
    <row r="774" ht="15.75" customHeight="1" s="51"/>
    <row r="775" ht="15.75" customHeight="1" s="51"/>
    <row r="776" ht="15.75" customHeight="1" s="51"/>
    <row r="777" ht="15.75" customHeight="1" s="51"/>
    <row r="778" ht="15.75" customHeight="1" s="51"/>
    <row r="779" ht="15.75" customHeight="1" s="51"/>
    <row r="780" ht="15.75" customHeight="1" s="51"/>
    <row r="781" ht="15.75" customHeight="1" s="51"/>
    <row r="782" ht="15.75" customHeight="1" s="51"/>
    <row r="783" ht="15.75" customHeight="1" s="51"/>
    <row r="784" ht="15.75" customHeight="1" s="51"/>
    <row r="785" ht="15.75" customHeight="1" s="51"/>
    <row r="786" ht="15.75" customHeight="1" s="51"/>
    <row r="787" ht="15.75" customHeight="1" s="51"/>
    <row r="788" ht="15.75" customHeight="1" s="51"/>
    <row r="789" ht="15.75" customHeight="1" s="51"/>
    <row r="790" ht="15.75" customHeight="1" s="51"/>
    <row r="791" ht="15.75" customHeight="1" s="51"/>
    <row r="792" ht="15.75" customHeight="1" s="51"/>
    <row r="793" ht="15.75" customHeight="1" s="51"/>
    <row r="794" ht="15.75" customHeight="1" s="51"/>
    <row r="795" ht="15.75" customHeight="1" s="51"/>
    <row r="796" ht="15.75" customHeight="1" s="51"/>
    <row r="797" ht="15.75" customHeight="1" s="51"/>
    <row r="798" ht="15.75" customHeight="1" s="51"/>
    <row r="799" ht="15.75" customHeight="1" s="51"/>
    <row r="800" ht="15.75" customHeight="1" s="51"/>
    <row r="801" ht="15.75" customHeight="1" s="51"/>
    <row r="802" ht="15.75" customHeight="1" s="51"/>
    <row r="803" ht="15.75" customHeight="1" s="51"/>
    <row r="804" ht="15.75" customHeight="1" s="51"/>
    <row r="805" ht="15.75" customHeight="1" s="51"/>
    <row r="806" ht="15.75" customHeight="1" s="51"/>
    <row r="807" ht="15.75" customHeight="1" s="51"/>
    <row r="808" ht="15.75" customHeight="1" s="51"/>
    <row r="809" ht="15.75" customHeight="1" s="51"/>
    <row r="810" ht="15.75" customHeight="1" s="51"/>
    <row r="811" ht="15.75" customHeight="1" s="51"/>
    <row r="812" ht="15.75" customHeight="1" s="51"/>
    <row r="813" ht="15.75" customHeight="1" s="51"/>
    <row r="814" ht="15.75" customHeight="1" s="51"/>
    <row r="815" ht="15.75" customHeight="1" s="51"/>
    <row r="816" ht="15.75" customHeight="1" s="51"/>
    <row r="817" ht="15.75" customHeight="1" s="51"/>
    <row r="818" ht="15.75" customHeight="1" s="51"/>
    <row r="819" ht="15.75" customHeight="1" s="51"/>
    <row r="820" ht="15.75" customHeight="1" s="51"/>
    <row r="821" ht="15.75" customHeight="1" s="51"/>
    <row r="822" ht="15.75" customHeight="1" s="51"/>
    <row r="823" ht="15.75" customHeight="1" s="51"/>
    <row r="824" ht="15.75" customHeight="1" s="51"/>
    <row r="825" ht="15.75" customHeight="1" s="51"/>
    <row r="826" ht="15.75" customHeight="1" s="51"/>
    <row r="827" ht="15.75" customHeight="1" s="51"/>
    <row r="828" ht="15.75" customHeight="1" s="51"/>
    <row r="829" ht="15.75" customHeight="1" s="51"/>
    <row r="830" ht="15.75" customHeight="1" s="51"/>
    <row r="831" ht="15.75" customHeight="1" s="51"/>
    <row r="832" ht="15.75" customHeight="1" s="51"/>
    <row r="833" ht="15.75" customHeight="1" s="51"/>
    <row r="834" ht="15.75" customHeight="1" s="51"/>
    <row r="835" ht="15.75" customHeight="1" s="51"/>
    <row r="836" ht="15.75" customHeight="1" s="51"/>
    <row r="837" ht="15.75" customHeight="1" s="51"/>
    <row r="838" ht="15.75" customHeight="1" s="51"/>
    <row r="839" ht="15.75" customHeight="1" s="51"/>
    <row r="840" ht="15.75" customHeight="1" s="51"/>
    <row r="841" ht="15.75" customHeight="1" s="51"/>
    <row r="842" ht="15.75" customHeight="1" s="51"/>
    <row r="843" ht="15.75" customHeight="1" s="51"/>
    <row r="844" ht="15.75" customHeight="1" s="51"/>
    <row r="845" ht="15.75" customHeight="1" s="51"/>
    <row r="846" ht="15.75" customHeight="1" s="51"/>
    <row r="847" ht="15.75" customHeight="1" s="51"/>
    <row r="848" ht="15.75" customHeight="1" s="51"/>
    <row r="849" ht="15.75" customHeight="1" s="51"/>
    <row r="850" ht="15.75" customHeight="1" s="51"/>
    <row r="851" ht="15.75" customHeight="1" s="51"/>
    <row r="852" ht="15.75" customHeight="1" s="51"/>
    <row r="853" ht="15.75" customHeight="1" s="51"/>
    <row r="854" ht="15.75" customHeight="1" s="51"/>
    <row r="855" ht="15.75" customHeight="1" s="51"/>
    <row r="856" ht="15.75" customHeight="1" s="51"/>
    <row r="857" ht="15.75" customHeight="1" s="51"/>
    <row r="858" ht="15.75" customHeight="1" s="51"/>
    <row r="859" ht="15.75" customHeight="1" s="51"/>
    <row r="860" ht="15.75" customHeight="1" s="51"/>
    <row r="861" ht="15.75" customHeight="1" s="51"/>
    <row r="862" ht="15.75" customHeight="1" s="51"/>
    <row r="863" ht="15.75" customHeight="1" s="51"/>
    <row r="864" ht="15.75" customHeight="1" s="51"/>
    <row r="865" ht="15.75" customHeight="1" s="51"/>
    <row r="866" ht="15.75" customHeight="1" s="51"/>
    <row r="867" ht="15.75" customHeight="1" s="51"/>
    <row r="868" ht="15.75" customHeight="1" s="51"/>
    <row r="869" ht="15.75" customHeight="1" s="51"/>
    <row r="870" ht="15.75" customHeight="1" s="51"/>
    <row r="871" ht="15.75" customHeight="1" s="51"/>
    <row r="872" ht="15.75" customHeight="1" s="51"/>
    <row r="873" ht="15.75" customHeight="1" s="51"/>
    <row r="874" ht="15.75" customHeight="1" s="51"/>
    <row r="875" ht="15.75" customHeight="1" s="51"/>
    <row r="876" ht="15.75" customHeight="1" s="51"/>
    <row r="877" ht="15.75" customHeight="1" s="51"/>
    <row r="878" ht="15.75" customHeight="1" s="51"/>
    <row r="879" ht="15.75" customHeight="1" s="51"/>
    <row r="880" ht="15.75" customHeight="1" s="51"/>
    <row r="881" ht="15.75" customHeight="1" s="51"/>
    <row r="882" ht="15.75" customHeight="1" s="51"/>
    <row r="883" ht="15.75" customHeight="1" s="51"/>
    <row r="884" ht="15.75" customHeight="1" s="51"/>
    <row r="885" ht="15.75" customHeight="1" s="51"/>
    <row r="886" ht="15.75" customHeight="1" s="51"/>
    <row r="887" ht="15.75" customHeight="1" s="51"/>
    <row r="888" ht="15.75" customHeight="1" s="51"/>
    <row r="889" ht="15.75" customHeight="1" s="51"/>
    <row r="890" ht="15.75" customHeight="1" s="51"/>
    <row r="891" ht="15.75" customHeight="1" s="51"/>
    <row r="892" ht="15.75" customHeight="1" s="51"/>
    <row r="893" ht="15.75" customHeight="1" s="51"/>
    <row r="894" ht="15.75" customHeight="1" s="51"/>
    <row r="895" ht="15.75" customHeight="1" s="51"/>
    <row r="896" ht="15.75" customHeight="1" s="51"/>
    <row r="897" ht="15.75" customHeight="1" s="51"/>
    <row r="898" ht="15.75" customHeight="1" s="51"/>
    <row r="899" ht="15.75" customHeight="1" s="51"/>
    <row r="900" ht="15.75" customHeight="1" s="51"/>
    <row r="901" ht="15.75" customHeight="1" s="51"/>
    <row r="902" ht="15.75" customHeight="1" s="51"/>
    <row r="903" ht="15.75" customHeight="1" s="51"/>
    <row r="904" ht="15.75" customHeight="1" s="51"/>
    <row r="905" ht="15.75" customHeight="1" s="51"/>
    <row r="906" ht="15.75" customHeight="1" s="51"/>
    <row r="907" ht="15.75" customHeight="1" s="51"/>
    <row r="908" ht="15.75" customHeight="1" s="51"/>
    <row r="909" ht="15.75" customHeight="1" s="51"/>
    <row r="910" ht="15.75" customHeight="1" s="51"/>
    <row r="911" ht="15.75" customHeight="1" s="51"/>
    <row r="912" ht="15.75" customHeight="1" s="51"/>
    <row r="913" ht="15.75" customHeight="1" s="51"/>
    <row r="914" ht="15.75" customHeight="1" s="51"/>
    <row r="915" ht="15.75" customHeight="1" s="51"/>
    <row r="916" ht="15.75" customHeight="1" s="51"/>
    <row r="917" ht="15.75" customHeight="1" s="51"/>
    <row r="918" ht="15.75" customHeight="1" s="51"/>
    <row r="919" ht="15.75" customHeight="1" s="51"/>
    <row r="920" ht="15.75" customHeight="1" s="51"/>
    <row r="921" ht="15.75" customHeight="1" s="51"/>
    <row r="922" ht="15.75" customHeight="1" s="51"/>
    <row r="923" ht="15.75" customHeight="1" s="51"/>
    <row r="924" ht="15.75" customHeight="1" s="51"/>
    <row r="925" ht="15.75" customHeight="1" s="51"/>
    <row r="926" ht="15.75" customHeight="1" s="51"/>
    <row r="927" ht="15.75" customHeight="1" s="51"/>
    <row r="928" ht="15.75" customHeight="1" s="51"/>
    <row r="929" ht="15.75" customHeight="1" s="51"/>
    <row r="930" ht="15.75" customHeight="1" s="51"/>
    <row r="931" ht="15.75" customHeight="1" s="51"/>
    <row r="932" ht="15.75" customHeight="1" s="51"/>
    <row r="933" ht="15.75" customHeight="1" s="51"/>
    <row r="934" ht="15.75" customHeight="1" s="51"/>
    <row r="935" ht="15.75" customHeight="1" s="51"/>
    <row r="936" ht="15.75" customHeight="1" s="51"/>
    <row r="937" ht="15.75" customHeight="1" s="51"/>
    <row r="938" ht="15.75" customHeight="1" s="51"/>
    <row r="939" ht="15.75" customHeight="1" s="51"/>
    <row r="940" ht="15.75" customHeight="1" s="51"/>
    <row r="941" ht="15.75" customHeight="1" s="51"/>
    <row r="942" ht="15.75" customHeight="1" s="51"/>
    <row r="943" ht="15.75" customHeight="1" s="51"/>
    <row r="944" ht="15.75" customHeight="1" s="51"/>
    <row r="945" ht="15.75" customHeight="1" s="51"/>
    <row r="946" ht="15.75" customHeight="1" s="51"/>
    <row r="947" ht="15.75" customHeight="1" s="51"/>
    <row r="948" ht="15.75" customHeight="1" s="51"/>
    <row r="949" ht="15.75" customHeight="1" s="51"/>
    <row r="950" ht="15.75" customHeight="1" s="51"/>
    <row r="951" ht="15.75" customHeight="1" s="51"/>
    <row r="952" ht="15.75" customHeight="1" s="51"/>
    <row r="953" ht="15.75" customHeight="1" s="51"/>
    <row r="954" ht="15.75" customHeight="1" s="51"/>
    <row r="955" ht="15.75" customHeight="1" s="51"/>
    <row r="956" ht="15.75" customHeight="1" s="51"/>
    <row r="957" ht="15.75" customHeight="1" s="51"/>
    <row r="958" ht="15.75" customHeight="1" s="51"/>
    <row r="959" ht="15.75" customHeight="1" s="51"/>
    <row r="960" ht="15.75" customHeight="1" s="51"/>
    <row r="961" ht="15.75" customHeight="1" s="51"/>
    <row r="962" ht="15.75" customHeight="1" s="51"/>
    <row r="963" ht="15.75" customHeight="1" s="51"/>
    <row r="964" ht="15.75" customHeight="1" s="51"/>
    <row r="965" ht="15.75" customHeight="1" s="51"/>
    <row r="966" ht="15.75" customHeight="1" s="51"/>
    <row r="967" ht="15.75" customHeight="1" s="51"/>
    <row r="968" ht="15.75" customHeight="1" s="51"/>
    <row r="969" ht="15.75" customHeight="1" s="51"/>
    <row r="970" ht="15.75" customHeight="1" s="51"/>
    <row r="971" ht="15.75" customHeight="1" s="51"/>
    <row r="972" ht="15.75" customHeight="1" s="51"/>
    <row r="973" ht="15.75" customHeight="1" s="51"/>
    <row r="974" ht="15.75" customHeight="1" s="51"/>
    <row r="975" ht="15.75" customHeight="1" s="51"/>
    <row r="976" ht="15.75" customHeight="1" s="51"/>
    <row r="977" ht="15.75" customHeight="1" s="51"/>
    <row r="978" ht="15.75" customHeight="1" s="51"/>
    <row r="979" ht="15.75" customHeight="1" s="51"/>
    <row r="980" ht="15.75" customHeight="1" s="51"/>
    <row r="981" ht="15.75" customHeight="1" s="51"/>
    <row r="982" ht="15.75" customHeight="1" s="51"/>
    <row r="983" ht="15.75" customHeight="1" s="51"/>
    <row r="984" ht="15.75" customHeight="1" s="51"/>
    <row r="985" ht="15.75" customHeight="1" s="51"/>
    <row r="986" ht="15.75" customHeight="1" s="51"/>
    <row r="987" ht="15.75" customHeight="1" s="51"/>
    <row r="988" ht="15.75" customHeight="1" s="51"/>
    <row r="989" ht="15.75" customHeight="1" s="51"/>
    <row r="990" ht="15.75" customHeight="1" s="51"/>
    <row r="991" ht="15.75" customHeight="1" s="51"/>
    <row r="992" ht="15.75" customHeight="1" s="51"/>
    <row r="993" ht="15.75" customHeight="1" s="51"/>
    <row r="994" ht="15.75" customHeight="1" s="51"/>
    <row r="995" ht="15.75" customHeight="1" s="51"/>
    <row r="996" ht="15.75" customHeight="1" s="51"/>
    <row r="997" ht="15.75" customHeight="1" s="51"/>
    <row r="998" ht="15.75" customHeight="1" s="51"/>
    <row r="999" ht="15.75" customHeight="1" s="51"/>
    <row r="1000" ht="15.75" customHeight="1" s="51"/>
  </sheetData>
  <autoFilter ref="A4:G219"/>
  <mergeCells count="2">
    <mergeCell ref="A2:G2"/>
    <mergeCell ref="A1:G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B6" sqref="B6"/>
    </sheetView>
  </sheetViews>
  <sheetFormatPr baseColWidth="8" defaultColWidth="14.43" defaultRowHeight="15" customHeight="1"/>
  <cols>
    <col width="26" customWidth="1" style="51" min="1" max="1"/>
    <col width="18" customWidth="1" style="51" min="2" max="2"/>
    <col width="22" customWidth="1" style="51" min="3" max="3"/>
    <col width="18" customWidth="1" style="51" min="4" max="4"/>
    <col width="8" customWidth="1" style="51" min="5" max="5"/>
    <col width="9" customWidth="1" style="51" min="6" max="6"/>
    <col width="8.710000000000001" customWidth="1" style="51" min="7" max="26"/>
  </cols>
  <sheetData>
    <row r="1" ht="25.5" customHeight="1" s="51">
      <c r="A1" s="52" t="inlineStr">
        <is>
          <t>RELATED PARCELS</t>
        </is>
      </c>
    </row>
    <row r="2" ht="13.5" customHeight="1" s="51">
      <c r="A2" s="53" t="inlineStr">
        <is>
          <t>North Side Gardens LLC portfolio — parcel schedule attached to the 7205 Gilpin Way (R0178308) appeal</t>
        </is>
      </c>
    </row>
    <row r="4" ht="27.75" customHeight="1" s="51">
      <c r="A4" s="6" t="inlineStr">
        <is>
          <t>Assessee</t>
        </is>
      </c>
      <c r="B4" s="6" t="inlineStr">
        <is>
          <t>Account Number</t>
        </is>
      </c>
      <c r="C4" s="6" t="inlineStr">
        <is>
          <t>Address</t>
        </is>
      </c>
      <c r="D4" s="6" t="inlineStr">
        <is>
          <t>County</t>
        </is>
      </c>
      <c r="E4" s="6" t="inlineStr">
        <is>
          <t>State</t>
        </is>
      </c>
      <c r="F4" s="9" t="inlineStr">
        <is>
          <t>Batch</t>
        </is>
      </c>
    </row>
    <row r="5">
      <c r="A5" s="12" t="inlineStr">
        <is>
          <t>North Side Gardens LLC</t>
        </is>
      </c>
      <c r="B5" s="11" t="inlineStr">
        <is>
          <t>R0174928</t>
        </is>
      </c>
      <c r="C5" s="12" t="inlineStr">
        <is>
          <t>7285 Gilpin Way</t>
        </is>
      </c>
      <c r="D5" s="11" t="inlineStr">
        <is>
          <t>Adams County</t>
        </is>
      </c>
      <c r="E5" s="11" t="inlineStr">
        <is>
          <t>CO</t>
        </is>
      </c>
    </row>
    <row r="6">
      <c r="A6" s="27" t="inlineStr">
        <is>
          <t>North Side Gardens LLC</t>
        </is>
      </c>
      <c r="B6" s="35" t="inlineStr">
        <is>
          <t>R0178308</t>
        </is>
      </c>
      <c r="C6" s="27" t="inlineStr">
        <is>
          <t>7205 Gilpin Way</t>
        </is>
      </c>
      <c r="D6" s="35" t="inlineStr">
        <is>
          <t>Adams County</t>
        </is>
      </c>
      <c r="E6" s="35" t="inlineStr">
        <is>
          <t>CO</t>
        </is>
      </c>
    </row>
    <row r="7">
      <c r="A7" s="12" t="inlineStr">
        <is>
          <t>North Side Gardens LLC</t>
        </is>
      </c>
      <c r="B7" s="11" t="inlineStr">
        <is>
          <t>R0189058</t>
        </is>
      </c>
      <c r="C7" s="12" t="inlineStr">
        <is>
          <t>7230 Gilpin Way</t>
        </is>
      </c>
      <c r="D7" s="11" t="inlineStr">
        <is>
          <t>Adams County</t>
        </is>
      </c>
      <c r="E7" s="11" t="inlineStr">
        <is>
          <t>CO</t>
        </is>
      </c>
    </row>
    <row r="8">
      <c r="A8" s="12" t="inlineStr">
        <is>
          <t>North Side Gardens LLC</t>
        </is>
      </c>
      <c r="B8" s="11" t="inlineStr">
        <is>
          <t>R0174929</t>
        </is>
      </c>
      <c r="C8" s="12" t="inlineStr">
        <is>
          <t>7245 Gilpin Way</t>
        </is>
      </c>
      <c r="D8" s="11" t="inlineStr">
        <is>
          <t>Adams County</t>
        </is>
      </c>
      <c r="E8" s="11" t="inlineStr">
        <is>
          <t>CO</t>
        </is>
      </c>
    </row>
    <row r="10" ht="27.75" customHeight="1" s="51">
      <c r="A10" s="41" t="inlineStr">
        <is>
          <t>Highlighted row (R0178308 / 7205 Gilpin Way) is the primary appeal subject; the other three parcels are co-listed on the same authorization schedule. Appeal owner of record: Center Land Properties (signed by Ken R. Lombardi, Manager).</t>
        </is>
      </c>
      <c r="B10" s="59" t="n"/>
      <c r="C10" s="59" t="n"/>
      <c r="D10" s="59" t="n"/>
      <c r="E10" s="60" t="n"/>
    </row>
    <row r="11">
      <c r="A11" s="37" t="inlineStr">
        <is>
          <t>584 batch — Cherry/Thornton/Huron/Park 76/Quintero Owner LLC portfolio (Ryan/CRE-Denver agent authorization, attached to R0180551 Home Depot Denver appeal) + Shamrock Foods 2nd facility (R0092655 authorization)</t>
        </is>
      </c>
      <c r="B11" s="38" t="n"/>
      <c r="C11" s="38" t="n"/>
      <c r="D11" s="38" t="n"/>
      <c r="E11" s="38" t="n"/>
      <c r="F11" s="38" t="n"/>
    </row>
    <row r="12">
      <c r="A12" s="17" t="inlineStr">
        <is>
          <t>Cherry Owner III LLC</t>
        </is>
      </c>
      <c r="B12" s="17" t="inlineStr">
        <is>
          <t>R0180551</t>
        </is>
      </c>
      <c r="C12" s="17" t="inlineStr">
        <is>
          <t>1953 Gun Club Rd (SUBJECT — Home Depot Denver)</t>
        </is>
      </c>
      <c r="D12" s="17" t="inlineStr">
        <is>
          <t>Adams County</t>
        </is>
      </c>
      <c r="E12" s="17" t="inlineStr">
        <is>
          <t>CO</t>
        </is>
      </c>
      <c r="F12" s="18" t="inlineStr">
        <is>
          <t>584</t>
        </is>
      </c>
    </row>
    <row r="13">
      <c r="A13" s="17" t="inlineStr">
        <is>
          <t>Cherry Owner II LLC</t>
        </is>
      </c>
      <c r="B13" s="17" t="inlineStr">
        <is>
          <t>R0180894</t>
        </is>
      </c>
      <c r="C13" s="17" t="inlineStr">
        <is>
          <t>1910 N Gun Club Rd</t>
        </is>
      </c>
      <c r="D13" s="17" t="inlineStr">
        <is>
          <t>Adams County</t>
        </is>
      </c>
      <c r="E13" s="17" t="inlineStr">
        <is>
          <t>CO</t>
        </is>
      </c>
      <c r="F13" s="18" t="inlineStr">
        <is>
          <t>584</t>
        </is>
      </c>
    </row>
    <row r="14">
      <c r="A14" s="17" t="inlineStr">
        <is>
          <t>Quintero Owner LLC c/o Kohlberg Kravis Roberts</t>
        </is>
      </c>
      <c r="B14" s="17" t="inlineStr">
        <is>
          <t>R0209679</t>
        </is>
      </c>
      <c r="C14" s="17" t="inlineStr">
        <is>
          <t>17501 E 84th Ave</t>
        </is>
      </c>
      <c r="D14" s="17" t="inlineStr">
        <is>
          <t>Adams County</t>
        </is>
      </c>
      <c r="E14" s="17" t="inlineStr">
        <is>
          <t>CO</t>
        </is>
      </c>
      <c r="F14" s="18" t="inlineStr">
        <is>
          <t>584</t>
        </is>
      </c>
    </row>
    <row r="15">
      <c r="A15" s="17" t="inlineStr">
        <is>
          <t>Thornton Owner LLC</t>
        </is>
      </c>
      <c r="B15" s="17" t="inlineStr">
        <is>
          <t>R0210485</t>
        </is>
      </c>
      <c r="C15" s="17" t="inlineStr">
        <is>
          <t>1101 E 126th Ave</t>
        </is>
      </c>
      <c r="D15" s="17" t="inlineStr">
        <is>
          <t>Adams County</t>
        </is>
      </c>
      <c r="E15" s="17" t="inlineStr">
        <is>
          <t>CO</t>
        </is>
      </c>
      <c r="F15" s="18" t="inlineStr">
        <is>
          <t>584</t>
        </is>
      </c>
    </row>
    <row r="16">
      <c r="A16" s="17" t="inlineStr">
        <is>
          <t>Thornton Owner LLC</t>
        </is>
      </c>
      <c r="B16" s="17" t="inlineStr">
        <is>
          <t>R0210486</t>
        </is>
      </c>
      <c r="C16" s="17" t="inlineStr">
        <is>
          <t>12625 Lafayette St</t>
        </is>
      </c>
      <c r="D16" s="17" t="inlineStr">
        <is>
          <t>Adams County</t>
        </is>
      </c>
      <c r="E16" s="17" t="inlineStr">
        <is>
          <t>CO</t>
        </is>
      </c>
      <c r="F16" s="18" t="inlineStr">
        <is>
          <t>584</t>
        </is>
      </c>
    </row>
    <row r="17">
      <c r="A17" s="17" t="inlineStr">
        <is>
          <t>Huron Owner LLC</t>
        </is>
      </c>
      <c r="B17" s="17" t="inlineStr">
        <is>
          <t>R0194300</t>
        </is>
      </c>
      <c r="C17" s="17" t="inlineStr">
        <is>
          <t>11751 Huron St</t>
        </is>
      </c>
      <c r="D17" s="17" t="inlineStr">
        <is>
          <t>Adams County</t>
        </is>
      </c>
      <c r="E17" s="17" t="inlineStr">
        <is>
          <t>CO</t>
        </is>
      </c>
      <c r="F17" s="18" t="inlineStr">
        <is>
          <t>584</t>
        </is>
      </c>
    </row>
    <row r="18">
      <c r="A18" s="17" t="inlineStr">
        <is>
          <t>Huron Owner LLC</t>
        </is>
      </c>
      <c r="B18" s="17" t="inlineStr">
        <is>
          <t>R0194301</t>
        </is>
      </c>
      <c r="C18" s="17" t="inlineStr">
        <is>
          <t>801 W. 116th Ave</t>
        </is>
      </c>
      <c r="D18" s="17" t="inlineStr">
        <is>
          <t>Adams County</t>
        </is>
      </c>
      <c r="E18" s="17" t="inlineStr">
        <is>
          <t>CO</t>
        </is>
      </c>
      <c r="F18" s="18" t="inlineStr">
        <is>
          <t>584</t>
        </is>
      </c>
    </row>
    <row r="19">
      <c r="A19" s="17" t="inlineStr">
        <is>
          <t>Park 76 Owner LLC</t>
        </is>
      </c>
      <c r="B19" s="17" t="inlineStr">
        <is>
          <t>R0211072</t>
        </is>
      </c>
      <c r="C19" s="17" t="inlineStr">
        <is>
          <t>10820 East 108th Ave</t>
        </is>
      </c>
      <c r="D19" s="17" t="inlineStr">
        <is>
          <t>Adams County</t>
        </is>
      </c>
      <c r="E19" s="17" t="inlineStr">
        <is>
          <t>CO</t>
        </is>
      </c>
      <c r="F19" s="18" t="inlineStr">
        <is>
          <t>584</t>
        </is>
      </c>
    </row>
    <row r="20">
      <c r="A20" s="17" t="inlineStr">
        <is>
          <t>Park 76 Owner LLC</t>
        </is>
      </c>
      <c r="B20" s="17" t="inlineStr">
        <is>
          <t>R0211073</t>
        </is>
      </c>
      <c r="C20" s="17" t="inlineStr">
        <is>
          <t>10820 East 108th Ave</t>
        </is>
      </c>
      <c r="D20" s="17" t="inlineStr">
        <is>
          <t>Adams County</t>
        </is>
      </c>
      <c r="E20" s="17" t="inlineStr">
        <is>
          <t>CO</t>
        </is>
      </c>
      <c r="F20" s="18" t="inlineStr">
        <is>
          <t>584</t>
        </is>
      </c>
    </row>
    <row r="21" ht="15.75" customHeight="1" s="51">
      <c r="A21" s="17" t="inlineStr">
        <is>
          <t>Park 76 Owner LLC</t>
        </is>
      </c>
      <c r="B21" s="17" t="inlineStr">
        <is>
          <t>R0211074</t>
        </is>
      </c>
      <c r="C21" s="17" t="inlineStr">
        <is>
          <t>11002 East 108th Ave</t>
        </is>
      </c>
      <c r="D21" s="17" t="inlineStr">
        <is>
          <t>Adams County</t>
        </is>
      </c>
      <c r="E21" s="17" t="inlineStr">
        <is>
          <t>CO</t>
        </is>
      </c>
      <c r="F21" s="18" t="inlineStr">
        <is>
          <t>584</t>
        </is>
      </c>
    </row>
    <row r="22" ht="15.75" customHeight="1" s="51">
      <c r="A22" s="17" t="inlineStr">
        <is>
          <t>Shamrock Foods Company</t>
        </is>
      </c>
      <c r="B22" s="17" t="inlineStr">
        <is>
          <t>0182125201001 (Acct pending)</t>
        </is>
      </c>
      <c r="C22" s="17" t="inlineStr">
        <is>
          <t>22000 E 38th Ave (2nd Shamrock facility, no 584 source PDF)</t>
        </is>
      </c>
      <c r="D22" s="17" t="inlineStr">
        <is>
          <t>Adams County</t>
        </is>
      </c>
      <c r="E22" s="17" t="inlineStr">
        <is>
          <t>CO</t>
        </is>
      </c>
      <c r="F22" s="18" t="inlineStr">
        <is>
          <t>584</t>
        </is>
      </c>
    </row>
    <row r="23" ht="15.75" customHeight="1" s="51"/>
    <row r="24" ht="15.75" customHeight="1" s="51"/>
    <row r="25" ht="15.75" customHeight="1" s="51"/>
    <row r="26" ht="15.75" customHeight="1" s="51"/>
    <row r="27" ht="15.75" customHeight="1" s="51"/>
    <row r="28" ht="15.75" customHeight="1" s="51"/>
    <row r="29" ht="15.75" customHeight="1" s="51"/>
    <row r="30" ht="15.75" customHeight="1" s="51"/>
    <row r="31" ht="15.75" customHeight="1" s="51"/>
    <row r="32" ht="15.75" customHeight="1" s="51"/>
    <row r="33" ht="15.75" customHeight="1" s="51"/>
    <row r="34" ht="15.75" customHeight="1" s="51"/>
    <row r="35" ht="15.75" customHeight="1" s="51"/>
    <row r="36" ht="15.75" customHeight="1" s="51"/>
    <row r="37" ht="15.75" customHeight="1" s="51"/>
    <row r="38" ht="15.75" customHeight="1" s="51"/>
    <row r="39" ht="15.75" customHeight="1" s="51"/>
    <row r="40" ht="15.75" customHeight="1" s="51"/>
    <row r="41" ht="15.75" customHeight="1" s="51"/>
    <row r="42" ht="15.75" customHeight="1" s="51"/>
    <row r="43" ht="15.75" customHeight="1" s="51"/>
    <row r="44" ht="15.75" customHeight="1" s="51"/>
    <row r="45" ht="15.75" customHeight="1" s="51"/>
    <row r="46" ht="15.75" customHeight="1" s="51"/>
    <row r="47" ht="15.75" customHeight="1" s="51"/>
    <row r="48" ht="15.75" customHeight="1" s="51"/>
    <row r="49" ht="15.75" customHeight="1" s="51"/>
    <row r="50" ht="15.75" customHeight="1" s="51"/>
    <row r="51" ht="15.75" customHeight="1" s="51"/>
    <row r="52" ht="15.75" customHeight="1" s="51"/>
    <row r="53" ht="15.75" customHeight="1" s="51"/>
    <row r="54" ht="15.75" customHeight="1" s="51"/>
    <row r="55" ht="15.75" customHeight="1" s="51"/>
    <row r="56" ht="15.75" customHeight="1" s="51"/>
    <row r="57" ht="15.75" customHeight="1" s="51"/>
    <row r="58" ht="15.75" customHeight="1" s="51"/>
    <row r="59" ht="15.75" customHeight="1" s="51"/>
    <row r="60" ht="15.75" customHeight="1" s="51"/>
    <row r="61" ht="15.75" customHeight="1" s="51"/>
    <row r="62" ht="15.75" customHeight="1" s="51"/>
    <row r="63" ht="15.75" customHeight="1" s="51"/>
    <row r="64" ht="15.75" customHeight="1" s="51"/>
    <row r="65" ht="15.75" customHeight="1" s="51"/>
    <row r="66" ht="15.75" customHeight="1" s="51"/>
    <row r="67" ht="15.75" customHeight="1" s="51"/>
    <row r="68" ht="15.75" customHeight="1" s="51"/>
    <row r="69" ht="15.75" customHeight="1" s="51"/>
    <row r="70" ht="15.75" customHeight="1" s="51"/>
    <row r="71" ht="15.75" customHeight="1" s="51"/>
    <row r="72" ht="15.75" customHeight="1" s="51"/>
    <row r="73" ht="15.75" customHeight="1" s="51"/>
    <row r="74" ht="15.75" customHeight="1" s="51"/>
    <row r="75" ht="15.75" customHeight="1" s="51"/>
    <row r="76" ht="15.75" customHeight="1" s="51"/>
    <row r="77" ht="15.75" customHeight="1" s="51"/>
    <row r="78" ht="15.75" customHeight="1" s="51"/>
    <row r="79" ht="15.75" customHeight="1" s="51"/>
    <row r="80" ht="15.75" customHeight="1" s="51"/>
    <row r="81" ht="15.75" customHeight="1" s="51"/>
    <row r="82" ht="15.75" customHeight="1" s="51"/>
    <row r="83" ht="15.75" customHeight="1" s="51"/>
    <row r="84" ht="15.75" customHeight="1" s="51"/>
    <row r="85" ht="15.75" customHeight="1" s="51"/>
    <row r="86" ht="15.75" customHeight="1" s="51"/>
    <row r="87" ht="15.75" customHeight="1" s="51"/>
    <row r="88" ht="15.75" customHeight="1" s="51"/>
    <row r="89" ht="15.75" customHeight="1" s="51"/>
    <row r="90" ht="15.75" customHeight="1" s="51"/>
    <row r="91" ht="15.75" customHeight="1" s="51"/>
    <row r="92" ht="15.75" customHeight="1" s="51"/>
    <row r="93" ht="15.75" customHeight="1" s="51"/>
    <row r="94" ht="15.75" customHeight="1" s="51"/>
    <row r="95" ht="15.75" customHeight="1" s="51"/>
    <row r="96" ht="15.75" customHeight="1" s="51"/>
    <row r="97" ht="15.75" customHeight="1" s="51"/>
    <row r="98" ht="15.75" customHeight="1" s="51"/>
    <row r="99" ht="15.75" customHeight="1" s="51"/>
    <row r="100" ht="15.75" customHeight="1" s="51"/>
    <row r="101" ht="15.75" customHeight="1" s="51"/>
    <row r="102" ht="15.75" customHeight="1" s="51"/>
    <row r="103" ht="15.75" customHeight="1" s="51"/>
    <row r="104" ht="15.75" customHeight="1" s="51"/>
    <row r="105" ht="15.75" customHeight="1" s="51"/>
    <row r="106" ht="15.75" customHeight="1" s="51"/>
    <row r="107" ht="15.75" customHeight="1" s="51"/>
    <row r="108" ht="15.75" customHeight="1" s="51"/>
    <row r="109" ht="15.75" customHeight="1" s="51"/>
    <row r="110" ht="15.75" customHeight="1" s="51"/>
    <row r="111" ht="15.75" customHeight="1" s="51"/>
    <row r="112" ht="15.75" customHeight="1" s="51"/>
    <row r="113" ht="15.75" customHeight="1" s="51"/>
    <row r="114" ht="15.75" customHeight="1" s="51"/>
    <row r="115" ht="15.75" customHeight="1" s="51"/>
    <row r="116" ht="15.75" customHeight="1" s="51"/>
    <row r="117" ht="15.75" customHeight="1" s="51"/>
    <row r="118" ht="15.75" customHeight="1" s="51"/>
    <row r="119" ht="15.75" customHeight="1" s="51"/>
    <row r="120" ht="15.75" customHeight="1" s="51"/>
    <row r="121" ht="15.75" customHeight="1" s="51"/>
    <row r="122" ht="15.75" customHeight="1" s="51"/>
    <row r="123" ht="15.75" customHeight="1" s="51"/>
    <row r="124" ht="15.75" customHeight="1" s="51"/>
    <row r="125" ht="15.75" customHeight="1" s="51"/>
    <row r="126" ht="15.75" customHeight="1" s="51"/>
    <row r="127" ht="15.75" customHeight="1" s="51"/>
    <row r="128" ht="15.75" customHeight="1" s="51"/>
    <row r="129" ht="15.75" customHeight="1" s="51"/>
    <row r="130" ht="15.75" customHeight="1" s="51"/>
    <row r="131" ht="15.75" customHeight="1" s="51"/>
    <row r="132" ht="15.75" customHeight="1" s="51"/>
    <row r="133" ht="15.75" customHeight="1" s="51"/>
    <row r="134" ht="15.75" customHeight="1" s="51"/>
    <row r="135" ht="15.75" customHeight="1" s="51"/>
    <row r="136" ht="15.75" customHeight="1" s="51"/>
    <row r="137" ht="15.75" customHeight="1" s="51"/>
    <row r="138" ht="15.75" customHeight="1" s="51"/>
    <row r="139" ht="15.75" customHeight="1" s="51"/>
    <row r="140" ht="15.75" customHeight="1" s="51"/>
    <row r="141" ht="15.75" customHeight="1" s="51"/>
    <row r="142" ht="15.75" customHeight="1" s="51"/>
    <row r="143" ht="15.75" customHeight="1" s="51"/>
    <row r="144" ht="15.75" customHeight="1" s="51"/>
    <row r="145" ht="15.75" customHeight="1" s="51"/>
    <row r="146" ht="15.75" customHeight="1" s="51"/>
    <row r="147" ht="15.75" customHeight="1" s="51"/>
    <row r="148" ht="15.75" customHeight="1" s="51"/>
    <row r="149" ht="15.75" customHeight="1" s="51"/>
    <row r="150" ht="15.75" customHeight="1" s="51"/>
    <row r="151" ht="15.75" customHeight="1" s="51"/>
    <row r="152" ht="15.75" customHeight="1" s="51"/>
    <row r="153" ht="15.75" customHeight="1" s="51"/>
    <row r="154" ht="15.75" customHeight="1" s="51"/>
    <row r="155" ht="15.75" customHeight="1" s="51"/>
    <row r="156" ht="15.75" customHeight="1" s="51"/>
    <row r="157" ht="15.75" customHeight="1" s="51"/>
    <row r="158" ht="15.75" customHeight="1" s="51"/>
    <row r="159" ht="15.75" customHeight="1" s="51"/>
    <row r="160" ht="15.75" customHeight="1" s="51"/>
    <row r="161" ht="15.75" customHeight="1" s="51"/>
    <row r="162" ht="15.75" customHeight="1" s="51"/>
    <row r="163" ht="15.75" customHeight="1" s="51"/>
    <row r="164" ht="15.75" customHeight="1" s="51"/>
    <row r="165" ht="15.75" customHeight="1" s="51"/>
    <row r="166" ht="15.75" customHeight="1" s="51"/>
    <row r="167" ht="15.75" customHeight="1" s="51"/>
    <row r="168" ht="15.75" customHeight="1" s="51"/>
    <row r="169" ht="15.75" customHeight="1" s="51"/>
    <row r="170" ht="15.75" customHeight="1" s="51"/>
    <row r="171" ht="15.75" customHeight="1" s="51"/>
    <row r="172" ht="15.75" customHeight="1" s="51"/>
    <row r="173" ht="15.75" customHeight="1" s="51"/>
    <row r="174" ht="15.75" customHeight="1" s="51"/>
    <row r="175" ht="15.75" customHeight="1" s="51"/>
    <row r="176" ht="15.75" customHeight="1" s="51"/>
    <row r="177" ht="15.75" customHeight="1" s="51"/>
    <row r="178" ht="15.75" customHeight="1" s="51"/>
    <row r="179" ht="15.75" customHeight="1" s="51"/>
    <row r="180" ht="15.75" customHeight="1" s="51"/>
    <row r="181" ht="15.75" customHeight="1" s="51"/>
    <row r="182" ht="15.75" customHeight="1" s="51"/>
    <row r="183" ht="15.75" customHeight="1" s="51"/>
    <row r="184" ht="15.75" customHeight="1" s="51"/>
    <row r="185" ht="15.75" customHeight="1" s="51"/>
    <row r="186" ht="15.75" customHeight="1" s="51"/>
    <row r="187" ht="15.75" customHeight="1" s="51"/>
    <row r="188" ht="15.75" customHeight="1" s="51"/>
    <row r="189" ht="15.75" customHeight="1" s="51"/>
    <row r="190" ht="15.75" customHeight="1" s="51"/>
    <row r="191" ht="15.75" customHeight="1" s="51"/>
    <row r="192" ht="15.75" customHeight="1" s="51"/>
    <row r="193" ht="15.75" customHeight="1" s="51"/>
    <row r="194" ht="15.75" customHeight="1" s="51"/>
    <row r="195" ht="15.75" customHeight="1" s="51"/>
    <row r="196" ht="15.75" customHeight="1" s="51"/>
    <row r="197" ht="15.75" customHeight="1" s="51"/>
    <row r="198" ht="15.75" customHeight="1" s="51"/>
    <row r="199" ht="15.75" customHeight="1" s="51"/>
    <row r="200" ht="15.75" customHeight="1" s="51"/>
    <row r="201" ht="15.75" customHeight="1" s="51"/>
    <row r="202" ht="15.75" customHeight="1" s="51"/>
    <row r="203" ht="15.75" customHeight="1" s="51"/>
    <row r="204" ht="15.75" customHeight="1" s="51"/>
    <row r="205" ht="15.75" customHeight="1" s="51"/>
    <row r="206" ht="15.75" customHeight="1" s="51"/>
    <row r="207" ht="15.75" customHeight="1" s="51"/>
    <row r="208" ht="15.75" customHeight="1" s="51"/>
    <row r="209" ht="15.75" customHeight="1" s="51"/>
    <row r="210" ht="15.75" customHeight="1" s="51"/>
    <row r="211" ht="15.75" customHeight="1" s="51"/>
    <row r="212" ht="15.75" customHeight="1" s="51"/>
    <row r="213" ht="15.75" customHeight="1" s="51"/>
    <row r="214" ht="15.75" customHeight="1" s="51"/>
    <row r="215" ht="15.75" customHeight="1" s="51"/>
    <row r="216" ht="15.75" customHeight="1" s="51"/>
    <row r="217" ht="15.75" customHeight="1" s="51"/>
    <row r="218" ht="15.75" customHeight="1" s="51"/>
    <row r="219" ht="15.75" customHeight="1" s="51"/>
    <row r="220" ht="15.75" customHeight="1" s="51"/>
    <row r="221" ht="15.75" customHeight="1" s="51"/>
    <row r="222" ht="15.75" customHeight="1" s="51"/>
    <row r="223" ht="15.75" customHeight="1" s="51"/>
    <row r="224" ht="15.75" customHeight="1" s="51"/>
    <row r="225" ht="15.75" customHeight="1" s="51"/>
    <row r="226" ht="15.75" customHeight="1" s="51"/>
    <row r="227" ht="15.75" customHeight="1" s="51"/>
    <row r="228" ht="15.75" customHeight="1" s="51"/>
    <row r="229" ht="15.75" customHeight="1" s="51"/>
    <row r="230" ht="15.75" customHeight="1" s="51"/>
    <row r="231" ht="15.75" customHeight="1" s="51"/>
    <row r="232" ht="15.75" customHeight="1" s="51"/>
    <row r="233" ht="15.75" customHeight="1" s="51"/>
    <row r="234" ht="15.75" customHeight="1" s="51"/>
    <row r="235" ht="15.75" customHeight="1" s="51"/>
    <row r="236" ht="15.75" customHeight="1" s="51"/>
    <row r="237" ht="15.75" customHeight="1" s="51"/>
    <row r="238" ht="15.75" customHeight="1" s="51"/>
    <row r="239" ht="15.75" customHeight="1" s="51"/>
    <row r="240" ht="15.75" customHeight="1" s="51"/>
    <row r="241" ht="15.75" customHeight="1" s="51"/>
    <row r="242" ht="15.75" customHeight="1" s="51"/>
    <row r="243" ht="15.75" customHeight="1" s="51"/>
    <row r="244" ht="15.75" customHeight="1" s="51"/>
    <row r="245" ht="15.75" customHeight="1" s="51"/>
    <row r="246" ht="15.75" customHeight="1" s="51"/>
    <row r="247" ht="15.75" customHeight="1" s="51"/>
    <row r="248" ht="15.75" customHeight="1" s="51"/>
    <row r="249" ht="15.75" customHeight="1" s="51"/>
    <row r="250" ht="15.75" customHeight="1" s="51"/>
    <row r="251" ht="15.75" customHeight="1" s="51"/>
    <row r="252" ht="15.75" customHeight="1" s="51"/>
    <row r="253" ht="15.75" customHeight="1" s="51"/>
    <row r="254" ht="15.75" customHeight="1" s="51"/>
    <row r="255" ht="15.75" customHeight="1" s="51"/>
    <row r="256" ht="15.75" customHeight="1" s="51"/>
    <row r="257" ht="15.75" customHeight="1" s="51"/>
    <row r="258" ht="15.75" customHeight="1" s="51"/>
    <row r="259" ht="15.75" customHeight="1" s="51"/>
    <row r="260" ht="15.75" customHeight="1" s="51"/>
    <row r="261" ht="15.75" customHeight="1" s="51"/>
    <row r="262" ht="15.75" customHeight="1" s="51"/>
    <row r="263" ht="15.75" customHeight="1" s="51"/>
    <row r="264" ht="15.75" customHeight="1" s="51"/>
    <row r="265" ht="15.75" customHeight="1" s="51"/>
    <row r="266" ht="15.75" customHeight="1" s="51"/>
    <row r="267" ht="15.75" customHeight="1" s="51"/>
    <row r="268" ht="15.75" customHeight="1" s="51"/>
    <row r="269" ht="15.75" customHeight="1" s="51"/>
    <row r="270" ht="15.75" customHeight="1" s="51"/>
    <row r="271" ht="15.75" customHeight="1" s="51"/>
    <row r="272" ht="15.75" customHeight="1" s="51"/>
    <row r="273" ht="15.75" customHeight="1" s="51"/>
    <row r="274" ht="15.75" customHeight="1" s="51"/>
    <row r="275" ht="15.75" customHeight="1" s="51"/>
    <row r="276" ht="15.75" customHeight="1" s="51"/>
    <row r="277" ht="15.75" customHeight="1" s="51"/>
    <row r="278" ht="15.75" customHeight="1" s="51"/>
    <row r="279" ht="15.75" customHeight="1" s="51"/>
    <row r="280" ht="15.75" customHeight="1" s="51"/>
    <row r="281" ht="15.75" customHeight="1" s="51"/>
    <row r="282" ht="15.75" customHeight="1" s="51"/>
    <row r="283" ht="15.75" customHeight="1" s="51"/>
    <row r="284" ht="15.75" customHeight="1" s="51"/>
    <row r="285" ht="15.75" customHeight="1" s="51"/>
    <row r="286" ht="15.75" customHeight="1" s="51"/>
    <row r="287" ht="15.75" customHeight="1" s="51"/>
    <row r="288" ht="15.75" customHeight="1" s="51"/>
    <row r="289" ht="15.75" customHeight="1" s="51"/>
    <row r="290" ht="15.75" customHeight="1" s="51"/>
    <row r="291" ht="15.75" customHeight="1" s="51"/>
    <row r="292" ht="15.75" customHeight="1" s="51"/>
    <row r="293" ht="15.75" customHeight="1" s="51"/>
    <row r="294" ht="15.75" customHeight="1" s="51"/>
    <row r="295" ht="15.75" customHeight="1" s="51"/>
    <row r="296" ht="15.75" customHeight="1" s="51"/>
    <row r="297" ht="15.75" customHeight="1" s="51"/>
    <row r="298" ht="15.75" customHeight="1" s="51"/>
    <row r="299" ht="15.75" customHeight="1" s="51"/>
    <row r="300" ht="15.75" customHeight="1" s="51"/>
    <row r="301" ht="15.75" customHeight="1" s="51"/>
    <row r="302" ht="15.75" customHeight="1" s="51"/>
    <row r="303" ht="15.75" customHeight="1" s="51"/>
    <row r="304" ht="15.75" customHeight="1" s="51"/>
    <row r="305" ht="15.75" customHeight="1" s="51"/>
    <row r="306" ht="15.75" customHeight="1" s="51"/>
    <row r="307" ht="15.75" customHeight="1" s="51"/>
    <row r="308" ht="15.75" customHeight="1" s="51"/>
    <row r="309" ht="15.75" customHeight="1" s="51"/>
    <row r="310" ht="15.75" customHeight="1" s="51"/>
    <row r="311" ht="15.75" customHeight="1" s="51"/>
    <row r="312" ht="15.75" customHeight="1" s="51"/>
    <row r="313" ht="15.75" customHeight="1" s="51"/>
    <row r="314" ht="15.75" customHeight="1" s="51"/>
    <row r="315" ht="15.75" customHeight="1" s="51"/>
    <row r="316" ht="15.75" customHeight="1" s="51"/>
    <row r="317" ht="15.75" customHeight="1" s="51"/>
    <row r="318" ht="15.75" customHeight="1" s="51"/>
    <row r="319" ht="15.75" customHeight="1" s="51"/>
    <row r="320" ht="15.75" customHeight="1" s="51"/>
    <row r="321" ht="15.75" customHeight="1" s="51"/>
    <row r="322" ht="15.75" customHeight="1" s="51"/>
    <row r="323" ht="15.75" customHeight="1" s="51"/>
    <row r="324" ht="15.75" customHeight="1" s="51"/>
    <row r="325" ht="15.75" customHeight="1" s="51"/>
    <row r="326" ht="15.75" customHeight="1" s="51"/>
    <row r="327" ht="15.75" customHeight="1" s="51"/>
    <row r="328" ht="15.75" customHeight="1" s="51"/>
    <row r="329" ht="15.75" customHeight="1" s="51"/>
    <row r="330" ht="15.75" customHeight="1" s="51"/>
    <row r="331" ht="15.75" customHeight="1" s="51"/>
    <row r="332" ht="15.75" customHeight="1" s="51"/>
    <row r="333" ht="15.75" customHeight="1" s="51"/>
    <row r="334" ht="15.75" customHeight="1" s="51"/>
    <row r="335" ht="15.75" customHeight="1" s="51"/>
    <row r="336" ht="15.75" customHeight="1" s="51"/>
    <row r="337" ht="15.75" customHeight="1" s="51"/>
    <row r="338" ht="15.75" customHeight="1" s="51"/>
    <row r="339" ht="15.75" customHeight="1" s="51"/>
    <row r="340" ht="15.75" customHeight="1" s="51"/>
    <row r="341" ht="15.75" customHeight="1" s="51"/>
    <row r="342" ht="15.75" customHeight="1" s="51"/>
    <row r="343" ht="15.75" customHeight="1" s="51"/>
    <row r="344" ht="15.75" customHeight="1" s="51"/>
    <row r="345" ht="15.75" customHeight="1" s="51"/>
    <row r="346" ht="15.75" customHeight="1" s="51"/>
    <row r="347" ht="15.75" customHeight="1" s="51"/>
    <row r="348" ht="15.75" customHeight="1" s="51"/>
    <row r="349" ht="15.75" customHeight="1" s="51"/>
    <row r="350" ht="15.75" customHeight="1" s="51"/>
    <row r="351" ht="15.75" customHeight="1" s="51"/>
    <row r="352" ht="15.75" customHeight="1" s="51"/>
    <row r="353" ht="15.75" customHeight="1" s="51"/>
    <row r="354" ht="15.75" customHeight="1" s="51"/>
    <row r="355" ht="15.75" customHeight="1" s="51"/>
    <row r="356" ht="15.75" customHeight="1" s="51"/>
    <row r="357" ht="15.75" customHeight="1" s="51"/>
    <row r="358" ht="15.75" customHeight="1" s="51"/>
    <row r="359" ht="15.75" customHeight="1" s="51"/>
    <row r="360" ht="15.75" customHeight="1" s="51"/>
    <row r="361" ht="15.75" customHeight="1" s="51"/>
    <row r="362" ht="15.75" customHeight="1" s="51"/>
    <row r="363" ht="15.75" customHeight="1" s="51"/>
    <row r="364" ht="15.75" customHeight="1" s="51"/>
    <row r="365" ht="15.75" customHeight="1" s="51"/>
    <row r="366" ht="15.75" customHeight="1" s="51"/>
    <row r="367" ht="15.75" customHeight="1" s="51"/>
    <row r="368" ht="15.75" customHeight="1" s="51"/>
    <row r="369" ht="15.75" customHeight="1" s="51"/>
    <row r="370" ht="15.75" customHeight="1" s="51"/>
    <row r="371" ht="15.75" customHeight="1" s="51"/>
    <row r="372" ht="15.75" customHeight="1" s="51"/>
    <row r="373" ht="15.75" customHeight="1" s="51"/>
    <row r="374" ht="15.75" customHeight="1" s="51"/>
    <row r="375" ht="15.75" customHeight="1" s="51"/>
    <row r="376" ht="15.75" customHeight="1" s="51"/>
    <row r="377" ht="15.75" customHeight="1" s="51"/>
    <row r="378" ht="15.75" customHeight="1" s="51"/>
    <row r="379" ht="15.75" customHeight="1" s="51"/>
    <row r="380" ht="15.75" customHeight="1" s="51"/>
    <row r="381" ht="15.75" customHeight="1" s="51"/>
    <row r="382" ht="15.75" customHeight="1" s="51"/>
    <row r="383" ht="15.75" customHeight="1" s="51"/>
    <row r="384" ht="15.75" customHeight="1" s="51"/>
    <row r="385" ht="15.75" customHeight="1" s="51"/>
    <row r="386" ht="15.75" customHeight="1" s="51"/>
    <row r="387" ht="15.75" customHeight="1" s="51"/>
    <row r="388" ht="15.75" customHeight="1" s="51"/>
    <row r="389" ht="15.75" customHeight="1" s="51"/>
    <row r="390" ht="15.75" customHeight="1" s="51"/>
    <row r="391" ht="15.75" customHeight="1" s="51"/>
    <row r="392" ht="15.75" customHeight="1" s="51"/>
    <row r="393" ht="15.75" customHeight="1" s="51"/>
    <row r="394" ht="15.75" customHeight="1" s="51"/>
    <row r="395" ht="15.75" customHeight="1" s="51"/>
    <row r="396" ht="15.75" customHeight="1" s="51"/>
    <row r="397" ht="15.75" customHeight="1" s="51"/>
    <row r="398" ht="15.75" customHeight="1" s="51"/>
    <row r="399" ht="15.75" customHeight="1" s="51"/>
    <row r="400" ht="15.75" customHeight="1" s="51"/>
    <row r="401" ht="15.75" customHeight="1" s="51"/>
    <row r="402" ht="15.75" customHeight="1" s="51"/>
    <row r="403" ht="15.75" customHeight="1" s="51"/>
    <row r="404" ht="15.75" customHeight="1" s="51"/>
    <row r="405" ht="15.75" customHeight="1" s="51"/>
    <row r="406" ht="15.75" customHeight="1" s="51"/>
    <row r="407" ht="15.75" customHeight="1" s="51"/>
    <row r="408" ht="15.75" customHeight="1" s="51"/>
    <row r="409" ht="15.75" customHeight="1" s="51"/>
    <row r="410" ht="15.75" customHeight="1" s="51"/>
    <row r="411" ht="15.75" customHeight="1" s="51"/>
    <row r="412" ht="15.75" customHeight="1" s="51"/>
    <row r="413" ht="15.75" customHeight="1" s="51"/>
    <row r="414" ht="15.75" customHeight="1" s="51"/>
    <row r="415" ht="15.75" customHeight="1" s="51"/>
    <row r="416" ht="15.75" customHeight="1" s="51"/>
    <row r="417" ht="15.75" customHeight="1" s="51"/>
    <row r="418" ht="15.75" customHeight="1" s="51"/>
    <row r="419" ht="15.75" customHeight="1" s="51"/>
    <row r="420" ht="15.75" customHeight="1" s="51"/>
    <row r="421" ht="15.75" customHeight="1" s="51"/>
    <row r="422" ht="15.75" customHeight="1" s="51"/>
    <row r="423" ht="15.75" customHeight="1" s="51"/>
    <row r="424" ht="15.75" customHeight="1" s="51"/>
    <row r="425" ht="15.75" customHeight="1" s="51"/>
    <row r="426" ht="15.75" customHeight="1" s="51"/>
    <row r="427" ht="15.75" customHeight="1" s="51"/>
    <row r="428" ht="15.75" customHeight="1" s="51"/>
    <row r="429" ht="15.75" customHeight="1" s="51"/>
    <row r="430" ht="15.75" customHeight="1" s="51"/>
    <row r="431" ht="15.75" customHeight="1" s="51"/>
    <row r="432" ht="15.75" customHeight="1" s="51"/>
    <row r="433" ht="15.75" customHeight="1" s="51"/>
    <row r="434" ht="15.75" customHeight="1" s="51"/>
    <row r="435" ht="15.75" customHeight="1" s="51"/>
    <row r="436" ht="15.75" customHeight="1" s="51"/>
    <row r="437" ht="15.75" customHeight="1" s="51"/>
    <row r="438" ht="15.75" customHeight="1" s="51"/>
    <row r="439" ht="15.75" customHeight="1" s="51"/>
    <row r="440" ht="15.75" customHeight="1" s="51"/>
    <row r="441" ht="15.75" customHeight="1" s="51"/>
    <row r="442" ht="15.75" customHeight="1" s="51"/>
    <row r="443" ht="15.75" customHeight="1" s="51"/>
    <row r="444" ht="15.75" customHeight="1" s="51"/>
    <row r="445" ht="15.75" customHeight="1" s="51"/>
    <row r="446" ht="15.75" customHeight="1" s="51"/>
    <row r="447" ht="15.75" customHeight="1" s="51"/>
    <row r="448" ht="15.75" customHeight="1" s="51"/>
    <row r="449" ht="15.75" customHeight="1" s="51"/>
    <row r="450" ht="15.75" customHeight="1" s="51"/>
    <row r="451" ht="15.75" customHeight="1" s="51"/>
    <row r="452" ht="15.75" customHeight="1" s="51"/>
    <row r="453" ht="15.75" customHeight="1" s="51"/>
    <row r="454" ht="15.75" customHeight="1" s="51"/>
    <row r="455" ht="15.75" customHeight="1" s="51"/>
    <row r="456" ht="15.75" customHeight="1" s="51"/>
    <row r="457" ht="15.75" customHeight="1" s="51"/>
    <row r="458" ht="15.75" customHeight="1" s="51"/>
    <row r="459" ht="15.75" customHeight="1" s="51"/>
    <row r="460" ht="15.75" customHeight="1" s="51"/>
    <row r="461" ht="15.75" customHeight="1" s="51"/>
    <row r="462" ht="15.75" customHeight="1" s="51"/>
    <row r="463" ht="15.75" customHeight="1" s="51"/>
    <row r="464" ht="15.75" customHeight="1" s="51"/>
    <row r="465" ht="15.75" customHeight="1" s="51"/>
    <row r="466" ht="15.75" customHeight="1" s="51"/>
    <row r="467" ht="15.75" customHeight="1" s="51"/>
    <row r="468" ht="15.75" customHeight="1" s="51"/>
    <row r="469" ht="15.75" customHeight="1" s="51"/>
    <row r="470" ht="15.75" customHeight="1" s="51"/>
    <row r="471" ht="15.75" customHeight="1" s="51"/>
    <row r="472" ht="15.75" customHeight="1" s="51"/>
    <row r="473" ht="15.75" customHeight="1" s="51"/>
    <row r="474" ht="15.75" customHeight="1" s="51"/>
    <row r="475" ht="15.75" customHeight="1" s="51"/>
    <row r="476" ht="15.75" customHeight="1" s="51"/>
    <row r="477" ht="15.75" customHeight="1" s="51"/>
    <row r="478" ht="15.75" customHeight="1" s="51"/>
    <row r="479" ht="15.75" customHeight="1" s="51"/>
    <row r="480" ht="15.75" customHeight="1" s="51"/>
    <row r="481" ht="15.75" customHeight="1" s="51"/>
    <row r="482" ht="15.75" customHeight="1" s="51"/>
    <row r="483" ht="15.75" customHeight="1" s="51"/>
    <row r="484" ht="15.75" customHeight="1" s="51"/>
    <row r="485" ht="15.75" customHeight="1" s="51"/>
    <row r="486" ht="15.75" customHeight="1" s="51"/>
    <row r="487" ht="15.75" customHeight="1" s="51"/>
    <row r="488" ht="15.75" customHeight="1" s="51"/>
    <row r="489" ht="15.75" customHeight="1" s="51"/>
    <row r="490" ht="15.75" customHeight="1" s="51"/>
    <row r="491" ht="15.75" customHeight="1" s="51"/>
    <row r="492" ht="15.75" customHeight="1" s="51"/>
    <row r="493" ht="15.75" customHeight="1" s="51"/>
    <row r="494" ht="15.75" customHeight="1" s="51"/>
    <row r="495" ht="15.75" customHeight="1" s="51"/>
    <row r="496" ht="15.75" customHeight="1" s="51"/>
    <row r="497" ht="15.75" customHeight="1" s="51"/>
    <row r="498" ht="15.75" customHeight="1" s="51"/>
    <row r="499" ht="15.75" customHeight="1" s="51"/>
    <row r="500" ht="15.75" customHeight="1" s="51"/>
    <row r="501" ht="15.75" customHeight="1" s="51"/>
    <row r="502" ht="15.75" customHeight="1" s="51"/>
    <row r="503" ht="15.75" customHeight="1" s="51"/>
    <row r="504" ht="15.75" customHeight="1" s="51"/>
    <row r="505" ht="15.75" customHeight="1" s="51"/>
    <row r="506" ht="15.75" customHeight="1" s="51"/>
    <row r="507" ht="15.75" customHeight="1" s="51"/>
    <row r="508" ht="15.75" customHeight="1" s="51"/>
    <row r="509" ht="15.75" customHeight="1" s="51"/>
    <row r="510" ht="15.75" customHeight="1" s="51"/>
    <row r="511" ht="15.75" customHeight="1" s="51"/>
    <row r="512" ht="15.75" customHeight="1" s="51"/>
    <row r="513" ht="15.75" customHeight="1" s="51"/>
    <row r="514" ht="15.75" customHeight="1" s="51"/>
    <row r="515" ht="15.75" customHeight="1" s="51"/>
    <row r="516" ht="15.75" customHeight="1" s="51"/>
    <row r="517" ht="15.75" customHeight="1" s="51"/>
    <row r="518" ht="15.75" customHeight="1" s="51"/>
    <row r="519" ht="15.75" customHeight="1" s="51"/>
    <row r="520" ht="15.75" customHeight="1" s="51"/>
    <row r="521" ht="15.75" customHeight="1" s="51"/>
    <row r="522" ht="15.75" customHeight="1" s="51"/>
    <row r="523" ht="15.75" customHeight="1" s="51"/>
    <row r="524" ht="15.75" customHeight="1" s="51"/>
    <row r="525" ht="15.75" customHeight="1" s="51"/>
    <row r="526" ht="15.75" customHeight="1" s="51"/>
    <row r="527" ht="15.75" customHeight="1" s="51"/>
    <row r="528" ht="15.75" customHeight="1" s="51"/>
    <row r="529" ht="15.75" customHeight="1" s="51"/>
    <row r="530" ht="15.75" customHeight="1" s="51"/>
    <row r="531" ht="15.75" customHeight="1" s="51"/>
    <row r="532" ht="15.75" customHeight="1" s="51"/>
    <row r="533" ht="15.75" customHeight="1" s="51"/>
    <row r="534" ht="15.75" customHeight="1" s="51"/>
    <row r="535" ht="15.75" customHeight="1" s="51"/>
    <row r="536" ht="15.75" customHeight="1" s="51"/>
    <row r="537" ht="15.75" customHeight="1" s="51"/>
    <row r="538" ht="15.75" customHeight="1" s="51"/>
    <row r="539" ht="15.75" customHeight="1" s="51"/>
    <row r="540" ht="15.75" customHeight="1" s="51"/>
    <row r="541" ht="15.75" customHeight="1" s="51"/>
    <row r="542" ht="15.75" customHeight="1" s="51"/>
    <row r="543" ht="15.75" customHeight="1" s="51"/>
    <row r="544" ht="15.75" customHeight="1" s="51"/>
    <row r="545" ht="15.75" customHeight="1" s="51"/>
    <row r="546" ht="15.75" customHeight="1" s="51"/>
    <row r="547" ht="15.75" customHeight="1" s="51"/>
    <row r="548" ht="15.75" customHeight="1" s="51"/>
    <row r="549" ht="15.75" customHeight="1" s="51"/>
    <row r="550" ht="15.75" customHeight="1" s="51"/>
    <row r="551" ht="15.75" customHeight="1" s="51"/>
    <row r="552" ht="15.75" customHeight="1" s="51"/>
    <row r="553" ht="15.75" customHeight="1" s="51"/>
    <row r="554" ht="15.75" customHeight="1" s="51"/>
    <row r="555" ht="15.75" customHeight="1" s="51"/>
    <row r="556" ht="15.75" customHeight="1" s="51"/>
    <row r="557" ht="15.75" customHeight="1" s="51"/>
    <row r="558" ht="15.75" customHeight="1" s="51"/>
    <row r="559" ht="15.75" customHeight="1" s="51"/>
    <row r="560" ht="15.75" customHeight="1" s="51"/>
    <row r="561" ht="15.75" customHeight="1" s="51"/>
    <row r="562" ht="15.75" customHeight="1" s="51"/>
    <row r="563" ht="15.75" customHeight="1" s="51"/>
    <row r="564" ht="15.75" customHeight="1" s="51"/>
    <row r="565" ht="15.75" customHeight="1" s="51"/>
    <row r="566" ht="15.75" customHeight="1" s="51"/>
    <row r="567" ht="15.75" customHeight="1" s="51"/>
    <row r="568" ht="15.75" customHeight="1" s="51"/>
    <row r="569" ht="15.75" customHeight="1" s="51"/>
    <row r="570" ht="15.75" customHeight="1" s="51"/>
    <row r="571" ht="15.75" customHeight="1" s="51"/>
    <row r="572" ht="15.75" customHeight="1" s="51"/>
    <row r="573" ht="15.75" customHeight="1" s="51"/>
    <row r="574" ht="15.75" customHeight="1" s="51"/>
    <row r="575" ht="15.75" customHeight="1" s="51"/>
    <row r="576" ht="15.75" customHeight="1" s="51"/>
    <row r="577" ht="15.75" customHeight="1" s="51"/>
    <row r="578" ht="15.75" customHeight="1" s="51"/>
    <row r="579" ht="15.75" customHeight="1" s="51"/>
    <row r="580" ht="15.75" customHeight="1" s="51"/>
    <row r="581" ht="15.75" customHeight="1" s="51"/>
    <row r="582" ht="15.75" customHeight="1" s="51"/>
    <row r="583" ht="15.75" customHeight="1" s="51"/>
    <row r="584" ht="15.75" customHeight="1" s="51"/>
    <row r="585" ht="15.75" customHeight="1" s="51"/>
    <row r="586" ht="15.75" customHeight="1" s="51"/>
    <row r="587" ht="15.75" customHeight="1" s="51"/>
    <row r="588" ht="15.75" customHeight="1" s="51"/>
    <row r="589" ht="15.75" customHeight="1" s="51"/>
    <row r="590" ht="15.75" customHeight="1" s="51"/>
    <row r="591" ht="15.75" customHeight="1" s="51"/>
    <row r="592" ht="15.75" customHeight="1" s="51"/>
    <row r="593" ht="15.75" customHeight="1" s="51"/>
    <row r="594" ht="15.75" customHeight="1" s="51"/>
    <row r="595" ht="15.75" customHeight="1" s="51"/>
    <row r="596" ht="15.75" customHeight="1" s="51"/>
    <row r="597" ht="15.75" customHeight="1" s="51"/>
    <row r="598" ht="15.75" customHeight="1" s="51"/>
    <row r="599" ht="15.75" customHeight="1" s="51"/>
    <row r="600" ht="15.75" customHeight="1" s="51"/>
    <row r="601" ht="15.75" customHeight="1" s="51"/>
    <row r="602" ht="15.75" customHeight="1" s="51"/>
    <row r="603" ht="15.75" customHeight="1" s="51"/>
    <row r="604" ht="15.75" customHeight="1" s="51"/>
    <row r="605" ht="15.75" customHeight="1" s="51"/>
    <row r="606" ht="15.75" customHeight="1" s="51"/>
    <row r="607" ht="15.75" customHeight="1" s="51"/>
    <row r="608" ht="15.75" customHeight="1" s="51"/>
    <row r="609" ht="15.75" customHeight="1" s="51"/>
    <row r="610" ht="15.75" customHeight="1" s="51"/>
    <row r="611" ht="15.75" customHeight="1" s="51"/>
    <row r="612" ht="15.75" customHeight="1" s="51"/>
    <row r="613" ht="15.75" customHeight="1" s="51"/>
    <row r="614" ht="15.75" customHeight="1" s="51"/>
    <row r="615" ht="15.75" customHeight="1" s="51"/>
    <row r="616" ht="15.75" customHeight="1" s="51"/>
    <row r="617" ht="15.75" customHeight="1" s="51"/>
    <row r="618" ht="15.75" customHeight="1" s="51"/>
    <row r="619" ht="15.75" customHeight="1" s="51"/>
    <row r="620" ht="15.75" customHeight="1" s="51"/>
    <row r="621" ht="15.75" customHeight="1" s="51"/>
    <row r="622" ht="15.75" customHeight="1" s="51"/>
    <row r="623" ht="15.75" customHeight="1" s="51"/>
    <row r="624" ht="15.75" customHeight="1" s="51"/>
    <row r="625" ht="15.75" customHeight="1" s="51"/>
    <row r="626" ht="15.75" customHeight="1" s="51"/>
    <row r="627" ht="15.75" customHeight="1" s="51"/>
    <row r="628" ht="15.75" customHeight="1" s="51"/>
    <row r="629" ht="15.75" customHeight="1" s="51"/>
    <row r="630" ht="15.75" customHeight="1" s="51"/>
    <row r="631" ht="15.75" customHeight="1" s="51"/>
    <row r="632" ht="15.75" customHeight="1" s="51"/>
    <row r="633" ht="15.75" customHeight="1" s="51"/>
    <row r="634" ht="15.75" customHeight="1" s="51"/>
    <row r="635" ht="15.75" customHeight="1" s="51"/>
    <row r="636" ht="15.75" customHeight="1" s="51"/>
    <row r="637" ht="15.75" customHeight="1" s="51"/>
    <row r="638" ht="15.75" customHeight="1" s="51"/>
    <row r="639" ht="15.75" customHeight="1" s="51"/>
    <row r="640" ht="15.75" customHeight="1" s="51"/>
    <row r="641" ht="15.75" customHeight="1" s="51"/>
    <row r="642" ht="15.75" customHeight="1" s="51"/>
    <row r="643" ht="15.75" customHeight="1" s="51"/>
    <row r="644" ht="15.75" customHeight="1" s="51"/>
    <row r="645" ht="15.75" customHeight="1" s="51"/>
    <row r="646" ht="15.75" customHeight="1" s="51"/>
    <row r="647" ht="15.75" customHeight="1" s="51"/>
    <row r="648" ht="15.75" customHeight="1" s="51"/>
    <row r="649" ht="15.75" customHeight="1" s="51"/>
    <row r="650" ht="15.75" customHeight="1" s="51"/>
    <row r="651" ht="15.75" customHeight="1" s="51"/>
    <row r="652" ht="15.75" customHeight="1" s="51"/>
    <row r="653" ht="15.75" customHeight="1" s="51"/>
    <row r="654" ht="15.75" customHeight="1" s="51"/>
    <row r="655" ht="15.75" customHeight="1" s="51"/>
    <row r="656" ht="15.75" customHeight="1" s="51"/>
    <row r="657" ht="15.75" customHeight="1" s="51"/>
    <row r="658" ht="15.75" customHeight="1" s="51"/>
    <row r="659" ht="15.75" customHeight="1" s="51"/>
    <row r="660" ht="15.75" customHeight="1" s="51"/>
    <row r="661" ht="15.75" customHeight="1" s="51"/>
    <row r="662" ht="15.75" customHeight="1" s="51"/>
    <row r="663" ht="15.75" customHeight="1" s="51"/>
    <row r="664" ht="15.75" customHeight="1" s="51"/>
    <row r="665" ht="15.75" customHeight="1" s="51"/>
    <row r="666" ht="15.75" customHeight="1" s="51"/>
    <row r="667" ht="15.75" customHeight="1" s="51"/>
    <row r="668" ht="15.75" customHeight="1" s="51"/>
    <row r="669" ht="15.75" customHeight="1" s="51"/>
    <row r="670" ht="15.75" customHeight="1" s="51"/>
    <row r="671" ht="15.75" customHeight="1" s="51"/>
    <row r="672" ht="15.75" customHeight="1" s="51"/>
    <row r="673" ht="15.75" customHeight="1" s="51"/>
    <row r="674" ht="15.75" customHeight="1" s="51"/>
    <row r="675" ht="15.75" customHeight="1" s="51"/>
    <row r="676" ht="15.75" customHeight="1" s="51"/>
    <row r="677" ht="15.75" customHeight="1" s="51"/>
    <row r="678" ht="15.75" customHeight="1" s="51"/>
    <row r="679" ht="15.75" customHeight="1" s="51"/>
    <row r="680" ht="15.75" customHeight="1" s="51"/>
    <row r="681" ht="15.75" customHeight="1" s="51"/>
    <row r="682" ht="15.75" customHeight="1" s="51"/>
    <row r="683" ht="15.75" customHeight="1" s="51"/>
    <row r="684" ht="15.75" customHeight="1" s="51"/>
    <row r="685" ht="15.75" customHeight="1" s="51"/>
    <row r="686" ht="15.75" customHeight="1" s="51"/>
    <row r="687" ht="15.75" customHeight="1" s="51"/>
    <row r="688" ht="15.75" customHeight="1" s="51"/>
    <row r="689" ht="15.75" customHeight="1" s="51"/>
    <row r="690" ht="15.75" customHeight="1" s="51"/>
    <row r="691" ht="15.75" customHeight="1" s="51"/>
    <row r="692" ht="15.75" customHeight="1" s="51"/>
    <row r="693" ht="15.75" customHeight="1" s="51"/>
    <row r="694" ht="15.75" customHeight="1" s="51"/>
    <row r="695" ht="15.75" customHeight="1" s="51"/>
    <row r="696" ht="15.75" customHeight="1" s="51"/>
    <row r="697" ht="15.75" customHeight="1" s="51"/>
    <row r="698" ht="15.75" customHeight="1" s="51"/>
    <row r="699" ht="15.75" customHeight="1" s="51"/>
    <row r="700" ht="15.75" customHeight="1" s="51"/>
    <row r="701" ht="15.75" customHeight="1" s="51"/>
    <row r="702" ht="15.75" customHeight="1" s="51"/>
    <row r="703" ht="15.75" customHeight="1" s="51"/>
    <row r="704" ht="15.75" customHeight="1" s="51"/>
    <row r="705" ht="15.75" customHeight="1" s="51"/>
    <row r="706" ht="15.75" customHeight="1" s="51"/>
    <row r="707" ht="15.75" customHeight="1" s="51"/>
    <row r="708" ht="15.75" customHeight="1" s="51"/>
    <row r="709" ht="15.75" customHeight="1" s="51"/>
    <row r="710" ht="15.75" customHeight="1" s="51"/>
    <row r="711" ht="15.75" customHeight="1" s="51"/>
    <row r="712" ht="15.75" customHeight="1" s="51"/>
    <row r="713" ht="15.75" customHeight="1" s="51"/>
    <row r="714" ht="15.75" customHeight="1" s="51"/>
    <row r="715" ht="15.75" customHeight="1" s="51"/>
    <row r="716" ht="15.75" customHeight="1" s="51"/>
    <row r="717" ht="15.75" customHeight="1" s="51"/>
    <row r="718" ht="15.75" customHeight="1" s="51"/>
    <row r="719" ht="15.75" customHeight="1" s="51"/>
    <row r="720" ht="15.75" customHeight="1" s="51"/>
    <row r="721" ht="15.75" customHeight="1" s="51"/>
    <row r="722" ht="15.75" customHeight="1" s="51"/>
    <row r="723" ht="15.75" customHeight="1" s="51"/>
    <row r="724" ht="15.75" customHeight="1" s="51"/>
    <row r="725" ht="15.75" customHeight="1" s="51"/>
    <row r="726" ht="15.75" customHeight="1" s="51"/>
    <row r="727" ht="15.75" customHeight="1" s="51"/>
    <row r="728" ht="15.75" customHeight="1" s="51"/>
    <row r="729" ht="15.75" customHeight="1" s="51"/>
    <row r="730" ht="15.75" customHeight="1" s="51"/>
    <row r="731" ht="15.75" customHeight="1" s="51"/>
    <row r="732" ht="15.75" customHeight="1" s="51"/>
    <row r="733" ht="15.75" customHeight="1" s="51"/>
    <row r="734" ht="15.75" customHeight="1" s="51"/>
    <row r="735" ht="15.75" customHeight="1" s="51"/>
    <row r="736" ht="15.75" customHeight="1" s="51"/>
    <row r="737" ht="15.75" customHeight="1" s="51"/>
    <row r="738" ht="15.75" customHeight="1" s="51"/>
    <row r="739" ht="15.75" customHeight="1" s="51"/>
    <row r="740" ht="15.75" customHeight="1" s="51"/>
    <row r="741" ht="15.75" customHeight="1" s="51"/>
    <row r="742" ht="15.75" customHeight="1" s="51"/>
    <row r="743" ht="15.75" customHeight="1" s="51"/>
    <row r="744" ht="15.75" customHeight="1" s="51"/>
    <row r="745" ht="15.75" customHeight="1" s="51"/>
    <row r="746" ht="15.75" customHeight="1" s="51"/>
    <row r="747" ht="15.75" customHeight="1" s="51"/>
    <row r="748" ht="15.75" customHeight="1" s="51"/>
    <row r="749" ht="15.75" customHeight="1" s="51"/>
    <row r="750" ht="15.75" customHeight="1" s="51"/>
    <row r="751" ht="15.75" customHeight="1" s="51"/>
    <row r="752" ht="15.75" customHeight="1" s="51"/>
    <row r="753" ht="15.75" customHeight="1" s="51"/>
    <row r="754" ht="15.75" customHeight="1" s="51"/>
    <row r="755" ht="15.75" customHeight="1" s="51"/>
    <row r="756" ht="15.75" customHeight="1" s="51"/>
    <row r="757" ht="15.75" customHeight="1" s="51"/>
    <row r="758" ht="15.75" customHeight="1" s="51"/>
    <row r="759" ht="15.75" customHeight="1" s="51"/>
    <row r="760" ht="15.75" customHeight="1" s="51"/>
    <row r="761" ht="15.75" customHeight="1" s="51"/>
    <row r="762" ht="15.75" customHeight="1" s="51"/>
    <row r="763" ht="15.75" customHeight="1" s="51"/>
    <row r="764" ht="15.75" customHeight="1" s="51"/>
    <row r="765" ht="15.75" customHeight="1" s="51"/>
    <row r="766" ht="15.75" customHeight="1" s="51"/>
    <row r="767" ht="15.75" customHeight="1" s="51"/>
    <row r="768" ht="15.75" customHeight="1" s="51"/>
    <row r="769" ht="15.75" customHeight="1" s="51"/>
    <row r="770" ht="15.75" customHeight="1" s="51"/>
    <row r="771" ht="15.75" customHeight="1" s="51"/>
    <row r="772" ht="15.75" customHeight="1" s="51"/>
    <row r="773" ht="15.75" customHeight="1" s="51"/>
    <row r="774" ht="15.75" customHeight="1" s="51"/>
    <row r="775" ht="15.75" customHeight="1" s="51"/>
    <row r="776" ht="15.75" customHeight="1" s="51"/>
    <row r="777" ht="15.75" customHeight="1" s="51"/>
    <row r="778" ht="15.75" customHeight="1" s="51"/>
    <row r="779" ht="15.75" customHeight="1" s="51"/>
    <row r="780" ht="15.75" customHeight="1" s="51"/>
    <row r="781" ht="15.75" customHeight="1" s="51"/>
    <row r="782" ht="15.75" customHeight="1" s="51"/>
    <row r="783" ht="15.75" customHeight="1" s="51"/>
    <row r="784" ht="15.75" customHeight="1" s="51"/>
    <row r="785" ht="15.75" customHeight="1" s="51"/>
    <row r="786" ht="15.75" customHeight="1" s="51"/>
    <row r="787" ht="15.75" customHeight="1" s="51"/>
    <row r="788" ht="15.75" customHeight="1" s="51"/>
    <row r="789" ht="15.75" customHeight="1" s="51"/>
    <row r="790" ht="15.75" customHeight="1" s="51"/>
    <row r="791" ht="15.75" customHeight="1" s="51"/>
    <row r="792" ht="15.75" customHeight="1" s="51"/>
    <row r="793" ht="15.75" customHeight="1" s="51"/>
    <row r="794" ht="15.75" customHeight="1" s="51"/>
    <row r="795" ht="15.75" customHeight="1" s="51"/>
    <row r="796" ht="15.75" customHeight="1" s="51"/>
    <row r="797" ht="15.75" customHeight="1" s="51"/>
    <row r="798" ht="15.75" customHeight="1" s="51"/>
    <row r="799" ht="15.75" customHeight="1" s="51"/>
    <row r="800" ht="15.75" customHeight="1" s="51"/>
    <row r="801" ht="15.75" customHeight="1" s="51"/>
    <row r="802" ht="15.75" customHeight="1" s="51"/>
    <row r="803" ht="15.75" customHeight="1" s="51"/>
    <row r="804" ht="15.75" customHeight="1" s="51"/>
    <row r="805" ht="15.75" customHeight="1" s="51"/>
    <row r="806" ht="15.75" customHeight="1" s="51"/>
    <row r="807" ht="15.75" customHeight="1" s="51"/>
    <row r="808" ht="15.75" customHeight="1" s="51"/>
    <row r="809" ht="15.75" customHeight="1" s="51"/>
    <row r="810" ht="15.75" customHeight="1" s="51"/>
    <row r="811" ht="15.75" customHeight="1" s="51"/>
    <row r="812" ht="15.75" customHeight="1" s="51"/>
    <row r="813" ht="15.75" customHeight="1" s="51"/>
    <row r="814" ht="15.75" customHeight="1" s="51"/>
    <row r="815" ht="15.75" customHeight="1" s="51"/>
    <row r="816" ht="15.75" customHeight="1" s="51"/>
    <row r="817" ht="15.75" customHeight="1" s="51"/>
    <row r="818" ht="15.75" customHeight="1" s="51"/>
    <row r="819" ht="15.75" customHeight="1" s="51"/>
    <row r="820" ht="15.75" customHeight="1" s="51"/>
    <row r="821" ht="15.75" customHeight="1" s="51"/>
    <row r="822" ht="15.75" customHeight="1" s="51"/>
    <row r="823" ht="15.75" customHeight="1" s="51"/>
    <row r="824" ht="15.75" customHeight="1" s="51"/>
    <row r="825" ht="15.75" customHeight="1" s="51"/>
    <row r="826" ht="15.75" customHeight="1" s="51"/>
    <row r="827" ht="15.75" customHeight="1" s="51"/>
    <row r="828" ht="15.75" customHeight="1" s="51"/>
    <row r="829" ht="15.75" customHeight="1" s="51"/>
    <row r="830" ht="15.75" customHeight="1" s="51"/>
    <row r="831" ht="15.75" customHeight="1" s="51"/>
    <row r="832" ht="15.75" customHeight="1" s="51"/>
    <row r="833" ht="15.75" customHeight="1" s="51"/>
    <row r="834" ht="15.75" customHeight="1" s="51"/>
    <row r="835" ht="15.75" customHeight="1" s="51"/>
    <row r="836" ht="15.75" customHeight="1" s="51"/>
    <row r="837" ht="15.75" customHeight="1" s="51"/>
    <row r="838" ht="15.75" customHeight="1" s="51"/>
    <row r="839" ht="15.75" customHeight="1" s="51"/>
    <row r="840" ht="15.75" customHeight="1" s="51"/>
    <row r="841" ht="15.75" customHeight="1" s="51"/>
    <row r="842" ht="15.75" customHeight="1" s="51"/>
    <row r="843" ht="15.75" customHeight="1" s="51"/>
    <row r="844" ht="15.75" customHeight="1" s="51"/>
    <row r="845" ht="15.75" customHeight="1" s="51"/>
    <row r="846" ht="15.75" customHeight="1" s="51"/>
    <row r="847" ht="15.75" customHeight="1" s="51"/>
    <row r="848" ht="15.75" customHeight="1" s="51"/>
    <row r="849" ht="15.75" customHeight="1" s="51"/>
    <row r="850" ht="15.75" customHeight="1" s="51"/>
    <row r="851" ht="15.75" customHeight="1" s="51"/>
    <row r="852" ht="15.75" customHeight="1" s="51"/>
    <row r="853" ht="15.75" customHeight="1" s="51"/>
    <row r="854" ht="15.75" customHeight="1" s="51"/>
    <row r="855" ht="15.75" customHeight="1" s="51"/>
    <row r="856" ht="15.75" customHeight="1" s="51"/>
    <row r="857" ht="15.75" customHeight="1" s="51"/>
    <row r="858" ht="15.75" customHeight="1" s="51"/>
    <row r="859" ht="15.75" customHeight="1" s="51"/>
    <row r="860" ht="15.75" customHeight="1" s="51"/>
    <row r="861" ht="15.75" customHeight="1" s="51"/>
    <row r="862" ht="15.75" customHeight="1" s="51"/>
    <row r="863" ht="15.75" customHeight="1" s="51"/>
    <row r="864" ht="15.75" customHeight="1" s="51"/>
    <row r="865" ht="15.75" customHeight="1" s="51"/>
    <row r="866" ht="15.75" customHeight="1" s="51"/>
    <row r="867" ht="15.75" customHeight="1" s="51"/>
    <row r="868" ht="15.75" customHeight="1" s="51"/>
    <row r="869" ht="15.75" customHeight="1" s="51"/>
    <row r="870" ht="15.75" customHeight="1" s="51"/>
    <row r="871" ht="15.75" customHeight="1" s="51"/>
    <row r="872" ht="15.75" customHeight="1" s="51"/>
    <row r="873" ht="15.75" customHeight="1" s="51"/>
    <row r="874" ht="15.75" customHeight="1" s="51"/>
    <row r="875" ht="15.75" customHeight="1" s="51"/>
    <row r="876" ht="15.75" customHeight="1" s="51"/>
    <row r="877" ht="15.75" customHeight="1" s="51"/>
    <row r="878" ht="15.75" customHeight="1" s="51"/>
    <row r="879" ht="15.75" customHeight="1" s="51"/>
    <row r="880" ht="15.75" customHeight="1" s="51"/>
    <row r="881" ht="15.75" customHeight="1" s="51"/>
    <row r="882" ht="15.75" customHeight="1" s="51"/>
    <row r="883" ht="15.75" customHeight="1" s="51"/>
    <row r="884" ht="15.75" customHeight="1" s="51"/>
    <row r="885" ht="15.75" customHeight="1" s="51"/>
    <row r="886" ht="15.75" customHeight="1" s="51"/>
    <row r="887" ht="15.75" customHeight="1" s="51"/>
    <row r="888" ht="15.75" customHeight="1" s="51"/>
    <row r="889" ht="15.75" customHeight="1" s="51"/>
    <row r="890" ht="15.75" customHeight="1" s="51"/>
    <row r="891" ht="15.75" customHeight="1" s="51"/>
    <row r="892" ht="15.75" customHeight="1" s="51"/>
    <row r="893" ht="15.75" customHeight="1" s="51"/>
    <row r="894" ht="15.75" customHeight="1" s="51"/>
    <row r="895" ht="15.75" customHeight="1" s="51"/>
    <row r="896" ht="15.75" customHeight="1" s="51"/>
    <row r="897" ht="15.75" customHeight="1" s="51"/>
    <row r="898" ht="15.75" customHeight="1" s="51"/>
    <row r="899" ht="15.75" customHeight="1" s="51"/>
    <row r="900" ht="15.75" customHeight="1" s="51"/>
    <row r="901" ht="15.75" customHeight="1" s="51"/>
    <row r="902" ht="15.75" customHeight="1" s="51"/>
    <row r="903" ht="15.75" customHeight="1" s="51"/>
    <row r="904" ht="15.75" customHeight="1" s="51"/>
    <row r="905" ht="15.75" customHeight="1" s="51"/>
    <row r="906" ht="15.75" customHeight="1" s="51"/>
    <row r="907" ht="15.75" customHeight="1" s="51"/>
    <row r="908" ht="15.75" customHeight="1" s="51"/>
    <row r="909" ht="15.75" customHeight="1" s="51"/>
    <row r="910" ht="15.75" customHeight="1" s="51"/>
    <row r="911" ht="15.75" customHeight="1" s="51"/>
    <row r="912" ht="15.75" customHeight="1" s="51"/>
    <row r="913" ht="15.75" customHeight="1" s="51"/>
    <row r="914" ht="15.75" customHeight="1" s="51"/>
    <row r="915" ht="15.75" customHeight="1" s="51"/>
    <row r="916" ht="15.75" customHeight="1" s="51"/>
    <row r="917" ht="15.75" customHeight="1" s="51"/>
    <row r="918" ht="15.75" customHeight="1" s="51"/>
    <row r="919" ht="15.75" customHeight="1" s="51"/>
    <row r="920" ht="15.75" customHeight="1" s="51"/>
    <row r="921" ht="15.75" customHeight="1" s="51"/>
    <row r="922" ht="15.75" customHeight="1" s="51"/>
    <row r="923" ht="15.75" customHeight="1" s="51"/>
    <row r="924" ht="15.75" customHeight="1" s="51"/>
    <row r="925" ht="15.75" customHeight="1" s="51"/>
    <row r="926" ht="15.75" customHeight="1" s="51"/>
    <row r="927" ht="15.75" customHeight="1" s="51"/>
    <row r="928" ht="15.75" customHeight="1" s="51"/>
    <row r="929" ht="15.75" customHeight="1" s="51"/>
    <row r="930" ht="15.75" customHeight="1" s="51"/>
    <row r="931" ht="15.75" customHeight="1" s="51"/>
    <row r="932" ht="15.75" customHeight="1" s="51"/>
    <row r="933" ht="15.75" customHeight="1" s="51"/>
    <row r="934" ht="15.75" customHeight="1" s="51"/>
    <row r="935" ht="15.75" customHeight="1" s="51"/>
    <row r="936" ht="15.75" customHeight="1" s="51"/>
    <row r="937" ht="15.75" customHeight="1" s="51"/>
    <row r="938" ht="15.75" customHeight="1" s="51"/>
    <row r="939" ht="15.75" customHeight="1" s="51"/>
    <row r="940" ht="15.75" customHeight="1" s="51"/>
    <row r="941" ht="15.75" customHeight="1" s="51"/>
    <row r="942" ht="15.75" customHeight="1" s="51"/>
    <row r="943" ht="15.75" customHeight="1" s="51"/>
    <row r="944" ht="15.75" customHeight="1" s="51"/>
    <row r="945" ht="15.75" customHeight="1" s="51"/>
    <row r="946" ht="15.75" customHeight="1" s="51"/>
    <row r="947" ht="15.75" customHeight="1" s="51"/>
    <row r="948" ht="15.75" customHeight="1" s="51"/>
    <row r="949" ht="15.75" customHeight="1" s="51"/>
    <row r="950" ht="15.75" customHeight="1" s="51"/>
    <row r="951" ht="15.75" customHeight="1" s="51"/>
    <row r="952" ht="15.75" customHeight="1" s="51"/>
    <row r="953" ht="15.75" customHeight="1" s="51"/>
    <row r="954" ht="15.75" customHeight="1" s="51"/>
    <row r="955" ht="15.75" customHeight="1" s="51"/>
    <row r="956" ht="15.75" customHeight="1" s="51"/>
    <row r="957" ht="15.75" customHeight="1" s="51"/>
    <row r="958" ht="15.75" customHeight="1" s="51"/>
    <row r="959" ht="15.75" customHeight="1" s="51"/>
    <row r="960" ht="15.75" customHeight="1" s="51"/>
    <row r="961" ht="15.75" customHeight="1" s="51"/>
    <row r="962" ht="15.75" customHeight="1" s="51"/>
    <row r="963" ht="15.75" customHeight="1" s="51"/>
    <row r="964" ht="15.75" customHeight="1" s="51"/>
    <row r="965" ht="15.75" customHeight="1" s="51"/>
    <row r="966" ht="15.75" customHeight="1" s="51"/>
    <row r="967" ht="15.75" customHeight="1" s="51"/>
    <row r="968" ht="15.75" customHeight="1" s="51"/>
    <row r="969" ht="15.75" customHeight="1" s="51"/>
    <row r="970" ht="15.75" customHeight="1" s="51"/>
    <row r="971" ht="15.75" customHeight="1" s="51"/>
    <row r="972" ht="15.75" customHeight="1" s="51"/>
    <row r="973" ht="15.75" customHeight="1" s="51"/>
    <row r="974" ht="15.75" customHeight="1" s="51"/>
    <row r="975" ht="15.75" customHeight="1" s="51"/>
    <row r="976" ht="15.75" customHeight="1" s="51"/>
    <row r="977" ht="15.75" customHeight="1" s="51"/>
    <row r="978" ht="15.75" customHeight="1" s="51"/>
    <row r="979" ht="15.75" customHeight="1" s="51"/>
    <row r="980" ht="15.75" customHeight="1" s="51"/>
    <row r="981" ht="15.75" customHeight="1" s="51"/>
    <row r="982" ht="15.75" customHeight="1" s="51"/>
    <row r="983" ht="15.75" customHeight="1" s="51"/>
    <row r="984" ht="15.75" customHeight="1" s="51"/>
    <row r="985" ht="15.75" customHeight="1" s="51"/>
    <row r="986" ht="15.75" customHeight="1" s="51"/>
    <row r="987" ht="15.75" customHeight="1" s="51"/>
    <row r="988" ht="15.75" customHeight="1" s="51"/>
    <row r="989" ht="15.75" customHeight="1" s="51"/>
    <row r="990" ht="15.75" customHeight="1" s="51"/>
    <row r="991" ht="15.75" customHeight="1" s="51"/>
    <row r="992" ht="15.75" customHeight="1" s="51"/>
    <row r="993" ht="15.75" customHeight="1" s="51"/>
    <row r="994" ht="15.75" customHeight="1" s="51"/>
    <row r="995" ht="15.75" customHeight="1" s="51"/>
    <row r="996" ht="15.75" customHeight="1" s="51"/>
    <row r="997" ht="15.75" customHeight="1" s="51"/>
    <row r="998" ht="15.75" customHeight="1" s="51"/>
    <row r="999" ht="15.75" customHeight="1" s="51"/>
    <row r="1000" ht="15.75" customHeight="1" s="51"/>
  </sheetData>
  <mergeCells count="3">
    <mergeCell ref="A2:F2"/>
    <mergeCell ref="A10:E10"/>
    <mergeCell ref="A1:F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2026-07-30T22:56:27Z</dcterms:created>
  <dcterms:modified xsi:type="dcterms:W3CDTF">2026-09-03T16:50:48Z</dcterms:modified>
</cp:coreProperties>
</file>