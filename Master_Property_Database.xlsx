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2026-08-04  |  11 source documents — lease &amp; income/expense data only (market/comp support excluded)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5" t="n">
        <v>10</v>
      </c>
      <c r="B15" s="6" t="inlineStr">
        <is>
          <t>R0085571_1540_Altura_Blvd.pdf</t>
        </is>
      </c>
      <c r="C15" s="6" t="inlineStr">
        <is>
          <t>Tax appeal package — income approach + CubeSmart FY2024 income statement + LOA + parcel schedule</t>
        </is>
      </c>
      <c r="D15" s="6" t="inlineStr">
        <is>
          <t>1540 Altura Blvd (CubeSmart #6731), Aurora</t>
        </is>
      </c>
      <c r="E15" s="5" t="inlineStr">
        <is>
          <t>Assess. Yr 2025 (LOV 6/30/2024)</t>
        </is>
      </c>
      <c r="F15" s="6" t="inlineStr">
        <is>
          <t>Ryan LLC (D. Fassig) / CubeSmart</t>
        </is>
      </c>
    </row>
    <row r="16" ht="26" customHeight="1">
      <c r="A16" s="5" t="n">
        <v>11</v>
      </c>
      <c r="B16" s="6" t="inlineStr">
        <is>
          <t>R0086010_15413_E_18th_Avenue.pdf</t>
        </is>
      </c>
      <c r="C16" s="6" t="inlineStr">
        <is>
          <t>Abatement petition + income approach + CubeSmart FY2024 income statement + storEDGE occupancy + LOA</t>
        </is>
      </c>
      <c r="D16" s="6" t="inlineStr">
        <is>
          <t>15413 E 18th Ave (CubeSmart #6730), Aurora</t>
        </is>
      </c>
      <c r="E16" s="5" t="inlineStr">
        <is>
          <t>Tax Yr 2025 / Value Yr 2026 (LOV 6/30/2024)</t>
        </is>
      </c>
      <c r="F16" s="6" t="inlineStr">
        <is>
          <t>Ryan LLC (D. Fassig) / CubeSmart</t>
        </is>
      </c>
    </row>
    <row r="17" ht="26" customHeight="1">
      <c r="A17" s="5" t="n">
        <v>12</v>
      </c>
      <c r="B17" s="6" t="inlineStr">
        <is>
          <t>R0040829_self_storage.pdf</t>
        </is>
      </c>
      <c r="C17" s="6" t="inlineStr">
        <is>
          <t>Tax appeal package — income approach + Mini U Storage FY2024/23 NOI statement + rental activity + LOA</t>
        </is>
      </c>
      <c r="D17" s="6" t="inlineStr">
        <is>
          <t>10350 Washington St (Mini U Storage), Thornton</t>
        </is>
      </c>
      <c r="E17" s="5" t="inlineStr">
        <is>
          <t>Value Yr 2025/2026 (LOV 6/30/2024)</t>
        </is>
      </c>
      <c r="F17" s="6" t="inlineStr">
        <is>
          <t>Ryan LLC (D. Fassig) / Dahn Corp.</t>
        </is>
      </c>
    </row>
    <row r="18" ht="26" customHeight="1"/>
    <row r="19">
      <c r="A19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20">
      <c r="A20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21">
      <c r="A21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  <row r="22">
      <c r="A22" s="7" t="inlineStr">
        <is>
          <t>Self-storage packages: CubeSmart/Mini U income statements are store-level accrual NOI statements (property tax &amp; 3rd-party mgmt fees included; interest/depreciation excluded except where noted). Cushman &amp; Wakefield investor-survey pages in R0040829 (market support) were skipped per database scope.</t>
        </is>
      </c>
    </row>
  </sheetData>
  <mergeCells count="6">
    <mergeCell ref="A2:F2"/>
    <mergeCell ref="A19:F19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5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6" t="inlineStr">
        <is>
          <t>R0085571</t>
        </is>
      </c>
      <c r="B13" s="6" t="inlineStr">
        <is>
          <t>R0085571</t>
        </is>
      </c>
      <c r="C13" s="6" t="inlineStr">
        <is>
          <t>0182131405022</t>
        </is>
      </c>
      <c r="D13" s="6" t="inlineStr">
        <is>
          <t>Aurora Altura Boulevard CS 6731</t>
        </is>
      </c>
      <c r="E13" s="6" t="inlineStr">
        <is>
          <t>1540 Altura Blvd</t>
        </is>
      </c>
      <c r="F13" s="6" t="inlineStr">
        <is>
          <t>Aurora</t>
        </is>
      </c>
      <c r="G13" s="5" t="inlineStr">
        <is>
          <t>CO</t>
        </is>
      </c>
      <c r="H13" s="6" t="inlineStr">
        <is>
          <t>80011</t>
        </is>
      </c>
      <c r="I13" s="6" t="inlineStr">
        <is>
          <t>Adams</t>
        </is>
      </c>
      <c r="J13" s="6" t="inlineStr">
        <is>
          <t>Winner Storage LLC / PTA USI No 731</t>
        </is>
      </c>
      <c r="K13" s="6" t="inlineStr">
        <is>
          <t>Winner Storage LLC/PTA USI No 731</t>
        </is>
      </c>
      <c r="L13" s="6" t="inlineStr">
        <is>
          <t>Specialty - Self-Storage</t>
        </is>
      </c>
      <c r="M13" s="6" t="inlineStr">
        <is>
          <t>Multi (storage units, MTM)</t>
        </is>
      </c>
      <c r="N13" s="8" t="n">
        <v>2.05</v>
      </c>
      <c r="O13" s="8" t="n">
        <v>89298</v>
      </c>
      <c r="P13" s="6" t="n"/>
      <c r="Q13" s="8" t="n">
        <v>27139</v>
      </c>
      <c r="R13" s="6" t="n">
        <v>1978</v>
      </c>
      <c r="S13" s="6" t="inlineStr">
        <is>
          <t>3.29:1</t>
        </is>
      </c>
      <c r="T13" s="6" t="inlineStr">
        <is>
          <t>— (not stated in package)</t>
        </is>
      </c>
      <c r="U13" s="9" t="n">
        <v>3309468</v>
      </c>
      <c r="V13" s="5" t="inlineStr">
        <is>
          <t>2025</t>
        </is>
      </c>
      <c r="W13" s="9" t="n">
        <v>2546900</v>
      </c>
      <c r="X13" s="6" t="inlineStr">
        <is>
          <t>CubeSmart (store #6731)</t>
        </is>
      </c>
      <c r="Y13" s="6" t="inlineStr">
        <is>
          <t>R0085571_1540_Altura_Blvd.pdf</t>
        </is>
      </c>
    </row>
    <row r="14">
      <c r="A14" s="6" t="inlineStr">
        <is>
          <t>R0086010</t>
        </is>
      </c>
      <c r="B14" s="6" t="inlineStr">
        <is>
          <t>R0086010</t>
        </is>
      </c>
      <c r="C14" s="6" t="inlineStr">
        <is>
          <t>0182132318001</t>
        </is>
      </c>
      <c r="D14" s="6" t="inlineStr">
        <is>
          <t>Aurora - 18th Avenue - CS - 6730</t>
        </is>
      </c>
      <c r="E14" s="6" t="inlineStr">
        <is>
          <t>15413 E 18th Ave</t>
        </is>
      </c>
      <c r="F14" s="6" t="inlineStr">
        <is>
          <t>Aurora</t>
        </is>
      </c>
      <c r="G14" s="5" t="inlineStr">
        <is>
          <t>CO</t>
        </is>
      </c>
      <c r="H14" s="6" t="inlineStr">
        <is>
          <t>80011</t>
        </is>
      </c>
      <c r="I14" s="6" t="inlineStr">
        <is>
          <t>Adams</t>
        </is>
      </c>
      <c r="J14" s="6" t="inlineStr">
        <is>
          <t>Winner Storage LLC / PTA USI No 730</t>
        </is>
      </c>
      <c r="K14" s="6" t="inlineStr">
        <is>
          <t>Winner Storage LLC/PTA USI No 730</t>
        </is>
      </c>
      <c r="L14" s="6" t="inlineStr">
        <is>
          <t>Self Storage</t>
        </is>
      </c>
      <c r="M14" s="6" t="inlineStr">
        <is>
          <t>Multi (478 storage units, MTM)</t>
        </is>
      </c>
      <c r="N14" s="8" t="n">
        <v>4.68</v>
      </c>
      <c r="O14" s="8" t="n">
        <v>203817</v>
      </c>
      <c r="P14" s="6" t="n"/>
      <c r="Q14" s="8" t="n">
        <v>57742</v>
      </c>
      <c r="R14" s="6" t="n">
        <v>1984</v>
      </c>
      <c r="S14" s="6" t="inlineStr">
        <is>
          <t>3.53:1 (calc)</t>
        </is>
      </c>
      <c r="T14" s="6" t="inlineStr">
        <is>
          <t>87% (Jun 2024); 87.3% of SF (Dec 2024)</t>
        </is>
      </c>
      <c r="U14" s="9" t="n">
        <v>8187500</v>
      </c>
      <c r="V14" s="5" t="inlineStr">
        <is>
          <t>2026 (petition Tax Yr 2025)</t>
        </is>
      </c>
      <c r="W14" s="9" t="n">
        <v>6610000</v>
      </c>
      <c r="X14" s="6" t="inlineStr">
        <is>
          <t>CubeSmart (store #6730)</t>
        </is>
      </c>
      <c r="Y14" s="6" t="inlineStr">
        <is>
          <t>R0086010_15413_E_18th_Avenue.pdf</t>
        </is>
      </c>
    </row>
    <row r="15">
      <c r="A15" s="6" t="inlineStr">
        <is>
          <t>R0040829</t>
        </is>
      </c>
      <c r="B15" s="6" t="inlineStr">
        <is>
          <t>R0040829</t>
        </is>
      </c>
      <c r="C15" s="6" t="inlineStr">
        <is>
          <t>0171914201013</t>
        </is>
      </c>
      <c r="D15" s="6" t="inlineStr">
        <is>
          <t>Thornton (TH) - Dahn - 21548 (Mini U Storage)</t>
        </is>
      </c>
      <c r="E15" s="6" t="inlineStr">
        <is>
          <t>10350 Washington St</t>
        </is>
      </c>
      <c r="F15" s="6" t="inlineStr">
        <is>
          <t>Thornton</t>
        </is>
      </c>
      <c r="G15" s="5" t="inlineStr">
        <is>
          <t>CO</t>
        </is>
      </c>
      <c r="H15" s="6" t="inlineStr">
        <is>
          <t>80229</t>
        </is>
      </c>
      <c r="I15" s="6" t="inlineStr">
        <is>
          <t>Adams</t>
        </is>
      </c>
      <c r="J15" s="6" t="inlineStr">
        <is>
          <t>DSI Special Situations Fund B</t>
        </is>
      </c>
      <c r="K15" s="6" t="inlineStr">
        <is>
          <t>DSI Special Situations Fund B</t>
        </is>
      </c>
      <c r="L15" s="6" t="inlineStr">
        <is>
          <t>Self Storage</t>
        </is>
      </c>
      <c r="M15" s="6" t="inlineStr">
        <is>
          <t>Multi (471 storage units, MTM)</t>
        </is>
      </c>
      <c r="N15" s="8" t="n">
        <v>2.92</v>
      </c>
      <c r="O15" s="8" t="n">
        <v>127395</v>
      </c>
      <c r="P15" s="6" t="n"/>
      <c r="Q15" s="8" t="n">
        <v>48250</v>
      </c>
      <c r="R15" s="6" t="n">
        <v>1985</v>
      </c>
      <c r="S15" s="6" t="inlineStr">
        <is>
          <t>2.64:1 (calc)</t>
        </is>
      </c>
      <c r="T15" s="6" t="inlineStr">
        <is>
          <t>84% (Jun 2024); 83.9% of SF (Dec 2024)</t>
        </is>
      </c>
      <c r="U15" s="9" t="n">
        <v>5428808</v>
      </c>
      <c r="V15" s="5" t="inlineStr">
        <is>
          <t>2025/2026 (LOV 6/30/2024)</t>
        </is>
      </c>
      <c r="W15" s="9" t="n">
        <v>4510000</v>
      </c>
      <c r="X15" s="6" t="inlineStr">
        <is>
          <t>Dahn Corporation (Mini U Storage)</t>
        </is>
      </c>
      <c r="Y15" s="6" t="inlineStr">
        <is>
          <t>R0040829_self_storage.pdf</t>
        </is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Marion), tax-appeal proforma assumptions, and self-storage occupancy/unit-mix snapshots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7">
      <c r="A27" s="10" t="inlineStr">
        <is>
          <t>Self-storage facilities — occupancy &amp; unit-mix snapshots as of 12/31/2024 (month-to-month unit rentals; no individual tenant leases)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1" t="n"/>
    </row>
    <row r="28">
      <c r="A28" s="6" t="inlineStr">
        <is>
          <t>1540 Altura Blvd</t>
        </is>
      </c>
      <c r="B28" s="6" t="inlineStr">
        <is>
          <t>27,139 SF NLA</t>
        </is>
      </c>
      <c r="C28" s="6" t="inlineStr">
        <is>
          <t>Self-storage customers (CubeSmart #6731)</t>
        </is>
      </c>
      <c r="D28" s="6" t="inlineStr">
        <is>
          <t>Storage MTM</t>
        </is>
      </c>
      <c r="E28" s="9" t="n"/>
      <c r="F28" s="6" t="n"/>
      <c r="G28" s="6" t="n"/>
      <c r="H28" s="5" t="n"/>
      <c r="I28" s="5" t="n"/>
      <c r="J28" s="5" t="n"/>
      <c r="K28" s="9" t="n"/>
      <c r="L28" s="6" t="n"/>
      <c r="M28" s="6" t="inlineStr">
        <is>
          <t>No unit-level report in package; FY2024 net rental income $383,166 (see Income-Expense Detail)</t>
        </is>
      </c>
    </row>
    <row r="29">
      <c r="A29" s="6" t="inlineStr">
        <is>
          <t>15413 E 18th Ave</t>
        </is>
      </c>
      <c r="B29" s="6" t="inlineStr">
        <is>
          <t>478 units / 57,742 SF</t>
        </is>
      </c>
      <c r="C29" s="6" t="inlineStr">
        <is>
          <t>Self-storage customers (CubeSmart #6730)</t>
        </is>
      </c>
      <c r="D29" s="6" t="inlineStr">
        <is>
          <t>Storage MTM</t>
        </is>
      </c>
      <c r="E29" s="9" t="n">
        <v>62425.7</v>
      </c>
      <c r="F29" s="6" t="n"/>
      <c r="G29" s="6" t="n"/>
      <c r="H29" s="5" t="n"/>
      <c r="I29" s="5" t="n"/>
      <c r="J29" s="5" t="n"/>
      <c r="K29" s="9" t="n"/>
      <c r="L29" s="6" t="n"/>
      <c r="M29" s="6" t="inlineStr">
        <is>
          <t>storEDGE Consolidated Occupancy 12/31/2024: 395 occupied / 72 vacant / 6 reserved / 5 unrentable; 50,433 SF occupied (87.3% of SF; 82.6% of units); scheduled std rent $54,314/mo; occupied actual $62,425.70/mo ($1.24/SF/mo). Per-size detail in source PDF.</t>
        </is>
      </c>
    </row>
    <row r="30">
      <c r="A30" s="6" t="inlineStr">
        <is>
          <t>10350 Washington St</t>
        </is>
      </c>
      <c r="B30" s="6" t="inlineStr">
        <is>
          <t>471 units / 48,250 SF</t>
        </is>
      </c>
      <c r="C30" s="6" t="inlineStr">
        <is>
          <t>Self-storage customers (Mini U Storage)</t>
        </is>
      </c>
      <c r="D30" s="6" t="inlineStr">
        <is>
          <t>Storage MTM</t>
        </is>
      </c>
      <c r="E30" s="9" t="n"/>
      <c r="F30" s="6" t="n"/>
      <c r="G30" s="6" t="n"/>
      <c r="H30" s="5" t="n"/>
      <c r="I30" s="5" t="n"/>
      <c r="J30" s="5" t="n"/>
      <c r="K30" s="9" t="n"/>
      <c r="L30" s="6" t="n"/>
      <c r="M30" s="6" t="inlineStr">
        <is>
          <t>SiteLink Rental Activity 12/31/2024 (drive-up units): 395 rented / 76 vacant; 41,130 SF rented (83.9% of SF); gross potential $65,937/mo; rented avg $1.53/SF/mo. Unit-mix below.</t>
        </is>
      </c>
    </row>
    <row r="31">
      <c r="A31" s="6" t="inlineStr">
        <is>
          <t>10350 Washington St</t>
        </is>
      </c>
      <c r="B31" s="6" t="inlineStr">
        <is>
          <t>5x5 (25 SF)</t>
        </is>
      </c>
      <c r="C31" s="6" t="inlineStr">
        <is>
          <t>30 units / 18 rented</t>
        </is>
      </c>
      <c r="D31" s="6" t="inlineStr">
        <is>
          <t>Storage MTM</t>
        </is>
      </c>
      <c r="E31" s="9" t="n">
        <v>1950</v>
      </c>
      <c r="F31" s="6" t="n"/>
      <c r="G31" s="6" t="n"/>
      <c r="H31" s="5" t="n"/>
      <c r="I31" s="5" t="n"/>
      <c r="J31" s="5" t="n"/>
      <c r="K31" s="9" t="n"/>
      <c r="L31" s="6" t="n"/>
      <c r="M31" s="6" t="inlineStr">
        <is>
          <t>Std rate $65/unit/mo; 450 SF rented of 750 SF</t>
        </is>
      </c>
    </row>
    <row r="32">
      <c r="A32" s="6" t="inlineStr">
        <is>
          <t>10350 Washington St</t>
        </is>
      </c>
      <c r="B32" s="6" t="inlineStr">
        <is>
          <t>5x10 (50 SF)</t>
        </is>
      </c>
      <c r="C32" s="6" t="inlineStr">
        <is>
          <t>137 units / 120 rented</t>
        </is>
      </c>
      <c r="D32" s="6" t="inlineStr">
        <is>
          <t>Storage MTM</t>
        </is>
      </c>
      <c r="E32" s="9" t="n">
        <v>11645</v>
      </c>
      <c r="F32" s="6" t="n"/>
      <c r="G32" s="6" t="n"/>
      <c r="H32" s="5" t="n"/>
      <c r="I32" s="5" t="n"/>
      <c r="J32" s="5" t="n"/>
      <c r="K32" s="9" t="n"/>
      <c r="L32" s="6" t="n"/>
      <c r="M32" s="6" t="inlineStr">
        <is>
          <t>Std rate $85/unit/mo; 6,000 SF rented of 6,850 SF</t>
        </is>
      </c>
    </row>
    <row r="33">
      <c r="A33" s="6" t="inlineStr">
        <is>
          <t>10350 Washington St</t>
        </is>
      </c>
      <c r="B33" s="6" t="inlineStr">
        <is>
          <t>7x10 (70 SF)</t>
        </is>
      </c>
      <c r="C33" s="6" t="inlineStr">
        <is>
          <t>58 units / 49 rented</t>
        </is>
      </c>
      <c r="D33" s="6" t="inlineStr">
        <is>
          <t>Storage MTM</t>
        </is>
      </c>
      <c r="E33" s="9" t="n">
        <v>6670</v>
      </c>
      <c r="F33" s="6" t="n"/>
      <c r="G33" s="6" t="n"/>
      <c r="H33" s="5" t="n"/>
      <c r="I33" s="5" t="n"/>
      <c r="J33" s="5" t="n"/>
      <c r="K33" s="9" t="n"/>
      <c r="L33" s="6" t="n"/>
      <c r="M33" s="6" t="inlineStr">
        <is>
          <t>Std rate $115/unit/mo; 3,430 SF rented of 4,060 SF</t>
        </is>
      </c>
    </row>
    <row r="34">
      <c r="A34" s="6" t="inlineStr">
        <is>
          <t>10350 Washington St</t>
        </is>
      </c>
      <c r="B34" s="6" t="inlineStr">
        <is>
          <t>5x15 (75 SF)</t>
        </is>
      </c>
      <c r="C34" s="6" t="inlineStr">
        <is>
          <t>30 units / 22 rented</t>
        </is>
      </c>
      <c r="D34" s="6" t="inlineStr">
        <is>
          <t>Storage MTM</t>
        </is>
      </c>
      <c r="E34" s="9" t="n">
        <v>3570</v>
      </c>
      <c r="F34" s="6" t="n"/>
      <c r="G34" s="6" t="n"/>
      <c r="H34" s="5" t="n"/>
      <c r="I34" s="5" t="n"/>
      <c r="J34" s="5" t="n"/>
      <c r="K34" s="9" t="n"/>
      <c r="L34" s="6" t="n"/>
      <c r="M34" s="6" t="inlineStr">
        <is>
          <t>Std rate $119/unit/mo; 1,650 SF rented of 2,250 SF</t>
        </is>
      </c>
    </row>
    <row r="35">
      <c r="A35" s="6" t="inlineStr">
        <is>
          <t>10350 Washington St</t>
        </is>
      </c>
      <c r="B35" s="6" t="inlineStr">
        <is>
          <t>10x10 (100 SF)</t>
        </is>
      </c>
      <c r="C35" s="6" t="inlineStr">
        <is>
          <t>76 units / 66 rented</t>
        </is>
      </c>
      <c r="D35" s="6" t="inlineStr">
        <is>
          <t>Storage MTM</t>
        </is>
      </c>
      <c r="E35" s="9" t="n">
        <v>11324</v>
      </c>
      <c r="F35" s="6" t="n"/>
      <c r="G35" s="6" t="n"/>
      <c r="H35" s="5" t="n"/>
      <c r="I35" s="5" t="n"/>
      <c r="J35" s="5" t="n"/>
      <c r="K35" s="9" t="n"/>
      <c r="L35" s="6" t="n"/>
      <c r="M35" s="6" t="inlineStr">
        <is>
          <t>Std rate $149/unit/mo; 6,600 SF rented of 7,600 SF</t>
        </is>
      </c>
    </row>
    <row r="36">
      <c r="A36" s="6" t="inlineStr">
        <is>
          <t>10350 Washington St</t>
        </is>
      </c>
      <c r="B36" s="6" t="inlineStr">
        <is>
          <t>7x20 (140 SF)</t>
        </is>
      </c>
      <c r="C36" s="6" t="inlineStr">
        <is>
          <t>1 units / 0 rented</t>
        </is>
      </c>
      <c r="D36" s="6" t="inlineStr">
        <is>
          <t>Storage MTM</t>
        </is>
      </c>
      <c r="E36" s="9" t="n">
        <v>159</v>
      </c>
      <c r="F36" s="6" t="n"/>
      <c r="G36" s="6" t="n"/>
      <c r="H36" s="5" t="n"/>
      <c r="I36" s="5" t="n"/>
      <c r="J36" s="5" t="n"/>
      <c r="K36" s="9" t="n"/>
      <c r="L36" s="6" t="n"/>
      <c r="M36" s="6" t="inlineStr">
        <is>
          <t>Std rate $159/unit/mo; 0 SF rented of 140 SF</t>
        </is>
      </c>
    </row>
    <row r="37">
      <c r="A37" s="6" t="inlineStr">
        <is>
          <t>10350 Washington St</t>
        </is>
      </c>
      <c r="B37" s="6" t="inlineStr">
        <is>
          <t>10x15 (150 SF)</t>
        </is>
      </c>
      <c r="C37" s="6" t="inlineStr">
        <is>
          <t>68 units / 58 rented</t>
        </is>
      </c>
      <c r="D37" s="6" t="inlineStr">
        <is>
          <t>Storage MTM</t>
        </is>
      </c>
      <c r="E37" s="9" t="n">
        <v>11900</v>
      </c>
      <c r="F37" s="6" t="n"/>
      <c r="G37" s="6" t="n"/>
      <c r="H37" s="5" t="n"/>
      <c r="I37" s="5" t="n"/>
      <c r="J37" s="5" t="n"/>
      <c r="K37" s="9" t="n"/>
      <c r="L37" s="6" t="n"/>
      <c r="M37" s="6" t="inlineStr">
        <is>
          <t>Std rate $175/unit/mo; 8,700 SF rented of 10,200 SF</t>
        </is>
      </c>
    </row>
    <row r="38">
      <c r="A38" s="6" t="inlineStr">
        <is>
          <t>10350 Washington St</t>
        </is>
      </c>
      <c r="B38" s="6" t="inlineStr">
        <is>
          <t>10x20 (200 SF)</t>
        </is>
      </c>
      <c r="C38" s="6" t="inlineStr">
        <is>
          <t>47 units / 43 rented</t>
        </is>
      </c>
      <c r="D38" s="6" t="inlineStr">
        <is>
          <t>Storage MTM</t>
        </is>
      </c>
      <c r="E38" s="9" t="n">
        <v>11703</v>
      </c>
      <c r="F38" s="6" t="n"/>
      <c r="G38" s="6" t="n"/>
      <c r="H38" s="5" t="n"/>
      <c r="I38" s="5" t="n"/>
      <c r="J38" s="5" t="n"/>
      <c r="K38" s="9" t="n"/>
      <c r="L38" s="6" t="n"/>
      <c r="M38" s="6" t="inlineStr">
        <is>
          <t>Std rate $249/unit/mo; 8,600 SF rented of 9,400 SF</t>
        </is>
      </c>
    </row>
    <row r="39">
      <c r="A39" s="6" t="inlineStr">
        <is>
          <t>10350 Washington St</t>
        </is>
      </c>
      <c r="B39" s="6" t="inlineStr">
        <is>
          <t>20x10 (200 SF)</t>
        </is>
      </c>
      <c r="C39" s="6" t="inlineStr">
        <is>
          <t>5 units / 3 rented</t>
        </is>
      </c>
      <c r="D39" s="6" t="inlineStr">
        <is>
          <t>Storage MTM</t>
        </is>
      </c>
      <c r="E39" s="9" t="n">
        <v>1125</v>
      </c>
      <c r="F39" s="6" t="n"/>
      <c r="G39" s="6" t="n"/>
      <c r="H39" s="5" t="n"/>
      <c r="I39" s="5" t="n"/>
      <c r="J39" s="5" t="n"/>
      <c r="K39" s="9" t="n"/>
      <c r="L39" s="6" t="n"/>
      <c r="M39" s="6" t="inlineStr">
        <is>
          <t>Std rate $225/unit/mo; 600 SF rented of 1,000 SF</t>
        </is>
      </c>
    </row>
    <row r="40">
      <c r="A40" s="6" t="inlineStr">
        <is>
          <t>10350 Washington St</t>
        </is>
      </c>
      <c r="B40" s="6" t="inlineStr">
        <is>
          <t>10x30 (300 SF)</t>
        </is>
      </c>
      <c r="C40" s="6" t="inlineStr">
        <is>
          <t>17 units / 15 rented</t>
        </is>
      </c>
      <c r="D40" s="6" t="inlineStr">
        <is>
          <t>Storage MTM</t>
        </is>
      </c>
      <c r="E40" s="9" t="n">
        <v>5083</v>
      </c>
      <c r="F40" s="6" t="n"/>
      <c r="G40" s="6" t="n"/>
      <c r="H40" s="5" t="n"/>
      <c r="I40" s="5" t="n"/>
      <c r="J40" s="5" t="n"/>
      <c r="K40" s="9" t="n"/>
      <c r="L40" s="6" t="n"/>
      <c r="M40" s="6" t="inlineStr">
        <is>
          <t>Std rate $299/unit/mo; 4,500 SF rented of 5,100 SF</t>
        </is>
      </c>
    </row>
    <row r="41">
      <c r="A41" s="6" t="inlineStr">
        <is>
          <t>10350 Washington St</t>
        </is>
      </c>
      <c r="B41" s="6" t="inlineStr">
        <is>
          <t>15x20 (300 SF)</t>
        </is>
      </c>
      <c r="C41" s="6" t="inlineStr">
        <is>
          <t>1 units / 0 rented</t>
        </is>
      </c>
      <c r="D41" s="6" t="inlineStr">
        <is>
          <t>Storage MTM</t>
        </is>
      </c>
      <c r="E41" s="9" t="n">
        <v>299</v>
      </c>
      <c r="F41" s="6" t="n"/>
      <c r="G41" s="6" t="n"/>
      <c r="H41" s="5" t="n"/>
      <c r="I41" s="5" t="n"/>
      <c r="J41" s="5" t="n"/>
      <c r="K41" s="9" t="n"/>
      <c r="L41" s="6" t="n"/>
      <c r="M41" s="6" t="inlineStr">
        <is>
          <t>Std rate $299/unit/mo; 0 SF rented of 300 SF</t>
        </is>
      </c>
    </row>
    <row r="42">
      <c r="A42" s="6" t="inlineStr">
        <is>
          <t>10350 Washington St</t>
        </is>
      </c>
      <c r="B42" s="6" t="inlineStr">
        <is>
          <t>20x30 (600 SF)</t>
        </is>
      </c>
      <c r="C42" s="6" t="inlineStr">
        <is>
          <t>1 units / 1 rented</t>
        </is>
      </c>
      <c r="D42" s="6" t="inlineStr">
        <is>
          <t>Storage MTM</t>
        </is>
      </c>
      <c r="E42" s="9" t="n">
        <v>509</v>
      </c>
      <c r="F42" s="6" t="n"/>
      <c r="G42" s="6" t="n"/>
      <c r="H42" s="5" t="n"/>
      <c r="I42" s="5" t="n"/>
      <c r="J42" s="5" t="n"/>
      <c r="K42" s="9" t="n"/>
      <c r="L42" s="6" t="n"/>
      <c r="M42" s="6" t="inlineStr">
        <is>
          <t>Std rate $509/unit/mo; 600 SF rented of 600 SF</t>
        </is>
      </c>
    </row>
    <row r="43">
      <c r="A43" s="11" t="inlineStr">
        <is>
          <t>10350 Washington St</t>
        </is>
      </c>
      <c r="B43" s="12" t="inlineStr">
        <is>
          <t>TOTALS</t>
        </is>
      </c>
      <c r="C43" s="12" t="inlineStr">
        <is>
          <t>471 units / 395 rented</t>
        </is>
      </c>
      <c r="D43" s="13" t="n"/>
      <c r="E43" s="14">
        <f>SUM(E31:E42)</f>
        <v/>
      </c>
      <c r="F43" s="14" t="n"/>
      <c r="G43" s="13" t="n"/>
      <c r="H43" s="13" t="n"/>
      <c r="I43" s="13" t="n"/>
      <c r="J43" s="13" t="n"/>
      <c r="K43" s="14" t="n"/>
      <c r="L43" s="13" t="n"/>
      <c r="M43" s="15" t="inlineStr">
        <is>
          <t>Gross scheduled (potential) monthly rent; printed total $65,937 (SiteLink Rental Activity 12/31/2024)</t>
        </is>
      </c>
    </row>
  </sheetData>
  <mergeCells count="6">
    <mergeCell ref="A1:M1"/>
    <mergeCell ref="A5:M5"/>
    <mergeCell ref="A27:M27"/>
    <mergeCell ref="A18:M18"/>
    <mergeCell ref="A21:M2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1">
      <c r="A11" s="6" t="inlineStr">
        <is>
          <t>1540 Altura Blvd (R0085571)</t>
        </is>
      </c>
      <c r="B11" s="5" t="inlineStr">
        <is>
          <t>2025</t>
        </is>
      </c>
      <c r="C11" s="9" t="n">
        <v>3309468</v>
      </c>
      <c r="D11" s="16" t="n">
        <v>121.95</v>
      </c>
      <c r="E11" s="9" t="n">
        <v>2546900</v>
      </c>
      <c r="F11" s="16" t="n">
        <v>93.84999999999999</v>
      </c>
      <c r="G11" s="9" t="n">
        <v>3571199</v>
      </c>
      <c r="H11" s="6" t="inlineStr">
        <is>
          <t>R0085571</t>
        </is>
      </c>
    </row>
    <row r="12" ht="28" customHeight="1">
      <c r="A12" s="6" t="inlineStr">
        <is>
          <t>15413 E 18th Ave (R0086010)</t>
        </is>
      </c>
      <c r="B12" s="5" t="inlineStr">
        <is>
          <t>2026</t>
        </is>
      </c>
      <c r="C12" s="9" t="n">
        <v>8187500</v>
      </c>
      <c r="D12" s="16" t="n">
        <v>141.79</v>
      </c>
      <c r="E12" s="9" t="n">
        <v>6610000</v>
      </c>
      <c r="F12" s="16" t="n">
        <v>114.47</v>
      </c>
      <c r="G12" s="9" t="n"/>
      <c r="H12" s="6" t="inlineStr">
        <is>
          <t>R0086010</t>
        </is>
      </c>
    </row>
    <row r="13">
      <c r="A13" s="6" t="inlineStr">
        <is>
          <t>10350 Washington St (R0040829)</t>
        </is>
      </c>
      <c r="B13" s="5" t="inlineStr">
        <is>
          <t>2025/2026</t>
        </is>
      </c>
      <c r="C13" s="9" t="n">
        <v>5428808</v>
      </c>
      <c r="D13" s="16" t="n">
        <v>112.51</v>
      </c>
      <c r="E13" s="9" t="n">
        <v>4510000</v>
      </c>
      <c r="F13" s="16" t="n">
        <v>93.47</v>
      </c>
      <c r="G13" s="9" t="n"/>
      <c r="H13" s="6" t="inlineStr">
        <is>
          <t>R0040829</t>
        </is>
      </c>
    </row>
    <row r="14"/>
    <row r="15" ht="30" customHeight="1">
      <c r="A15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  R0085571: 2025 Land $312,543 / Imp $2,996,925; 2024 total $3,571,199 ($131.59/SF). R0086010: 2026 Land $1,834,350 / Imp $6,353,150. R0040829: Land $955,465 / Imp $4,473,343.</t>
        </is>
      </c>
      <c r="B15" s="20" t="n"/>
      <c r="C15" s="20" t="n"/>
      <c r="D15" s="20" t="n"/>
      <c r="E15" s="20" t="n"/>
      <c r="F15" s="20" t="n"/>
      <c r="G15" s="20" t="n"/>
      <c r="H15" s="21" t="n"/>
    </row>
    <row r="16"/>
    <row r="17">
      <c r="A17" s="17" t="inlineStr">
        <is>
          <t>B. Income-Approach Proformas</t>
        </is>
      </c>
      <c r="B17" s="20" t="n"/>
      <c r="C17" s="20" t="n"/>
      <c r="D17" s="20" t="n"/>
      <c r="E17" s="20" t="n"/>
      <c r="F17" s="20" t="n"/>
      <c r="G17" s="20" t="n"/>
      <c r="H17" s="21" t="n"/>
    </row>
    <row r="18">
      <c r="A18" s="4" t="inlineStr">
        <is>
          <t>Property</t>
        </is>
      </c>
      <c r="B18" s="4" t="inlineStr">
        <is>
          <t>PGI</t>
        </is>
      </c>
      <c r="C18" s="4" t="inlineStr">
        <is>
          <t>Vacancy</t>
        </is>
      </c>
      <c r="D18" s="4" t="inlineStr">
        <is>
          <t>EGI</t>
        </is>
      </c>
      <c r="E18" s="4" t="inlineStr">
        <is>
          <t>Operating Exp</t>
        </is>
      </c>
      <c r="F18" s="4" t="inlineStr">
        <is>
          <t>NOI</t>
        </is>
      </c>
      <c r="G18" s="4" t="inlineStr">
        <is>
          <t>Cap Rate</t>
        </is>
      </c>
      <c r="H18" s="4" t="inlineStr">
        <is>
          <t>Indicated Value</t>
        </is>
      </c>
    </row>
    <row r="19">
      <c r="A19" s="6" t="inlineStr">
        <is>
          <t>7205 Gilpin Way</t>
        </is>
      </c>
      <c r="B19" s="9" t="n">
        <v>359394</v>
      </c>
      <c r="C19" s="9" t="n">
        <v>-17970</v>
      </c>
      <c r="D19" s="9" t="n">
        <v>341424</v>
      </c>
      <c r="E19" s="9" t="n">
        <v>-27314</v>
      </c>
      <c r="F19" s="14" t="n">
        <v>314110</v>
      </c>
      <c r="G19" s="19" t="n">
        <v>0.065</v>
      </c>
      <c r="H19" s="14" t="n">
        <v>4832500</v>
      </c>
    </row>
    <row r="20">
      <c r="A20" s="6" t="inlineStr">
        <is>
          <t>17608 E. 24th Dr</t>
        </is>
      </c>
      <c r="B20" s="9" t="n">
        <v>209100</v>
      </c>
      <c r="C20" s="9" t="n">
        <v>-10455</v>
      </c>
      <c r="D20" s="9" t="n">
        <v>198645</v>
      </c>
      <c r="E20" s="9" t="n">
        <v>-15892</v>
      </c>
      <c r="F20" s="14" t="n">
        <v>182753</v>
      </c>
      <c r="G20" s="19" t="n">
        <v>0.06</v>
      </c>
      <c r="H20" s="14" t="n">
        <v>3050000</v>
      </c>
    </row>
    <row r="21">
      <c r="A21" s="6" t="inlineStr">
        <is>
          <t>12260 Pennsylvania St</t>
        </is>
      </c>
      <c r="B21" s="9" t="n">
        <v>237290</v>
      </c>
      <c r="C21" s="9" t="n">
        <v>-16610</v>
      </c>
      <c r="D21" s="9" t="n">
        <v>220680</v>
      </c>
      <c r="E21" s="9" t="n">
        <v>-22068</v>
      </c>
      <c r="F21" s="14" t="n">
        <v>198612</v>
      </c>
      <c r="G21" s="19" t="n">
        <v>0.07000000000000001</v>
      </c>
      <c r="H21" s="14" t="n">
        <v>2837000</v>
      </c>
    </row>
    <row r="22" ht="28" customHeight="1">
      <c r="A22" s="6" t="inlineStr">
        <is>
          <t>6770 E. 56th Ave</t>
        </is>
      </c>
      <c r="B22" s="9" t="n">
        <v>115824</v>
      </c>
      <c r="C22" s="9" t="n">
        <v>-5791</v>
      </c>
      <c r="D22" s="9" t="n">
        <v>110033</v>
      </c>
      <c r="E22" s="9" t="n">
        <v>-5502</v>
      </c>
      <c r="F22" s="14" t="n">
        <v>104531</v>
      </c>
      <c r="G22" s="19" t="n">
        <v>0.07000000000000001</v>
      </c>
      <c r="H22" s="14" t="n">
        <v>1493302</v>
      </c>
    </row>
    <row r="23">
      <c r="A23" s="6" t="inlineStr">
        <is>
          <t>5970 Marion Drive (mkt)</t>
        </is>
      </c>
      <c r="B23" s="9" t="n">
        <v>172800</v>
      </c>
      <c r="C23" s="9" t="n">
        <v>-8640</v>
      </c>
      <c r="D23" s="9" t="n">
        <v>164160</v>
      </c>
      <c r="E23" s="9" t="n">
        <v>-4223</v>
      </c>
      <c r="F23" s="14" t="n">
        <v>159937</v>
      </c>
      <c r="G23" s="19" t="n">
        <v>0.065</v>
      </c>
      <c r="H23" s="14" t="n">
        <v>2460577</v>
      </c>
    </row>
    <row r="24">
      <c r="A24" s="6" t="inlineStr">
        <is>
          <t>1540 Altura Blvd</t>
        </is>
      </c>
      <c r="B24" s="9" t="n">
        <v>413870</v>
      </c>
      <c r="C24" s="9" t="n">
        <v>0</v>
      </c>
      <c r="D24" s="9" t="n">
        <v>413870</v>
      </c>
      <c r="E24" s="9" t="n">
        <v>-248322</v>
      </c>
      <c r="F24" s="14" t="n">
        <v>165548</v>
      </c>
      <c r="G24" s="19" t="n">
        <v>0.065</v>
      </c>
      <c r="H24" s="14" t="n">
        <v>2546900</v>
      </c>
    </row>
    <row r="25">
      <c r="A25" s="6" t="inlineStr">
        <is>
          <t>15413 E 18th Ave</t>
        </is>
      </c>
      <c r="B25" s="9" t="n">
        <v>750646</v>
      </c>
      <c r="C25" s="9" t="n">
        <v>-90078</v>
      </c>
      <c r="D25" s="9" t="n">
        <v>660568</v>
      </c>
      <c r="E25" s="9" t="n">
        <v>-231199</v>
      </c>
      <c r="F25" s="14" t="n">
        <v>429370</v>
      </c>
      <c r="G25" s="19" t="n">
        <v>0.065</v>
      </c>
      <c r="H25" s="14" t="n">
        <v>6610000</v>
      </c>
    </row>
    <row r="26">
      <c r="A26" s="6" t="inlineStr">
        <is>
          <t>10350 Washington St</t>
        </is>
      </c>
      <c r="B26" s="9" t="n">
        <v>796125</v>
      </c>
      <c r="C26" s="9" t="n">
        <v>-119419</v>
      </c>
      <c r="D26" s="9" t="n">
        <v>676706</v>
      </c>
      <c r="E26" s="9" t="n">
        <v>-372188</v>
      </c>
      <c r="F26" s="14" t="n">
        <v>304518</v>
      </c>
      <c r="G26" s="19" t="n">
        <v>0.0675</v>
      </c>
      <c r="H26" s="14" t="n">
        <v>4510000</v>
      </c>
    </row>
    <row r="27"/>
    <row r="28">
      <c r="A28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 Self-storage proformas (Ryan): Altura EGI at 0% vacancy, OpEx 60% of EGI; 18th Ave base rent $13.00/SF NNN, 12% vacancy, non-reimbursable expenses 35%; Washington St base rent $16.50/SF NNN, 15% vacancy, non-reimbursable expenses 55%. Indicated values rounded by preparer.</t>
        </is>
      </c>
      <c r="B28" s="20" t="n"/>
      <c r="C28" s="20" t="n"/>
      <c r="D28" s="20" t="n"/>
      <c r="E28" s="20" t="n"/>
      <c r="F28" s="20" t="n"/>
      <c r="G28" s="20" t="n"/>
      <c r="H28" s="21" t="n"/>
    </row>
  </sheetData>
  <mergeCells count="6">
    <mergeCell ref="A4:H4"/>
    <mergeCell ref="A15:H15"/>
    <mergeCell ref="A2:H2"/>
    <mergeCell ref="A28:H28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11" t="inlineStr">
        <is>
          <t>1540 Altura Blvd (CubeSmart #6731) — FY2024</t>
        </is>
      </c>
      <c r="B9" s="22" t="n">
        <v>414633.83</v>
      </c>
      <c r="C9" s="22" t="n">
        <v>328355.94</v>
      </c>
      <c r="D9" s="23">
        <f>B9-C9</f>
        <v/>
      </c>
      <c r="E9" s="6" t="inlineStr">
        <is>
          <t>CubeSmart consolidated income statement (store-level NOI basis; incl. property tax &amp; 3rd-party mgmt fee)</t>
        </is>
      </c>
    </row>
    <row r="10" ht="28" customHeight="1">
      <c r="A10" s="11" t="inlineStr">
        <is>
          <t>15413 E 18th Ave (CubeSmart #6730) — FY2024</t>
        </is>
      </c>
      <c r="B10" s="22" t="n">
        <v>783123.25</v>
      </c>
      <c r="C10" s="22" t="n">
        <v>499759.18</v>
      </c>
      <c r="D10" s="23">
        <f>B10-C10</f>
        <v/>
      </c>
      <c r="E10" s="6" t="inlineStr">
        <is>
          <t>CubeSmart consolidated income statement (store-level NOI basis; incl. property tax &amp; 3rd-party mgmt fee)</t>
        </is>
      </c>
    </row>
    <row r="11">
      <c r="A11" s="11" t="inlineStr">
        <is>
          <t>10350 Washington St (Mini U) — FY2024</t>
        </is>
      </c>
      <c r="B11" s="22" t="n">
        <v>790386.21</v>
      </c>
      <c r="C11" s="22" t="n">
        <v>533121.11</v>
      </c>
      <c r="D11" s="23">
        <f>B11-C11</f>
        <v/>
      </c>
      <c r="E11" s="6" t="inlineStr">
        <is>
          <t>Mini U Storage NOI &amp; NI detail (NOI basis; excl. interest/extraordinary — net cash flow before D&amp;A $158,744.75)</t>
        </is>
      </c>
    </row>
    <row r="12">
      <c r="A12" s="11" t="inlineStr">
        <is>
          <t>10350 Washington St (Mini U) — FY2023</t>
        </is>
      </c>
      <c r="B12" s="22" t="n">
        <v>899471.29</v>
      </c>
      <c r="C12" s="22" t="n">
        <v>590318.63</v>
      </c>
      <c r="D12" s="23">
        <f>B12-C12</f>
        <v/>
      </c>
      <c r="E12" s="6" t="inlineStr">
        <is>
          <t>Mini U Storage NOI &amp; NI detail, prior year (NOI basis; net cash flow before D&amp;A $162,198.05)</t>
        </is>
      </c>
    </row>
    <row r="13"/>
    <row r="14">
      <c r="A14" s="18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</t>
        </is>
      </c>
      <c r="B14" s="20" t="n"/>
      <c r="C14" s="20" t="n"/>
      <c r="D14" s="20" t="n"/>
      <c r="E14" s="21" t="n"/>
    </row>
  </sheetData>
  <mergeCells count="3">
    <mergeCell ref="A2:E2"/>
    <mergeCell ref="A1:E1"/>
    <mergeCell ref="A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6">
      <c r="A66" s="6" t="inlineStr">
        <is>
          <t>1540 Altura Blvd — FY2024</t>
        </is>
      </c>
      <c r="B66" s="25" t="inlineStr">
        <is>
          <t>Income</t>
        </is>
      </c>
      <c r="C66" s="6" t="inlineStr">
        <is>
          <t>Net Rental Income</t>
        </is>
      </c>
      <c r="D66" s="22" t="n">
        <v>383165.98</v>
      </c>
      <c r="E66" s="6" t="n"/>
    </row>
    <row r="67">
      <c r="A67" s="6" t="inlineStr">
        <is>
          <t>1540 Altura Blvd — FY2024</t>
        </is>
      </c>
      <c r="B67" s="25" t="inlineStr">
        <is>
          <t>Income</t>
        </is>
      </c>
      <c r="C67" s="6" t="inlineStr">
        <is>
          <t>4281 - Admin Fee</t>
        </is>
      </c>
      <c r="D67" s="22" t="n">
        <v>6322</v>
      </c>
      <c r="E67" s="6" t="n"/>
    </row>
    <row r="68">
      <c r="A68" s="6" t="inlineStr">
        <is>
          <t>1540 Altura Blvd — FY2024</t>
        </is>
      </c>
      <c r="B68" s="25" t="inlineStr">
        <is>
          <t>Income</t>
        </is>
      </c>
      <c r="C68" s="6" t="inlineStr">
        <is>
          <t>4282 - Late Fee Revenue</t>
        </is>
      </c>
      <c r="D68" s="22" t="n">
        <v>29772.29</v>
      </c>
      <c r="E68" s="6" t="n"/>
    </row>
    <row r="69">
      <c r="A69" s="6" t="inlineStr">
        <is>
          <t>1540 Altura Blvd — FY2024</t>
        </is>
      </c>
      <c r="B69" s="25" t="inlineStr">
        <is>
          <t>Income</t>
        </is>
      </c>
      <c r="C69" s="6" t="inlineStr">
        <is>
          <t>4283 - Other Fee Revenue</t>
        </is>
      </c>
      <c r="D69" s="22" t="n">
        <v>294.71</v>
      </c>
      <c r="E69" s="6" t="n"/>
    </row>
    <row r="70">
      <c r="A70" s="6" t="inlineStr">
        <is>
          <t>1540 Altura Blvd — FY2024</t>
        </is>
      </c>
      <c r="B70" s="25" t="inlineStr">
        <is>
          <t>Income</t>
        </is>
      </c>
      <c r="C70" s="6" t="inlineStr">
        <is>
          <t>4284 - NSF Fees</t>
        </is>
      </c>
      <c r="D70" s="22" t="n">
        <v>90</v>
      </c>
      <c r="E70" s="6" t="n"/>
    </row>
    <row r="71">
      <c r="A71" s="6" t="inlineStr">
        <is>
          <t>1540 Altura Blvd — FY2024</t>
        </is>
      </c>
      <c r="B71" s="25" t="inlineStr">
        <is>
          <t>Income</t>
        </is>
      </c>
      <c r="C71" s="6" t="inlineStr">
        <is>
          <t>4286 - Convenience Fee Payments</t>
        </is>
      </c>
      <c r="D71" s="22" t="n">
        <v>2910.49</v>
      </c>
      <c r="E71" s="6" t="n"/>
    </row>
    <row r="72">
      <c r="A72" s="6" t="inlineStr">
        <is>
          <t>1540 Altura Blvd — FY2024</t>
        </is>
      </c>
      <c r="B72" s="25" t="inlineStr">
        <is>
          <t>Income</t>
        </is>
      </c>
      <c r="C72" s="6" t="inlineStr">
        <is>
          <t>4285 - Fees Waived</t>
        </is>
      </c>
      <c r="D72" s="22" t="n">
        <v>-23.55</v>
      </c>
      <c r="E72" s="6" t="n"/>
    </row>
    <row r="73">
      <c r="A73" s="6" t="inlineStr">
        <is>
          <t>1540 Altura Blvd — FY2024</t>
        </is>
      </c>
      <c r="B73" s="25" t="inlineStr">
        <is>
          <t>Income</t>
        </is>
      </c>
      <c r="C73" s="6" t="inlineStr">
        <is>
          <t>4287 - Fees Waived - Admin</t>
        </is>
      </c>
      <c r="D73" s="22" t="n">
        <v>-58</v>
      </c>
      <c r="E73" s="6" t="n"/>
    </row>
    <row r="74">
      <c r="A74" s="6" t="inlineStr">
        <is>
          <t>1540 Altura Blvd — FY2024</t>
        </is>
      </c>
      <c r="B74" s="25" t="inlineStr">
        <is>
          <t>Income</t>
        </is>
      </c>
      <c r="C74" s="6" t="inlineStr">
        <is>
          <t>4288 - Fees Waived - Late Fee</t>
        </is>
      </c>
      <c r="D74" s="22" t="n">
        <v>-1359.52</v>
      </c>
      <c r="E74" s="6" t="n"/>
    </row>
    <row r="75">
      <c r="A75" s="6" t="inlineStr">
        <is>
          <t>1540 Altura Blvd — FY2024</t>
        </is>
      </c>
      <c r="B75" s="25" t="inlineStr">
        <is>
          <t>Income</t>
        </is>
      </c>
      <c r="C75" s="6" t="inlineStr">
        <is>
          <t>4255 - Credit Card Chargebacks</t>
        </is>
      </c>
      <c r="D75" s="22" t="n">
        <v>-265</v>
      </c>
      <c r="E75" s="6" t="n"/>
    </row>
    <row r="76">
      <c r="A76" s="6" t="inlineStr">
        <is>
          <t>1540 Altura Blvd — FY2024</t>
        </is>
      </c>
      <c r="B76" s="25" t="inlineStr">
        <is>
          <t>Income</t>
        </is>
      </c>
      <c r="C76" s="6" t="inlineStr">
        <is>
          <t>7102 - Fees Written Off</t>
        </is>
      </c>
      <c r="D76" s="22" t="n">
        <v>-6215.58</v>
      </c>
      <c r="E76" s="6" t="n"/>
    </row>
    <row r="77">
      <c r="A77" s="6" t="inlineStr">
        <is>
          <t>1540 Altura Blvd — FY2024</t>
        </is>
      </c>
      <c r="B77" s="25" t="inlineStr">
        <is>
          <t>Income</t>
        </is>
      </c>
      <c r="C77" s="6" t="inlineStr">
        <is>
          <t>4999 - Miscellaneous</t>
        </is>
      </c>
      <c r="D77" s="22" t="n">
        <v>0.01</v>
      </c>
      <c r="E77" s="6" t="n"/>
    </row>
    <row r="78">
      <c r="A78" s="11" t="inlineStr">
        <is>
          <t>1540 Altura Blvd — FY2024</t>
        </is>
      </c>
      <c r="B78" s="26" t="inlineStr">
        <is>
          <t>Income</t>
        </is>
      </c>
      <c r="C78" s="12" t="inlineStr">
        <is>
          <t>TOTAL INCOME</t>
        </is>
      </c>
      <c r="D78" s="23">
        <f>SUM(D66:D77)</f>
        <v/>
      </c>
      <c r="E78" s="18" t="inlineStr">
        <is>
          <t>Printed total: $414,633.83.</t>
        </is>
      </c>
    </row>
    <row r="79">
      <c r="A79" s="6" t="inlineStr">
        <is>
          <t>1540 Altura Blvd — FY2024</t>
        </is>
      </c>
      <c r="B79" s="25" t="inlineStr">
        <is>
          <t>Expense</t>
        </is>
      </c>
      <c r="C79" s="6" t="inlineStr">
        <is>
          <t>6100 - Payroll</t>
        </is>
      </c>
      <c r="D79" s="22" t="n">
        <v>50113.05</v>
      </c>
      <c r="E79" s="6" t="n"/>
    </row>
    <row r="80">
      <c r="A80" s="6" t="inlineStr">
        <is>
          <t>1540 Altura Blvd — FY2024</t>
        </is>
      </c>
      <c r="B80" s="25" t="inlineStr">
        <is>
          <t>Expense</t>
        </is>
      </c>
      <c r="C80" s="6" t="inlineStr">
        <is>
          <t>6112 - Medical Expense</t>
        </is>
      </c>
      <c r="D80" s="22" t="n">
        <v>10224</v>
      </c>
      <c r="E80" s="6" t="n"/>
    </row>
    <row r="81">
      <c r="A81" s="6" t="inlineStr">
        <is>
          <t>1540 Altura Blvd — FY2024</t>
        </is>
      </c>
      <c r="B81" s="25" t="inlineStr">
        <is>
          <t>Expense</t>
        </is>
      </c>
      <c r="C81" s="6" t="inlineStr">
        <is>
          <t>6118 - 401K Expense</t>
        </is>
      </c>
      <c r="D81" s="22" t="n">
        <v>524.02</v>
      </c>
      <c r="E81" s="6" t="n"/>
    </row>
    <row r="82">
      <c r="A82" s="6" t="inlineStr">
        <is>
          <t>1540 Altura Blvd — FY2024</t>
        </is>
      </c>
      <c r="B82" s="25" t="inlineStr">
        <is>
          <t>Expense</t>
        </is>
      </c>
      <c r="C82" s="6" t="inlineStr">
        <is>
          <t>6128 - Teammate Rewards</t>
        </is>
      </c>
      <c r="D82" s="22" t="n">
        <v>120</v>
      </c>
      <c r="E82" s="6" t="n"/>
    </row>
    <row r="83">
      <c r="A83" s="6" t="inlineStr">
        <is>
          <t>1540 Altura Blvd — FY2024</t>
        </is>
      </c>
      <c r="B83" s="25" t="inlineStr">
        <is>
          <t>Expense</t>
        </is>
      </c>
      <c r="C83" s="6" t="inlineStr">
        <is>
          <t>6130 - Payroll Tax</t>
        </is>
      </c>
      <c r="D83" s="22" t="n">
        <v>3255.82</v>
      </c>
      <c r="E83" s="6" t="n"/>
    </row>
    <row r="84">
      <c r="A84" s="6" t="inlineStr">
        <is>
          <t>1540 Altura Blvd — FY2024</t>
        </is>
      </c>
      <c r="B84" s="25" t="inlineStr">
        <is>
          <t>Expense</t>
        </is>
      </c>
      <c r="C84" s="6" t="inlineStr">
        <is>
          <t>6135 - Bonus</t>
        </is>
      </c>
      <c r="D84" s="22" t="n">
        <v>4044.11</v>
      </c>
      <c r="E84" s="6" t="n"/>
    </row>
    <row r="85">
      <c r="A85" s="6" t="inlineStr">
        <is>
          <t>1540 Altura Blvd — FY2024</t>
        </is>
      </c>
      <c r="B85" s="25" t="inlineStr">
        <is>
          <t>Expense</t>
        </is>
      </c>
      <c r="C85" s="6" t="inlineStr">
        <is>
          <t>6283 - Workers Comp Premium</t>
        </is>
      </c>
      <c r="D85" s="22" t="n">
        <v>1196.36</v>
      </c>
      <c r="E85" s="6" t="inlineStr">
        <is>
          <t>Payroll subtotal $69,477.36</t>
        </is>
      </c>
    </row>
    <row r="86">
      <c r="A86" s="6" t="inlineStr">
        <is>
          <t>1540 Altura Blvd — FY2024</t>
        </is>
      </c>
      <c r="B86" s="25" t="inlineStr">
        <is>
          <t>Expense</t>
        </is>
      </c>
      <c r="C86" s="6" t="inlineStr">
        <is>
          <t>6150 - Rubbish Removal</t>
        </is>
      </c>
      <c r="D86" s="22" t="n">
        <v>1652.28</v>
      </c>
      <c r="E86" s="6" t="n"/>
    </row>
    <row r="87">
      <c r="A87" s="6" t="inlineStr">
        <is>
          <t>1540 Altura Blvd — FY2024</t>
        </is>
      </c>
      <c r="B87" s="25" t="inlineStr">
        <is>
          <t>Expense</t>
        </is>
      </c>
      <c r="C87" s="6" t="inlineStr">
        <is>
          <t>6158 - Exterminating</t>
        </is>
      </c>
      <c r="D87" s="22" t="n">
        <v>813.21</v>
      </c>
      <c r="E87" s="6" t="n"/>
    </row>
    <row r="88">
      <c r="A88" s="6" t="inlineStr">
        <is>
          <t>1540 Altura Blvd — FY2024</t>
        </is>
      </c>
      <c r="B88" s="25" t="inlineStr">
        <is>
          <t>Expense</t>
        </is>
      </c>
      <c r="C88" s="6" t="inlineStr">
        <is>
          <t>6184 - Electric</t>
        </is>
      </c>
      <c r="D88" s="22" t="n">
        <v>6712.38</v>
      </c>
      <c r="E88" s="6" t="n"/>
    </row>
    <row r="89">
      <c r="A89" s="6" t="inlineStr">
        <is>
          <t>1540 Altura Blvd — FY2024</t>
        </is>
      </c>
      <c r="B89" s="25" t="inlineStr">
        <is>
          <t>Expense</t>
        </is>
      </c>
      <c r="C89" s="6" t="inlineStr">
        <is>
          <t>6185 - Telephone</t>
        </is>
      </c>
      <c r="D89" s="22" t="n">
        <v>2590.36</v>
      </c>
      <c r="E89" s="6" t="n"/>
    </row>
    <row r="90">
      <c r="A90" s="6" t="inlineStr">
        <is>
          <t>1540 Altura Blvd — FY2024</t>
        </is>
      </c>
      <c r="B90" s="25" t="inlineStr">
        <is>
          <t>Expense</t>
        </is>
      </c>
      <c r="C90" s="6" t="inlineStr">
        <is>
          <t>6186 - Water/Sewer</t>
        </is>
      </c>
      <c r="D90" s="22" t="n">
        <v>4080.59</v>
      </c>
      <c r="E90" s="6" t="inlineStr">
        <is>
          <t>Utilities subtotal $15,848.82</t>
        </is>
      </c>
    </row>
    <row r="91">
      <c r="A91" s="6" t="inlineStr">
        <is>
          <t>1540 Altura Blvd — FY2024</t>
        </is>
      </c>
      <c r="B91" s="25" t="inlineStr">
        <is>
          <t>Expense</t>
        </is>
      </c>
      <c r="C91" s="6" t="inlineStr">
        <is>
          <t>6189 - R &amp; M Roof</t>
        </is>
      </c>
      <c r="D91" s="22" t="n">
        <v>2103.2</v>
      </c>
      <c r="E91" s="6" t="n"/>
    </row>
    <row r="92">
      <c r="A92" s="6" t="inlineStr">
        <is>
          <t>1540 Altura Blvd — FY2024</t>
        </is>
      </c>
      <c r="B92" s="25" t="inlineStr">
        <is>
          <t>Expense</t>
        </is>
      </c>
      <c r="C92" s="6" t="inlineStr">
        <is>
          <t>6192 - Repairs &amp; Maintenance</t>
        </is>
      </c>
      <c r="D92" s="22" t="n">
        <v>1302.17</v>
      </c>
      <c r="E92" s="6" t="n"/>
    </row>
    <row r="93">
      <c r="A93" s="6" t="inlineStr">
        <is>
          <t>1540 Altura Blvd — FY2024</t>
        </is>
      </c>
      <c r="B93" s="25" t="inlineStr">
        <is>
          <t>Expense</t>
        </is>
      </c>
      <c r="C93" s="6" t="inlineStr">
        <is>
          <t>6194 - R &amp; M Doors</t>
        </is>
      </c>
      <c r="D93" s="22" t="n">
        <v>3589.04</v>
      </c>
      <c r="E93" s="6" t="n"/>
    </row>
    <row r="94">
      <c r="A94" s="6" t="inlineStr">
        <is>
          <t>1540 Altura Blvd — FY2024</t>
        </is>
      </c>
      <c r="B94" s="25" t="inlineStr">
        <is>
          <t>Expense</t>
        </is>
      </c>
      <c r="C94" s="6" t="inlineStr">
        <is>
          <t>6195 - R &amp; M Gates</t>
        </is>
      </c>
      <c r="D94" s="22" t="n">
        <v>4333.14</v>
      </c>
      <c r="E94" s="6" t="n"/>
    </row>
    <row r="95">
      <c r="A95" s="6" t="inlineStr">
        <is>
          <t>1540 Altura Blvd — FY2024</t>
        </is>
      </c>
      <c r="B95" s="25" t="inlineStr">
        <is>
          <t>Expense</t>
        </is>
      </c>
      <c r="C95" s="6" t="inlineStr">
        <is>
          <t>6196 - R &amp; M Golf Carts</t>
        </is>
      </c>
      <c r="D95" s="22" t="n">
        <v>902.36</v>
      </c>
      <c r="E95" s="6" t="n"/>
    </row>
    <row r="96">
      <c r="A96" s="6" t="inlineStr">
        <is>
          <t>1540 Altura Blvd — FY2024</t>
        </is>
      </c>
      <c r="B96" s="25" t="inlineStr">
        <is>
          <t>Expense</t>
        </is>
      </c>
      <c r="C96" s="6" t="inlineStr">
        <is>
          <t>6197 - R &amp; M Parking Lot</t>
        </is>
      </c>
      <c r="D96" s="22" t="n">
        <v>1783.14</v>
      </c>
      <c r="E96" s="6" t="n"/>
    </row>
    <row r="97">
      <c r="A97" s="6" t="inlineStr">
        <is>
          <t>1540 Altura Blvd — FY2024</t>
        </is>
      </c>
      <c r="B97" s="25" t="inlineStr">
        <is>
          <t>Expense</t>
        </is>
      </c>
      <c r="C97" s="6" t="inlineStr">
        <is>
          <t>6198 - R &amp; M Cameras</t>
        </is>
      </c>
      <c r="D97" s="22" t="n">
        <v>597.67</v>
      </c>
      <c r="E97" s="6" t="n"/>
    </row>
    <row r="98">
      <c r="A98" s="6" t="inlineStr">
        <is>
          <t>1540 Altura Blvd — FY2024</t>
        </is>
      </c>
      <c r="B98" s="25" t="inlineStr">
        <is>
          <t>Expense</t>
        </is>
      </c>
      <c r="C98" s="6" t="inlineStr">
        <is>
          <t>6199 - R &amp; M Hvac</t>
        </is>
      </c>
      <c r="D98" s="22" t="n">
        <v>975</v>
      </c>
      <c r="E98" s="6" t="n"/>
    </row>
    <row r="99">
      <c r="A99" s="6" t="inlineStr">
        <is>
          <t>1540 Altura Blvd — FY2024</t>
        </is>
      </c>
      <c r="B99" s="25" t="inlineStr">
        <is>
          <t>Expense</t>
        </is>
      </c>
      <c r="C99" s="6" t="inlineStr">
        <is>
          <t>6201 - R &amp; M Fire Protection</t>
        </is>
      </c>
      <c r="D99" s="22" t="n">
        <v>1446.78</v>
      </c>
      <c r="E99" s="6" t="n"/>
    </row>
    <row r="100">
      <c r="A100" s="6" t="inlineStr">
        <is>
          <t>1540 Altura Blvd — FY2024</t>
        </is>
      </c>
      <c r="B100" s="25" t="inlineStr">
        <is>
          <t>Expense</t>
        </is>
      </c>
      <c r="C100" s="6" t="inlineStr">
        <is>
          <t>6203 - R &amp; M Lighting/Electrical</t>
        </is>
      </c>
      <c r="D100" s="22" t="n">
        <v>4909.65</v>
      </c>
      <c r="E100" s="6" t="n"/>
    </row>
    <row r="101">
      <c r="A101" s="6" t="inlineStr">
        <is>
          <t>1540 Altura Blvd — FY2024</t>
        </is>
      </c>
      <c r="B101" s="25" t="inlineStr">
        <is>
          <t>Expense</t>
        </is>
      </c>
      <c r="C101" s="6" t="inlineStr">
        <is>
          <t>6206 - R &amp; M Exterior Building Repair</t>
        </is>
      </c>
      <c r="D101" s="22" t="n">
        <v>2263.41</v>
      </c>
      <c r="E101" s="6" t="n"/>
    </row>
    <row r="102">
      <c r="A102" s="6" t="inlineStr">
        <is>
          <t>1540 Altura Blvd — FY2024</t>
        </is>
      </c>
      <c r="B102" s="25" t="inlineStr">
        <is>
          <t>Expense</t>
        </is>
      </c>
      <c r="C102" s="6" t="inlineStr">
        <is>
          <t>6321 - R &amp; M Apartment</t>
        </is>
      </c>
      <c r="D102" s="22" t="n">
        <v>1291.58</v>
      </c>
      <c r="E102" s="6" t="inlineStr">
        <is>
          <t>R&amp;M subtotal $25,497.14</t>
        </is>
      </c>
    </row>
    <row r="103">
      <c r="A103" s="6" t="inlineStr">
        <is>
          <t>1540 Altura Blvd — FY2024</t>
        </is>
      </c>
      <c r="B103" s="25" t="inlineStr">
        <is>
          <t>Expense</t>
        </is>
      </c>
      <c r="C103" s="6" t="inlineStr">
        <is>
          <t>6151 - Unit Cleanouts</t>
        </is>
      </c>
      <c r="D103" s="22" t="n">
        <v>5672.87</v>
      </c>
      <c r="E103" s="6" t="n"/>
    </row>
    <row r="104">
      <c r="A104" s="6" t="inlineStr">
        <is>
          <t>1540 Altura Blvd — FY2024</t>
        </is>
      </c>
      <c r="B104" s="25" t="inlineStr">
        <is>
          <t>Expense</t>
        </is>
      </c>
      <c r="C104" s="6" t="inlineStr">
        <is>
          <t>6152 - Uniforms</t>
        </is>
      </c>
      <c r="D104" s="22" t="n">
        <v>324.8</v>
      </c>
      <c r="E104" s="6" t="n"/>
    </row>
    <row r="105">
      <c r="A105" s="6" t="inlineStr">
        <is>
          <t>1540 Altura Blvd — FY2024</t>
        </is>
      </c>
      <c r="B105" s="25" t="inlineStr">
        <is>
          <t>Expense</t>
        </is>
      </c>
      <c r="C105" s="6" t="inlineStr">
        <is>
          <t>6156 - Outside Services</t>
        </is>
      </c>
      <c r="D105" s="22" t="n">
        <v>435</v>
      </c>
      <c r="E105" s="6" t="n"/>
    </row>
    <row r="106">
      <c r="A106" s="6" t="inlineStr">
        <is>
          <t>1540 Altura Blvd — FY2024</t>
        </is>
      </c>
      <c r="B106" s="25" t="inlineStr">
        <is>
          <t>Expense</t>
        </is>
      </c>
      <c r="C106" s="6" t="inlineStr">
        <is>
          <t>6159 - Sales Center</t>
        </is>
      </c>
      <c r="D106" s="22" t="n">
        <v>4140</v>
      </c>
      <c r="E106" s="6" t="n"/>
    </row>
    <row r="107">
      <c r="A107" s="6" t="inlineStr">
        <is>
          <t>1540 Altura Blvd — FY2024</t>
        </is>
      </c>
      <c r="B107" s="25" t="inlineStr">
        <is>
          <t>Expense</t>
        </is>
      </c>
      <c r="C107" s="6" t="inlineStr">
        <is>
          <t>6163 - Help Desk</t>
        </is>
      </c>
      <c r="D107" s="22" t="n">
        <v>534.12</v>
      </c>
      <c r="E107" s="6" t="n"/>
    </row>
    <row r="108">
      <c r="A108" s="6" t="inlineStr">
        <is>
          <t>1540 Altura Blvd — FY2024</t>
        </is>
      </c>
      <c r="B108" s="25" t="inlineStr">
        <is>
          <t>Expense</t>
        </is>
      </c>
      <c r="C108" s="6" t="inlineStr">
        <is>
          <t>6162 - Supplies</t>
        </is>
      </c>
      <c r="D108" s="22" t="n">
        <v>1572.32</v>
      </c>
      <c r="E108" s="6" t="n"/>
    </row>
    <row r="109">
      <c r="A109" s="6" t="inlineStr">
        <is>
          <t>1540 Altura Blvd — FY2024</t>
        </is>
      </c>
      <c r="B109" s="25" t="inlineStr">
        <is>
          <t>Expense</t>
        </is>
      </c>
      <c r="C109" s="6" t="inlineStr">
        <is>
          <t>6164 - Sale Items</t>
        </is>
      </c>
      <c r="D109" s="22" t="n">
        <v>2869.93</v>
      </c>
      <c r="E109" s="6" t="n"/>
    </row>
    <row r="110">
      <c r="A110" s="6" t="inlineStr">
        <is>
          <t>1540 Altura Blvd — FY2024</t>
        </is>
      </c>
      <c r="B110" s="25" t="inlineStr">
        <is>
          <t>Expense</t>
        </is>
      </c>
      <c r="C110" s="6" t="inlineStr">
        <is>
          <t>6168 - Dues &amp; Subscriptions</t>
        </is>
      </c>
      <c r="D110" s="22" t="n">
        <v>133.59</v>
      </c>
      <c r="E110" s="6" t="n"/>
    </row>
    <row r="111">
      <c r="A111" s="6" t="inlineStr">
        <is>
          <t>1540 Altura Blvd — FY2024</t>
        </is>
      </c>
      <c r="B111" s="25" t="inlineStr">
        <is>
          <t>Expense</t>
        </is>
      </c>
      <c r="C111" s="6" t="inlineStr">
        <is>
          <t>6170 - Landscaping</t>
        </is>
      </c>
      <c r="D111" s="22" t="n">
        <v>11211.05</v>
      </c>
      <c r="E111" s="6" t="n"/>
    </row>
    <row r="112">
      <c r="A112" s="6" t="inlineStr">
        <is>
          <t>1540 Altura Blvd — FY2024</t>
        </is>
      </c>
      <c r="B112" s="25" t="inlineStr">
        <is>
          <t>Expense</t>
        </is>
      </c>
      <c r="C112" s="6" t="inlineStr">
        <is>
          <t>6174 - Signs</t>
        </is>
      </c>
      <c r="D112" s="22" t="n">
        <v>454.49</v>
      </c>
      <c r="E112" s="6" t="n"/>
    </row>
    <row r="113">
      <c r="A113" s="6" t="inlineStr">
        <is>
          <t>1540 Altura Blvd — FY2024</t>
        </is>
      </c>
      <c r="B113" s="25" t="inlineStr">
        <is>
          <t>Expense</t>
        </is>
      </c>
      <c r="C113" s="6" t="inlineStr">
        <is>
          <t>6176 - Teammate Mileage</t>
        </is>
      </c>
      <c r="D113" s="22" t="n">
        <v>1645.19</v>
      </c>
      <c r="E113" s="6" t="n"/>
    </row>
    <row r="114">
      <c r="A114" s="6" t="inlineStr">
        <is>
          <t>1540 Altura Blvd — FY2024</t>
        </is>
      </c>
      <c r="B114" s="25" t="inlineStr">
        <is>
          <t>Expense</t>
        </is>
      </c>
      <c r="C114" s="6" t="inlineStr">
        <is>
          <t>6182 - Fees &amp; Licenses</t>
        </is>
      </c>
      <c r="D114" s="22" t="n">
        <v>235.38</v>
      </c>
      <c r="E114" s="6" t="n"/>
    </row>
    <row r="115">
      <c r="A115" s="6" t="inlineStr">
        <is>
          <t>1540 Altura Blvd — FY2024</t>
        </is>
      </c>
      <c r="B115" s="25" t="inlineStr">
        <is>
          <t>Expense</t>
        </is>
      </c>
      <c r="C115" s="6" t="inlineStr">
        <is>
          <t>6190 - Postage</t>
        </is>
      </c>
      <c r="D115" s="22" t="n">
        <v>628.63</v>
      </c>
      <c r="E115" s="6" t="n"/>
    </row>
    <row r="116">
      <c r="A116" s="6" t="inlineStr">
        <is>
          <t>1540 Altura Blvd — FY2024</t>
        </is>
      </c>
      <c r="B116" s="25" t="inlineStr">
        <is>
          <t>Expense</t>
        </is>
      </c>
      <c r="C116" s="6" t="inlineStr">
        <is>
          <t>6212 - Office Supplies</t>
        </is>
      </c>
      <c r="D116" s="22" t="n">
        <v>1187.66</v>
      </c>
      <c r="E116" s="6" t="n"/>
    </row>
    <row r="117">
      <c r="A117" s="6" t="inlineStr">
        <is>
          <t>1540 Altura Blvd — FY2024</t>
        </is>
      </c>
      <c r="B117" s="25" t="inlineStr">
        <is>
          <t>Expense</t>
        </is>
      </c>
      <c r="C117" s="6" t="inlineStr">
        <is>
          <t>6218 - Printing Expense</t>
        </is>
      </c>
      <c r="D117" s="22" t="n">
        <v>75.59999999999999</v>
      </c>
      <c r="E117" s="6" t="n"/>
    </row>
    <row r="118">
      <c r="A118" s="6" t="inlineStr">
        <is>
          <t>1540 Altura Blvd — FY2024</t>
        </is>
      </c>
      <c r="B118" s="25" t="inlineStr">
        <is>
          <t>Expense</t>
        </is>
      </c>
      <c r="C118" s="6" t="inlineStr">
        <is>
          <t>6220 - Equipment</t>
        </is>
      </c>
      <c r="D118" s="22" t="n">
        <v>99.47</v>
      </c>
      <c r="E118" s="6" t="n"/>
    </row>
    <row r="119">
      <c r="A119" s="6" t="inlineStr">
        <is>
          <t>1540 Altura Blvd — FY2024</t>
        </is>
      </c>
      <c r="B119" s="25" t="inlineStr">
        <is>
          <t>Expense</t>
        </is>
      </c>
      <c r="C119" s="6" t="inlineStr">
        <is>
          <t>6224 - Computer Equipment - Non Capex</t>
        </is>
      </c>
      <c r="D119" s="22" t="n">
        <v>934.8</v>
      </c>
      <c r="E119" s="6" t="n"/>
    </row>
    <row r="120">
      <c r="A120" s="6" t="inlineStr">
        <is>
          <t>1540 Altura Blvd — FY2024</t>
        </is>
      </c>
      <c r="B120" s="25" t="inlineStr">
        <is>
          <t>Expense</t>
        </is>
      </c>
      <c r="C120" s="6" t="inlineStr">
        <is>
          <t>6225 - CMS License Fee</t>
        </is>
      </c>
      <c r="D120" s="22" t="n">
        <v>2347.44</v>
      </c>
      <c r="E120" s="6" t="n"/>
    </row>
    <row r="121">
      <c r="A121" s="6" t="inlineStr">
        <is>
          <t>1540 Altura Blvd — FY2024</t>
        </is>
      </c>
      <c r="B121" s="25" t="inlineStr">
        <is>
          <t>Expense</t>
        </is>
      </c>
      <c r="C121" s="6" t="inlineStr">
        <is>
          <t>6228 - Bank Adjustments</t>
        </is>
      </c>
      <c r="D121" s="22" t="n">
        <v>0.14</v>
      </c>
      <c r="E121" s="6" t="n"/>
    </row>
    <row r="122">
      <c r="A122" s="6" t="inlineStr">
        <is>
          <t>1540 Altura Blvd — FY2024</t>
        </is>
      </c>
      <c r="B122" s="25" t="inlineStr">
        <is>
          <t>Expense</t>
        </is>
      </c>
      <c r="C122" s="6" t="inlineStr">
        <is>
          <t>6232 - Visa/Mastercard Fees</t>
        </is>
      </c>
      <c r="D122" s="22" t="n">
        <v>4895.03</v>
      </c>
      <c r="E122" s="6" t="n"/>
    </row>
    <row r="123">
      <c r="A123" s="6" t="inlineStr">
        <is>
          <t>1540 Altura Blvd — FY2024</t>
        </is>
      </c>
      <c r="B123" s="25" t="inlineStr">
        <is>
          <t>Expense</t>
        </is>
      </c>
      <c r="C123" s="6" t="inlineStr">
        <is>
          <t>6233 - American Express Fees</t>
        </is>
      </c>
      <c r="D123" s="22" t="n">
        <v>402.88</v>
      </c>
      <c r="E123" s="6" t="n"/>
    </row>
    <row r="124">
      <c r="A124" s="6" t="inlineStr">
        <is>
          <t>1540 Altura Blvd — FY2024</t>
        </is>
      </c>
      <c r="B124" s="25" t="inlineStr">
        <is>
          <t>Expense</t>
        </is>
      </c>
      <c r="C124" s="6" t="inlineStr">
        <is>
          <t>6235 - ACH Fees</t>
        </is>
      </c>
      <c r="D124" s="22" t="n">
        <v>46.5</v>
      </c>
      <c r="E124" s="6" t="n"/>
    </row>
    <row r="125">
      <c r="A125" s="6" t="inlineStr">
        <is>
          <t>1540 Altura Blvd — FY2024</t>
        </is>
      </c>
      <c r="B125" s="25" t="inlineStr">
        <is>
          <t>Expense</t>
        </is>
      </c>
      <c r="C125" s="6" t="inlineStr">
        <is>
          <t>6256 - Legal/Auction</t>
        </is>
      </c>
      <c r="D125" s="22" t="n">
        <v>589.6799999999999</v>
      </c>
      <c r="E125" s="6" t="inlineStr">
        <is>
          <t>Other controllable subtotal $40,436.57</t>
        </is>
      </c>
    </row>
    <row r="126">
      <c r="A126" s="6" t="inlineStr">
        <is>
          <t>1540 Altura Blvd — FY2024</t>
        </is>
      </c>
      <c r="B126" s="25" t="inlineStr">
        <is>
          <t>Expense</t>
        </is>
      </c>
      <c r="C126" s="6" t="inlineStr">
        <is>
          <t>6365 - Internet/Website Costs</t>
        </is>
      </c>
      <c r="D126" s="22" t="n">
        <v>22463.57</v>
      </c>
      <c r="E126" s="6" t="n"/>
    </row>
    <row r="127">
      <c r="A127" s="6" t="inlineStr">
        <is>
          <t>1540 Altura Blvd — FY2024</t>
        </is>
      </c>
      <c r="B127" s="25" t="inlineStr">
        <is>
          <t>Expense</t>
        </is>
      </c>
      <c r="C127" s="6" t="inlineStr">
        <is>
          <t>6375 - Store Marketing</t>
        </is>
      </c>
      <c r="D127" s="22" t="n">
        <v>2010.82</v>
      </c>
      <c r="E127" s="6" t="inlineStr">
        <is>
          <t>Marketing subtotal $24,474.39; controllable expenses $175,734.28</t>
        </is>
      </c>
    </row>
    <row r="128">
      <c r="A128" s="6" t="inlineStr">
        <is>
          <t>1540 Altura Blvd — FY2024</t>
        </is>
      </c>
      <c r="B128" s="25" t="inlineStr">
        <is>
          <t>Expense</t>
        </is>
      </c>
      <c r="C128" s="6" t="inlineStr">
        <is>
          <t>7030 - Sales Tax Collection Allowance (offset)</t>
        </is>
      </c>
      <c r="D128" s="22" t="n">
        <v>-12.01</v>
      </c>
      <c r="E128" s="6" t="n"/>
    </row>
    <row r="129">
      <c r="A129" s="6" t="inlineStr">
        <is>
          <t>1540 Altura Blvd — FY2024</t>
        </is>
      </c>
      <c r="B129" s="25" t="inlineStr">
        <is>
          <t>Expense</t>
        </is>
      </c>
      <c r="C129" s="6" t="inlineStr">
        <is>
          <t>7240 - Gross Receipts Tax (property tax)</t>
        </is>
      </c>
      <c r="D129" s="22" t="n">
        <v>121803.84</v>
      </c>
      <c r="E129" s="6" t="n"/>
    </row>
    <row r="130">
      <c r="A130" s="6" t="inlineStr">
        <is>
          <t>1540 Altura Blvd — FY2024</t>
        </is>
      </c>
      <c r="B130" s="25" t="inlineStr">
        <is>
          <t>Expense</t>
        </is>
      </c>
      <c r="C130" s="6" t="inlineStr">
        <is>
          <t>6280 - Insurance</t>
        </is>
      </c>
      <c r="D130" s="22" t="n">
        <v>5842.43</v>
      </c>
      <c r="E130" s="6" t="n"/>
    </row>
    <row r="131">
      <c r="A131" s="6" t="inlineStr">
        <is>
          <t>1540 Altura Blvd — FY2024</t>
        </is>
      </c>
      <c r="B131" s="25" t="inlineStr">
        <is>
          <t>Expense</t>
        </is>
      </c>
      <c r="C131" s="6" t="inlineStr">
        <is>
          <t>6172 - Snow Removal &amp; Salting</t>
        </is>
      </c>
      <c r="D131" s="22" t="n">
        <v>2180</v>
      </c>
      <c r="E131" s="6" t="n"/>
    </row>
    <row r="132">
      <c r="A132" s="6" t="inlineStr">
        <is>
          <t>1540 Altura Blvd — FY2024</t>
        </is>
      </c>
      <c r="B132" s="25" t="inlineStr">
        <is>
          <t>Expense</t>
        </is>
      </c>
      <c r="C132" s="6" t="inlineStr">
        <is>
          <t>7530 - Professional Fees</t>
        </is>
      </c>
      <c r="D132" s="22" t="n">
        <v>350</v>
      </c>
      <c r="E132" s="6" t="n"/>
    </row>
    <row r="133">
      <c r="A133" s="6" t="inlineStr">
        <is>
          <t>1540 Altura Blvd — FY2024</t>
        </is>
      </c>
      <c r="B133" s="25" t="inlineStr">
        <is>
          <t>Expense</t>
        </is>
      </c>
      <c r="C133" s="6" t="inlineStr">
        <is>
          <t>6801 - Third Party Management Fees</t>
        </is>
      </c>
      <c r="D133" s="22" t="n">
        <v>22457.4</v>
      </c>
      <c r="E133" s="6" t="inlineStr">
        <is>
          <t>Non-controllable expenses $152,621.66</t>
        </is>
      </c>
    </row>
    <row r="134">
      <c r="A134" s="11" t="inlineStr">
        <is>
          <t>1540 Altura Blvd — FY2024</t>
        </is>
      </c>
      <c r="B134" s="26" t="inlineStr">
        <is>
          <t>Expense</t>
        </is>
      </c>
      <c r="C134" s="12" t="inlineStr">
        <is>
          <t>TOTAL EXPENSE</t>
        </is>
      </c>
      <c r="D134" s="23">
        <f>SUM(D79:D133)</f>
        <v/>
      </c>
      <c r="E134" s="18" t="inlineStr">
        <is>
          <t>Printed total: $328,355.94. NOI per statement $86,277.89 (accrual, store-level).</t>
        </is>
      </c>
    </row>
    <row r="135">
      <c r="A135" s="6" t="inlineStr">
        <is>
          <t>15413 E 18th Ave — FY2024</t>
        </is>
      </c>
      <c r="B135" s="25" t="inlineStr">
        <is>
          <t>Income</t>
        </is>
      </c>
      <c r="C135" s="6" t="inlineStr">
        <is>
          <t>Net Rental Income</t>
        </is>
      </c>
      <c r="D135" s="22" t="n">
        <v>731252.08</v>
      </c>
      <c r="E135" s="6" t="n"/>
    </row>
    <row r="136">
      <c r="A136" s="6" t="inlineStr">
        <is>
          <t>15413 E 18th Ave — FY2024</t>
        </is>
      </c>
      <c r="B136" s="25" t="inlineStr">
        <is>
          <t>Income</t>
        </is>
      </c>
      <c r="C136" s="6" t="inlineStr">
        <is>
          <t>4281 - Admin Fee</t>
        </is>
      </c>
      <c r="D136" s="22" t="n">
        <v>9889</v>
      </c>
      <c r="E136" s="6" t="n"/>
    </row>
    <row r="137">
      <c r="A137" s="6" t="inlineStr">
        <is>
          <t>15413 E 18th Ave — FY2024</t>
        </is>
      </c>
      <c r="B137" s="25" t="inlineStr">
        <is>
          <t>Income</t>
        </is>
      </c>
      <c r="C137" s="6" t="inlineStr">
        <is>
          <t>4282 - Late Fee Revenue</t>
        </is>
      </c>
      <c r="D137" s="22" t="n">
        <v>45687.17</v>
      </c>
      <c r="E137" s="6" t="n"/>
    </row>
    <row r="138">
      <c r="A138" s="6" t="inlineStr">
        <is>
          <t>15413 E 18th Ave — FY2024</t>
        </is>
      </c>
      <c r="B138" s="25" t="inlineStr">
        <is>
          <t>Income</t>
        </is>
      </c>
      <c r="C138" s="6" t="inlineStr">
        <is>
          <t>4283 - Other Fee Revenue</t>
        </is>
      </c>
      <c r="D138" s="22" t="n">
        <v>149.54</v>
      </c>
      <c r="E138" s="6" t="n"/>
    </row>
    <row r="139">
      <c r="A139" s="6" t="inlineStr">
        <is>
          <t>15413 E 18th Ave — FY2024</t>
        </is>
      </c>
      <c r="B139" s="25" t="inlineStr">
        <is>
          <t>Income</t>
        </is>
      </c>
      <c r="C139" s="6" t="inlineStr">
        <is>
          <t>4284 - NSF Fees</t>
        </is>
      </c>
      <c r="D139" s="22" t="n">
        <v>60</v>
      </c>
      <c r="E139" s="6" t="n"/>
    </row>
    <row r="140">
      <c r="A140" s="6" t="inlineStr">
        <is>
          <t>15413 E 18th Ave — FY2024</t>
        </is>
      </c>
      <c r="B140" s="25" t="inlineStr">
        <is>
          <t>Income</t>
        </is>
      </c>
      <c r="C140" s="6" t="inlineStr">
        <is>
          <t>4286 - Convenience Fee Payments</t>
        </is>
      </c>
      <c r="D140" s="22" t="n">
        <v>4306.11</v>
      </c>
      <c r="E140" s="6" t="n"/>
    </row>
    <row r="141">
      <c r="A141" s="6" t="inlineStr">
        <is>
          <t>15413 E 18th Ave — FY2024</t>
        </is>
      </c>
      <c r="B141" s="25" t="inlineStr">
        <is>
          <t>Income</t>
        </is>
      </c>
      <c r="C141" s="6" t="inlineStr">
        <is>
          <t>4285 - Fees Waived</t>
        </is>
      </c>
      <c r="D141" s="22" t="n">
        <v>-2.32</v>
      </c>
      <c r="E141" s="6" t="n"/>
    </row>
    <row r="142">
      <c r="A142" s="6" t="inlineStr">
        <is>
          <t>15413 E 18th Ave — FY2024</t>
        </is>
      </c>
      <c r="B142" s="25" t="inlineStr">
        <is>
          <t>Income</t>
        </is>
      </c>
      <c r="C142" s="6" t="inlineStr">
        <is>
          <t>4287 - Fees Waived - Admin</t>
        </is>
      </c>
      <c r="D142" s="22" t="n">
        <v>-116</v>
      </c>
      <c r="E142" s="6" t="n"/>
    </row>
    <row r="143">
      <c r="A143" s="6" t="inlineStr">
        <is>
          <t>15413 E 18th Ave — FY2024</t>
        </is>
      </c>
      <c r="B143" s="25" t="inlineStr">
        <is>
          <t>Income</t>
        </is>
      </c>
      <c r="C143" s="6" t="inlineStr">
        <is>
          <t>4288 - Fees Waived - Late Fee</t>
        </is>
      </c>
      <c r="D143" s="22" t="n">
        <v>-787.76</v>
      </c>
      <c r="E143" s="6" t="n"/>
    </row>
    <row r="144">
      <c r="A144" s="6" t="inlineStr">
        <is>
          <t>15413 E 18th Ave — FY2024</t>
        </is>
      </c>
      <c r="B144" s="25" t="inlineStr">
        <is>
          <t>Income</t>
        </is>
      </c>
      <c r="C144" s="6" t="inlineStr">
        <is>
          <t>4255 - Credit Card Chargebacks</t>
        </is>
      </c>
      <c r="D144" s="22" t="n">
        <v>-196.9</v>
      </c>
      <c r="E144" s="6" t="n"/>
    </row>
    <row r="145">
      <c r="A145" s="6" t="inlineStr">
        <is>
          <t>15413 E 18th Ave — FY2024</t>
        </is>
      </c>
      <c r="B145" s="25" t="inlineStr">
        <is>
          <t>Income</t>
        </is>
      </c>
      <c r="C145" s="6" t="inlineStr">
        <is>
          <t>7102 - Fees Written Off</t>
        </is>
      </c>
      <c r="D145" s="22" t="n">
        <v>-7117.67</v>
      </c>
      <c r="E145" s="6" t="n"/>
    </row>
    <row r="146">
      <c r="A146" s="11" t="inlineStr">
        <is>
          <t>15413 E 18th Ave — FY2024</t>
        </is>
      </c>
      <c r="B146" s="26" t="inlineStr">
        <is>
          <t>Income</t>
        </is>
      </c>
      <c r="C146" s="12" t="inlineStr">
        <is>
          <t>TOTAL INCOME</t>
        </is>
      </c>
      <c r="D146" s="23">
        <f>SUM(D135:D145)</f>
        <v/>
      </c>
      <c r="E146" s="18" t="inlineStr">
        <is>
          <t>Printed total: $783,123.25.</t>
        </is>
      </c>
    </row>
    <row r="147">
      <c r="A147" s="6" t="inlineStr">
        <is>
          <t>15413 E 18th Ave — FY2024</t>
        </is>
      </c>
      <c r="B147" s="25" t="inlineStr">
        <is>
          <t>Expense</t>
        </is>
      </c>
      <c r="C147" s="6" t="inlineStr">
        <is>
          <t>6100 - Payroll</t>
        </is>
      </c>
      <c r="D147" s="22" t="n">
        <v>59074.43</v>
      </c>
      <c r="E147" s="6" t="n"/>
    </row>
    <row r="148">
      <c r="A148" s="6" t="inlineStr">
        <is>
          <t>15413 E 18th Ave — FY2024</t>
        </is>
      </c>
      <c r="B148" s="25" t="inlineStr">
        <is>
          <t>Expense</t>
        </is>
      </c>
      <c r="C148" s="6" t="inlineStr">
        <is>
          <t>6112 - Medical Expense</t>
        </is>
      </c>
      <c r="D148" s="22" t="n">
        <v>10224</v>
      </c>
      <c r="E148" s="6" t="n"/>
    </row>
    <row r="149">
      <c r="A149" s="6" t="inlineStr">
        <is>
          <t>15413 E 18th Ave — FY2024</t>
        </is>
      </c>
      <c r="B149" s="25" t="inlineStr">
        <is>
          <t>Expense</t>
        </is>
      </c>
      <c r="C149" s="6" t="inlineStr">
        <is>
          <t>6118 - 401K Expense</t>
        </is>
      </c>
      <c r="D149" s="22" t="n">
        <v>881.88</v>
      </c>
      <c r="E149" s="6" t="n"/>
    </row>
    <row r="150">
      <c r="A150" s="6" t="inlineStr">
        <is>
          <t>15413 E 18th Ave — FY2024</t>
        </is>
      </c>
      <c r="B150" s="25" t="inlineStr">
        <is>
          <t>Expense</t>
        </is>
      </c>
      <c r="C150" s="6" t="inlineStr">
        <is>
          <t>6128 - Teammate Rewards</t>
        </is>
      </c>
      <c r="D150" s="22" t="n">
        <v>230</v>
      </c>
      <c r="E150" s="6" t="n"/>
    </row>
    <row r="151">
      <c r="A151" s="6" t="inlineStr">
        <is>
          <t>15413 E 18th Ave — FY2024</t>
        </is>
      </c>
      <c r="B151" s="25" t="inlineStr">
        <is>
          <t>Expense</t>
        </is>
      </c>
      <c r="C151" s="6" t="inlineStr">
        <is>
          <t>6130 - Payroll Tax</t>
        </is>
      </c>
      <c r="D151" s="22" t="n">
        <v>6841.49</v>
      </c>
      <c r="E151" s="6" t="n"/>
    </row>
    <row r="152">
      <c r="A152" s="6" t="inlineStr">
        <is>
          <t>15413 E 18th Ave — FY2024</t>
        </is>
      </c>
      <c r="B152" s="25" t="inlineStr">
        <is>
          <t>Expense</t>
        </is>
      </c>
      <c r="C152" s="6" t="inlineStr">
        <is>
          <t>6135 - Bonus</t>
        </is>
      </c>
      <c r="D152" s="22" t="n">
        <v>5105.13</v>
      </c>
      <c r="E152" s="6" t="n"/>
    </row>
    <row r="153">
      <c r="A153" s="6" t="inlineStr">
        <is>
          <t>15413 E 18th Ave — FY2024</t>
        </is>
      </c>
      <c r="B153" s="25" t="inlineStr">
        <is>
          <t>Expense</t>
        </is>
      </c>
      <c r="C153" s="6" t="inlineStr">
        <is>
          <t>6283 - Workers Comp Premium</t>
        </is>
      </c>
      <c r="D153" s="22" t="n">
        <v>2011.32</v>
      </c>
      <c r="E153" s="6" t="inlineStr">
        <is>
          <t>Payroll subtotal $84,368.25</t>
        </is>
      </c>
    </row>
    <row r="154">
      <c r="A154" s="6" t="inlineStr">
        <is>
          <t>15413 E 18th Ave — FY2024</t>
        </is>
      </c>
      <c r="B154" s="25" t="inlineStr">
        <is>
          <t>Expense</t>
        </is>
      </c>
      <c r="C154" s="6" t="inlineStr">
        <is>
          <t>6150 - Rubbish Removal</t>
        </is>
      </c>
      <c r="D154" s="22" t="n">
        <v>1454.88</v>
      </c>
      <c r="E154" s="6" t="n"/>
    </row>
    <row r="155">
      <c r="A155" s="6" t="inlineStr">
        <is>
          <t>15413 E 18th Ave — FY2024</t>
        </is>
      </c>
      <c r="B155" s="25" t="inlineStr">
        <is>
          <t>Expense</t>
        </is>
      </c>
      <c r="C155" s="6" t="inlineStr">
        <is>
          <t>6158 - Exterminating</t>
        </is>
      </c>
      <c r="D155" s="22" t="n">
        <v>76.06999999999999</v>
      </c>
      <c r="E155" s="6" t="n"/>
    </row>
    <row r="156">
      <c r="A156" s="6" t="inlineStr">
        <is>
          <t>15413 E 18th Ave — FY2024</t>
        </is>
      </c>
      <c r="B156" s="25" t="inlineStr">
        <is>
          <t>Expense</t>
        </is>
      </c>
      <c r="C156" s="6" t="inlineStr">
        <is>
          <t>6184 - Electric</t>
        </is>
      </c>
      <c r="D156" s="22" t="n">
        <v>7663.98</v>
      </c>
      <c r="E156" s="6" t="n"/>
    </row>
    <row r="157">
      <c r="A157" s="6" t="inlineStr">
        <is>
          <t>15413 E 18th Ave — FY2024</t>
        </is>
      </c>
      <c r="B157" s="25" t="inlineStr">
        <is>
          <t>Expense</t>
        </is>
      </c>
      <c r="C157" s="6" t="inlineStr">
        <is>
          <t>6185 - Telephone</t>
        </is>
      </c>
      <c r="D157" s="22" t="n">
        <v>2983.92</v>
      </c>
      <c r="E157" s="6" t="n"/>
    </row>
    <row r="158">
      <c r="A158" s="6" t="inlineStr">
        <is>
          <t>15413 E 18th Ave — FY2024</t>
        </is>
      </c>
      <c r="B158" s="25" t="inlineStr">
        <is>
          <t>Expense</t>
        </is>
      </c>
      <c r="C158" s="6" t="inlineStr">
        <is>
          <t>6186 - Water/Sewer</t>
        </is>
      </c>
      <c r="D158" s="22" t="n">
        <v>8564.280000000001</v>
      </c>
      <c r="E158" s="6" t="inlineStr">
        <is>
          <t>Utilities subtotal $20,743.13</t>
        </is>
      </c>
    </row>
    <row r="159">
      <c r="A159" s="6" t="inlineStr">
        <is>
          <t>15413 E 18th Ave — FY2024</t>
        </is>
      </c>
      <c r="B159" s="25" t="inlineStr">
        <is>
          <t>Expense</t>
        </is>
      </c>
      <c r="C159" s="6" t="inlineStr">
        <is>
          <t>6189 - R &amp; M Roof</t>
        </is>
      </c>
      <c r="D159" s="22" t="n">
        <v>275</v>
      </c>
      <c r="E159" s="6" t="n"/>
    </row>
    <row r="160">
      <c r="A160" s="6" t="inlineStr">
        <is>
          <t>15413 E 18th Ave — FY2024</t>
        </is>
      </c>
      <c r="B160" s="25" t="inlineStr">
        <is>
          <t>Expense</t>
        </is>
      </c>
      <c r="C160" s="6" t="inlineStr">
        <is>
          <t>6192 - Repairs &amp; Maintenance</t>
        </is>
      </c>
      <c r="D160" s="22" t="n">
        <v>932.75</v>
      </c>
      <c r="E160" s="6" t="n"/>
    </row>
    <row r="161">
      <c r="A161" s="6" t="inlineStr">
        <is>
          <t>15413 E 18th Ave — FY2024</t>
        </is>
      </c>
      <c r="B161" s="25" t="inlineStr">
        <is>
          <t>Expense</t>
        </is>
      </c>
      <c r="C161" s="6" t="inlineStr">
        <is>
          <t>6194 - R &amp; M Doors</t>
        </is>
      </c>
      <c r="D161" s="22" t="n">
        <v>3276.33</v>
      </c>
      <c r="E161" s="6" t="n"/>
    </row>
    <row r="162">
      <c r="A162" s="6" t="inlineStr">
        <is>
          <t>15413 E 18th Ave — FY2024</t>
        </is>
      </c>
      <c r="B162" s="25" t="inlineStr">
        <is>
          <t>Expense</t>
        </is>
      </c>
      <c r="C162" s="6" t="inlineStr">
        <is>
          <t>6195 - R &amp; M Gates</t>
        </is>
      </c>
      <c r="D162" s="22" t="n">
        <v>6755</v>
      </c>
      <c r="E162" s="6" t="n"/>
    </row>
    <row r="163">
      <c r="A163" s="6" t="inlineStr">
        <is>
          <t>15413 E 18th Ave — FY2024</t>
        </is>
      </c>
      <c r="B163" s="25" t="inlineStr">
        <is>
          <t>Expense</t>
        </is>
      </c>
      <c r="C163" s="6" t="inlineStr">
        <is>
          <t>6196 - R &amp; M Golf Carts</t>
        </is>
      </c>
      <c r="D163" s="22" t="n">
        <v>767.09</v>
      </c>
      <c r="E163" s="6" t="n"/>
    </row>
    <row r="164">
      <c r="A164" s="6" t="inlineStr">
        <is>
          <t>15413 E 18th Ave — FY2024</t>
        </is>
      </c>
      <c r="B164" s="25" t="inlineStr">
        <is>
          <t>Expense</t>
        </is>
      </c>
      <c r="C164" s="6" t="inlineStr">
        <is>
          <t>6198 - R &amp; M Cameras</t>
        </is>
      </c>
      <c r="D164" s="22" t="n">
        <v>2228.74</v>
      </c>
      <c r="E164" s="6" t="n"/>
    </row>
    <row r="165">
      <c r="A165" s="6" t="inlineStr">
        <is>
          <t>15413 E 18th Ave — FY2024</t>
        </is>
      </c>
      <c r="B165" s="25" t="inlineStr">
        <is>
          <t>Expense</t>
        </is>
      </c>
      <c r="C165" s="6" t="inlineStr">
        <is>
          <t>6201 - R &amp; M Fire Protection</t>
        </is>
      </c>
      <c r="D165" s="22" t="n">
        <v>85.81</v>
      </c>
      <c r="E165" s="6" t="n"/>
    </row>
    <row r="166">
      <c r="A166" s="6" t="inlineStr">
        <is>
          <t>15413 E 18th Ave — FY2024</t>
        </is>
      </c>
      <c r="B166" s="25" t="inlineStr">
        <is>
          <t>Expense</t>
        </is>
      </c>
      <c r="C166" s="6" t="inlineStr">
        <is>
          <t>6203 - R &amp; M Lighting/Electrical</t>
        </is>
      </c>
      <c r="D166" s="22" t="n">
        <v>575</v>
      </c>
      <c r="E166" s="6" t="n"/>
    </row>
    <row r="167">
      <c r="A167" s="6" t="inlineStr">
        <is>
          <t>15413 E 18th Ave — FY2024</t>
        </is>
      </c>
      <c r="B167" s="25" t="inlineStr">
        <is>
          <t>Expense</t>
        </is>
      </c>
      <c r="C167" s="6" t="inlineStr">
        <is>
          <t>6206 - R &amp; M Exterior Building Repair</t>
        </is>
      </c>
      <c r="D167" s="22" t="n">
        <v>1574.82</v>
      </c>
      <c r="E167" s="6" t="n"/>
    </row>
    <row r="168">
      <c r="A168" s="6" t="inlineStr">
        <is>
          <t>15413 E 18th Ave — FY2024</t>
        </is>
      </c>
      <c r="B168" s="25" t="inlineStr">
        <is>
          <t>Expense</t>
        </is>
      </c>
      <c r="C168" s="6" t="inlineStr">
        <is>
          <t>6321 - R &amp; M Apartment</t>
        </is>
      </c>
      <c r="D168" s="22" t="n">
        <v>892.25</v>
      </c>
      <c r="E168" s="6" t="inlineStr">
        <is>
          <t>R&amp;M subtotal $17,362.79</t>
        </is>
      </c>
    </row>
    <row r="169">
      <c r="A169" s="6" t="inlineStr">
        <is>
          <t>15413 E 18th Ave — FY2024</t>
        </is>
      </c>
      <c r="B169" s="25" t="inlineStr">
        <is>
          <t>Expense</t>
        </is>
      </c>
      <c r="C169" s="6" t="inlineStr">
        <is>
          <t>6151 - Unit Cleanouts</t>
        </is>
      </c>
      <c r="D169" s="22" t="n">
        <v>870</v>
      </c>
      <c r="E169" s="6" t="n"/>
    </row>
    <row r="170">
      <c r="A170" s="6" t="inlineStr">
        <is>
          <t>15413 E 18th Ave — FY2024</t>
        </is>
      </c>
      <c r="B170" s="25" t="inlineStr">
        <is>
          <t>Expense</t>
        </is>
      </c>
      <c r="C170" s="6" t="inlineStr">
        <is>
          <t>6152 - Uniforms</t>
        </is>
      </c>
      <c r="D170" s="22" t="n">
        <v>454.01</v>
      </c>
      <c r="E170" s="6" t="n"/>
    </row>
    <row r="171">
      <c r="A171" s="6" t="inlineStr">
        <is>
          <t>15413 E 18th Ave — FY2024</t>
        </is>
      </c>
      <c r="B171" s="25" t="inlineStr">
        <is>
          <t>Expense</t>
        </is>
      </c>
      <c r="C171" s="6" t="inlineStr">
        <is>
          <t>6159 - Sales Center</t>
        </is>
      </c>
      <c r="D171" s="22" t="n">
        <v>4140</v>
      </c>
      <c r="E171" s="6" t="n"/>
    </row>
    <row r="172">
      <c r="A172" s="6" t="inlineStr">
        <is>
          <t>15413 E 18th Ave — FY2024</t>
        </is>
      </c>
      <c r="B172" s="25" t="inlineStr">
        <is>
          <t>Expense</t>
        </is>
      </c>
      <c r="C172" s="6" t="inlineStr">
        <is>
          <t>6163 - Help Desk</t>
        </is>
      </c>
      <c r="D172" s="22" t="n">
        <v>534.12</v>
      </c>
      <c r="E172" s="6" t="n"/>
    </row>
    <row r="173">
      <c r="A173" s="6" t="inlineStr">
        <is>
          <t>15413 E 18th Ave — FY2024</t>
        </is>
      </c>
      <c r="B173" s="25" t="inlineStr">
        <is>
          <t>Expense</t>
        </is>
      </c>
      <c r="C173" s="6" t="inlineStr">
        <is>
          <t>6162 - Supplies</t>
        </is>
      </c>
      <c r="D173" s="22" t="n">
        <v>465.59</v>
      </c>
      <c r="E173" s="6" t="n"/>
    </row>
    <row r="174">
      <c r="A174" s="6" t="inlineStr">
        <is>
          <t>15413 E 18th Ave — FY2024</t>
        </is>
      </c>
      <c r="B174" s="25" t="inlineStr">
        <is>
          <t>Expense</t>
        </is>
      </c>
      <c r="C174" s="6" t="inlineStr">
        <is>
          <t>6164 - Sale Items</t>
        </is>
      </c>
      <c r="D174" s="22" t="n">
        <v>3347.05</v>
      </c>
      <c r="E174" s="6" t="n"/>
    </row>
    <row r="175">
      <c r="A175" s="6" t="inlineStr">
        <is>
          <t>15413 E 18th Ave — FY2024</t>
        </is>
      </c>
      <c r="B175" s="25" t="inlineStr">
        <is>
          <t>Expense</t>
        </is>
      </c>
      <c r="C175" s="6" t="inlineStr">
        <is>
          <t>6168 - Dues &amp; Subscriptions</t>
        </is>
      </c>
      <c r="D175" s="22" t="n">
        <v>133.59</v>
      </c>
      <c r="E175" s="6" t="n"/>
    </row>
    <row r="176">
      <c r="A176" s="6" t="inlineStr">
        <is>
          <t>15413 E 18th Ave — FY2024</t>
        </is>
      </c>
      <c r="B176" s="25" t="inlineStr">
        <is>
          <t>Expense</t>
        </is>
      </c>
      <c r="C176" s="6" t="inlineStr">
        <is>
          <t>6170 - Landscaping</t>
        </is>
      </c>
      <c r="D176" s="22" t="n">
        <v>18153.74</v>
      </c>
      <c r="E176" s="6" t="n"/>
    </row>
    <row r="177">
      <c r="A177" s="6" t="inlineStr">
        <is>
          <t>15413 E 18th Ave — FY2024</t>
        </is>
      </c>
      <c r="B177" s="25" t="inlineStr">
        <is>
          <t>Expense</t>
        </is>
      </c>
      <c r="C177" s="6" t="inlineStr">
        <is>
          <t>6174 - Signs</t>
        </is>
      </c>
      <c r="D177" s="22" t="n">
        <v>78.36</v>
      </c>
      <c r="E177" s="6" t="n"/>
    </row>
    <row r="178">
      <c r="A178" s="6" t="inlineStr">
        <is>
          <t>15413 E 18th Ave — FY2024</t>
        </is>
      </c>
      <c r="B178" s="25" t="inlineStr">
        <is>
          <t>Expense</t>
        </is>
      </c>
      <c r="C178" s="6" t="inlineStr">
        <is>
          <t>6176 - Teammate Mileage</t>
        </is>
      </c>
      <c r="D178" s="22" t="n">
        <v>1430.56</v>
      </c>
      <c r="E178" s="6" t="n"/>
    </row>
    <row r="179">
      <c r="A179" s="6" t="inlineStr">
        <is>
          <t>15413 E 18th Ave — FY2024</t>
        </is>
      </c>
      <c r="B179" s="25" t="inlineStr">
        <is>
          <t>Expense</t>
        </is>
      </c>
      <c r="C179" s="6" t="inlineStr">
        <is>
          <t>6182 - Fees &amp; Licenses</t>
        </is>
      </c>
      <c r="D179" s="22" t="n">
        <v>914.6</v>
      </c>
      <c r="E179" s="6" t="n"/>
    </row>
    <row r="180">
      <c r="A180" s="6" t="inlineStr">
        <is>
          <t>15413 E 18th Ave — FY2024</t>
        </is>
      </c>
      <c r="B180" s="25" t="inlineStr">
        <is>
          <t>Expense</t>
        </is>
      </c>
      <c r="C180" s="6" t="inlineStr">
        <is>
          <t>6190 - Postage</t>
        </is>
      </c>
      <c r="D180" s="22" t="n">
        <v>869.38</v>
      </c>
      <c r="E180" s="6" t="n"/>
    </row>
    <row r="181">
      <c r="A181" s="6" t="inlineStr">
        <is>
          <t>15413 E 18th Ave — FY2024</t>
        </is>
      </c>
      <c r="B181" s="25" t="inlineStr">
        <is>
          <t>Expense</t>
        </is>
      </c>
      <c r="C181" s="6" t="inlineStr">
        <is>
          <t>6212 - Office Supplies</t>
        </is>
      </c>
      <c r="D181" s="22" t="n">
        <v>698.04</v>
      </c>
      <c r="E181" s="6" t="n"/>
    </row>
    <row r="182">
      <c r="A182" s="6" t="inlineStr">
        <is>
          <t>15413 E 18th Ave — FY2024</t>
        </is>
      </c>
      <c r="B182" s="25" t="inlineStr">
        <is>
          <t>Expense</t>
        </is>
      </c>
      <c r="C182" s="6" t="inlineStr">
        <is>
          <t>6218 - Printing Expense</t>
        </is>
      </c>
      <c r="D182" s="22" t="n">
        <v>36.61</v>
      </c>
      <c r="E182" s="6" t="n"/>
    </row>
    <row r="183">
      <c r="A183" s="6" t="inlineStr">
        <is>
          <t>15413 E 18th Ave — FY2024</t>
        </is>
      </c>
      <c r="B183" s="25" t="inlineStr">
        <is>
          <t>Expense</t>
        </is>
      </c>
      <c r="C183" s="6" t="inlineStr">
        <is>
          <t>6220 - Equipment</t>
        </is>
      </c>
      <c r="D183" s="22" t="n">
        <v>1390.33</v>
      </c>
      <c r="E183" s="6" t="n"/>
    </row>
    <row r="184">
      <c r="A184" s="6" t="inlineStr">
        <is>
          <t>15413 E 18th Ave — FY2024</t>
        </is>
      </c>
      <c r="B184" s="25" t="inlineStr">
        <is>
          <t>Expense</t>
        </is>
      </c>
      <c r="C184" s="6" t="inlineStr">
        <is>
          <t>6224 - Computer Equipment - Non Capex</t>
        </is>
      </c>
      <c r="D184" s="22" t="n">
        <v>1274.08</v>
      </c>
      <c r="E184" s="6" t="n"/>
    </row>
    <row r="185">
      <c r="A185" s="6" t="inlineStr">
        <is>
          <t>15413 E 18th Ave — FY2024</t>
        </is>
      </c>
      <c r="B185" s="25" t="inlineStr">
        <is>
          <t>Expense</t>
        </is>
      </c>
      <c r="C185" s="6" t="inlineStr">
        <is>
          <t>6225 - CMS License Fee</t>
        </is>
      </c>
      <c r="D185" s="22" t="n">
        <v>2347.44</v>
      </c>
      <c r="E185" s="6" t="n"/>
    </row>
    <row r="186">
      <c r="A186" s="6" t="inlineStr">
        <is>
          <t>15413 E 18th Ave — FY2024</t>
        </is>
      </c>
      <c r="B186" s="25" t="inlineStr">
        <is>
          <t>Expense</t>
        </is>
      </c>
      <c r="C186" s="6" t="inlineStr">
        <is>
          <t>6228 - Bank Adjustments</t>
        </is>
      </c>
      <c r="D186" s="22" t="n">
        <v>1.1</v>
      </c>
      <c r="E186" s="6" t="n"/>
    </row>
    <row r="187">
      <c r="A187" s="6" t="inlineStr">
        <is>
          <t>15413 E 18th Ave — FY2024</t>
        </is>
      </c>
      <c r="B187" s="25" t="inlineStr">
        <is>
          <t>Expense</t>
        </is>
      </c>
      <c r="C187" s="6" t="inlineStr">
        <is>
          <t>6231 - Loss &amp; Damage</t>
        </is>
      </c>
      <c r="D187" s="22" t="n">
        <v>20</v>
      </c>
      <c r="E187" s="6" t="n"/>
    </row>
    <row r="188">
      <c r="A188" s="6" t="inlineStr">
        <is>
          <t>15413 E 18th Ave — FY2024</t>
        </is>
      </c>
      <c r="B188" s="25" t="inlineStr">
        <is>
          <t>Expense</t>
        </is>
      </c>
      <c r="C188" s="6" t="inlineStr">
        <is>
          <t>6232 - Visa/Mastercard Fees</t>
        </is>
      </c>
      <c r="D188" s="22" t="n">
        <v>9072.469999999999</v>
      </c>
      <c r="E188" s="6" t="n"/>
    </row>
    <row r="189">
      <c r="A189" s="6" t="inlineStr">
        <is>
          <t>15413 E 18th Ave — FY2024</t>
        </is>
      </c>
      <c r="B189" s="25" t="inlineStr">
        <is>
          <t>Expense</t>
        </is>
      </c>
      <c r="C189" s="6" t="inlineStr">
        <is>
          <t>6233 - American Express Fees</t>
        </is>
      </c>
      <c r="D189" s="22" t="n">
        <v>1033.36</v>
      </c>
      <c r="E189" s="6" t="n"/>
    </row>
    <row r="190">
      <c r="A190" s="6" t="inlineStr">
        <is>
          <t>15413 E 18th Ave — FY2024</t>
        </is>
      </c>
      <c r="B190" s="25" t="inlineStr">
        <is>
          <t>Expense</t>
        </is>
      </c>
      <c r="C190" s="6" t="inlineStr">
        <is>
          <t>6235 - ACH Fees</t>
        </is>
      </c>
      <c r="D190" s="22" t="n">
        <v>3.6</v>
      </c>
      <c r="E190" s="6" t="n"/>
    </row>
    <row r="191">
      <c r="A191" s="6" t="inlineStr">
        <is>
          <t>15413 E 18th Ave — FY2024</t>
        </is>
      </c>
      <c r="B191" s="25" t="inlineStr">
        <is>
          <t>Expense</t>
        </is>
      </c>
      <c r="C191" s="6" t="inlineStr">
        <is>
          <t>6234 - IT - Repairs and Services</t>
        </is>
      </c>
      <c r="D191" s="22" t="n">
        <v>280</v>
      </c>
      <c r="E191" s="6" t="n"/>
    </row>
    <row r="192">
      <c r="A192" s="6" t="inlineStr">
        <is>
          <t>15413 E 18th Ave — FY2024</t>
        </is>
      </c>
      <c r="B192" s="25" t="inlineStr">
        <is>
          <t>Expense</t>
        </is>
      </c>
      <c r="C192" s="6" t="inlineStr">
        <is>
          <t>6256 - Legal/Auction</t>
        </is>
      </c>
      <c r="D192" s="22" t="n">
        <v>589.6799999999999</v>
      </c>
      <c r="E192" s="6" t="inlineStr">
        <is>
          <t>Other controllable subtotal $48,137.71</t>
        </is>
      </c>
    </row>
    <row r="193">
      <c r="A193" s="6" t="inlineStr">
        <is>
          <t>15413 E 18th Ave — FY2024</t>
        </is>
      </c>
      <c r="B193" s="25" t="inlineStr">
        <is>
          <t>Expense</t>
        </is>
      </c>
      <c r="C193" s="6" t="inlineStr">
        <is>
          <t>6365 - Internet/Website Costs</t>
        </is>
      </c>
      <c r="D193" s="22" t="n">
        <v>25650.11</v>
      </c>
      <c r="E193" s="6" t="n"/>
    </row>
    <row r="194">
      <c r="A194" s="6" t="inlineStr">
        <is>
          <t>15413 E 18th Ave — FY2024</t>
        </is>
      </c>
      <c r="B194" s="25" t="inlineStr">
        <is>
          <t>Expense</t>
        </is>
      </c>
      <c r="C194" s="6" t="inlineStr">
        <is>
          <t>6375 - Store Marketing</t>
        </is>
      </c>
      <c r="D194" s="22" t="n">
        <v>324.55</v>
      </c>
      <c r="E194" s="6" t="inlineStr">
        <is>
          <t>Marketing subtotal $25,974.66; controllable expenses $196,586.54</t>
        </is>
      </c>
    </row>
    <row r="195">
      <c r="A195" s="6" t="inlineStr">
        <is>
          <t>15413 E 18th Ave — FY2024</t>
        </is>
      </c>
      <c r="B195" s="25" t="inlineStr">
        <is>
          <t>Expense</t>
        </is>
      </c>
      <c r="C195" s="6" t="inlineStr">
        <is>
          <t>7030 - Sales Tax Collection Allowance (offset)</t>
        </is>
      </c>
      <c r="D195" s="22" t="n">
        <v>-14.31</v>
      </c>
      <c r="E195" s="6" t="n"/>
    </row>
    <row r="196">
      <c r="A196" s="6" t="inlineStr">
        <is>
          <t>15413 E 18th Ave — FY2024</t>
        </is>
      </c>
      <c r="B196" s="25" t="inlineStr">
        <is>
          <t>Expense</t>
        </is>
      </c>
      <c r="C196" s="6" t="inlineStr">
        <is>
          <t>7240 - Gross Receipts Tax (property tax)</t>
        </is>
      </c>
      <c r="D196" s="22" t="n">
        <v>246826.26</v>
      </c>
      <c r="E196" s="6" t="n"/>
    </row>
    <row r="197">
      <c r="A197" s="6" t="inlineStr">
        <is>
          <t>15413 E 18th Ave — FY2024</t>
        </is>
      </c>
      <c r="B197" s="25" t="inlineStr">
        <is>
          <t>Expense</t>
        </is>
      </c>
      <c r="C197" s="6" t="inlineStr">
        <is>
          <t>6280 - Insurance</t>
        </is>
      </c>
      <c r="D197" s="22" t="n">
        <v>10522.42</v>
      </c>
      <c r="E197" s="6" t="n"/>
    </row>
    <row r="198">
      <c r="A198" s="6" t="inlineStr">
        <is>
          <t>15413 E 18th Ave — FY2024</t>
        </is>
      </c>
      <c r="B198" s="25" t="inlineStr">
        <is>
          <t>Expense</t>
        </is>
      </c>
      <c r="C198" s="6" t="inlineStr">
        <is>
          <t>6172 - Snow Removal &amp; Salting</t>
        </is>
      </c>
      <c r="D198" s="22" t="n">
        <v>3890</v>
      </c>
      <c r="E198" s="6" t="n"/>
    </row>
    <row r="199">
      <c r="A199" s="6" t="inlineStr">
        <is>
          <t>15413 E 18th Ave — FY2024</t>
        </is>
      </c>
      <c r="B199" s="25" t="inlineStr">
        <is>
          <t>Expense</t>
        </is>
      </c>
      <c r="C199" s="6" t="inlineStr">
        <is>
          <t>7530 - Professional Fees</t>
        </is>
      </c>
      <c r="D199" s="22" t="n">
        <v>350</v>
      </c>
      <c r="E199" s="6" t="n"/>
    </row>
    <row r="200">
      <c r="A200" s="6" t="inlineStr">
        <is>
          <t>15413 E 18th Ave — FY2024</t>
        </is>
      </c>
      <c r="B200" s="25" t="inlineStr">
        <is>
          <t>Expense</t>
        </is>
      </c>
      <c r="C200" s="6" t="inlineStr">
        <is>
          <t>6801 - Third Party Management Fees</t>
        </is>
      </c>
      <c r="D200" s="22" t="n">
        <v>41598.27</v>
      </c>
      <c r="E200" s="6" t="inlineStr">
        <is>
          <t>Non-controllable expenses $303,172.64</t>
        </is>
      </c>
    </row>
    <row r="201">
      <c r="A201" s="11" t="inlineStr">
        <is>
          <t>15413 E 18th Ave — FY2024</t>
        </is>
      </c>
      <c r="B201" s="26" t="inlineStr">
        <is>
          <t>Expense</t>
        </is>
      </c>
      <c r="C201" s="12" t="inlineStr">
        <is>
          <t>TOTAL EXPENSE</t>
        </is>
      </c>
      <c r="D201" s="23">
        <f>SUM(D147:D200)</f>
        <v/>
      </c>
      <c r="E201" s="18" t="inlineStr">
        <is>
          <t>Printed total: $499,759.18. NOI per statement $283,364.07 (accrual, store-level).</t>
        </is>
      </c>
    </row>
    <row r="202">
      <c r="A202" s="6" t="inlineStr">
        <is>
          <t>10350 Washington St — FY2024</t>
        </is>
      </c>
      <c r="B202" s="25" t="inlineStr">
        <is>
          <t>Income</t>
        </is>
      </c>
      <c r="C202" s="6" t="inlineStr">
        <is>
          <t>45050 - Storage Rents</t>
        </is>
      </c>
      <c r="D202" s="22" t="n">
        <v>702708.05</v>
      </c>
      <c r="E202" s="6" t="n"/>
    </row>
    <row r="203">
      <c r="A203" s="6" t="inlineStr">
        <is>
          <t>10350 Washington St — FY2024</t>
        </is>
      </c>
      <c r="B203" s="25" t="inlineStr">
        <is>
          <t>Income</t>
        </is>
      </c>
      <c r="C203" s="6" t="inlineStr">
        <is>
          <t>45100 - Merchandise Sales</t>
        </is>
      </c>
      <c r="D203" s="22" t="n">
        <v>5824.04</v>
      </c>
      <c r="E203" s="6" t="n"/>
    </row>
    <row r="204">
      <c r="A204" s="6" t="inlineStr">
        <is>
          <t>10350 Washington St — FY2024</t>
        </is>
      </c>
      <c r="B204" s="25" t="inlineStr">
        <is>
          <t>Income</t>
        </is>
      </c>
      <c r="C204" s="6" t="inlineStr">
        <is>
          <t>45125 - Commercial Truck Rental</t>
        </is>
      </c>
      <c r="D204" s="22" t="n">
        <v>2330.89</v>
      </c>
      <c r="E204" s="6" t="n"/>
    </row>
    <row r="205">
      <c r="A205" s="6" t="inlineStr">
        <is>
          <t>10350 Washington St — FY2024</t>
        </is>
      </c>
      <c r="B205" s="25" t="inlineStr">
        <is>
          <t>Income</t>
        </is>
      </c>
      <c r="C205" s="6" t="inlineStr">
        <is>
          <t>45150 - Penske Truck Rental</t>
        </is>
      </c>
      <c r="D205" s="22" t="n">
        <v>50532.36</v>
      </c>
      <c r="E205" s="6" t="inlineStr">
        <is>
          <t>Operating revenue subtotal $761,395.34</t>
        </is>
      </c>
    </row>
    <row r="206">
      <c r="A206" s="6" t="inlineStr">
        <is>
          <t>10350 Washington St — FY2024</t>
        </is>
      </c>
      <c r="B206" s="25" t="inlineStr">
        <is>
          <t>Income</t>
        </is>
      </c>
      <c r="C206" s="6" t="inlineStr">
        <is>
          <t>46050 - Administrative Fee</t>
        </is>
      </c>
      <c r="D206" s="22" t="n">
        <v>4976</v>
      </c>
      <c r="E206" s="6" t="n"/>
    </row>
    <row r="207">
      <c r="A207" s="6" t="inlineStr">
        <is>
          <t>10350 Washington St — FY2024</t>
        </is>
      </c>
      <c r="B207" s="25" t="inlineStr">
        <is>
          <t>Income</t>
        </is>
      </c>
      <c r="C207" s="6" t="inlineStr">
        <is>
          <t>46200 - Late Fee</t>
        </is>
      </c>
      <c r="D207" s="22" t="n">
        <v>20675</v>
      </c>
      <c r="E207" s="6" t="n"/>
    </row>
    <row r="208">
      <c r="A208" s="6" t="inlineStr">
        <is>
          <t>10350 Washington St — FY2024</t>
        </is>
      </c>
      <c r="B208" s="25" t="inlineStr">
        <is>
          <t>Income</t>
        </is>
      </c>
      <c r="C208" s="6" t="inlineStr">
        <is>
          <t>46300 - NSF Fee</t>
        </is>
      </c>
      <c r="D208" s="22" t="n">
        <v>25</v>
      </c>
      <c r="E208" s="6" t="n"/>
    </row>
    <row r="209">
      <c r="A209" s="6" t="inlineStr">
        <is>
          <t>10350 Washington St — FY2024</t>
        </is>
      </c>
      <c r="B209" s="25" t="inlineStr">
        <is>
          <t>Income</t>
        </is>
      </c>
      <c r="C209" s="6" t="inlineStr">
        <is>
          <t>43500 - Miscellaneous Income</t>
        </is>
      </c>
      <c r="D209" s="22" t="n">
        <v>3314.87</v>
      </c>
      <c r="E209" s="6" t="inlineStr">
        <is>
          <t>Other revenue subtotal $28,990.87</t>
        </is>
      </c>
    </row>
    <row r="210">
      <c r="A210" s="11" t="inlineStr">
        <is>
          <t>10350 Washington St — FY2024</t>
        </is>
      </c>
      <c r="B210" s="26" t="inlineStr">
        <is>
          <t>Income</t>
        </is>
      </c>
      <c r="C210" s="12" t="inlineStr">
        <is>
          <t>TOTAL INCOME</t>
        </is>
      </c>
      <c r="D210" s="23">
        <f>SUM(D202:D209)</f>
        <v/>
      </c>
      <c r="E210" s="18" t="inlineStr">
        <is>
          <t>Printed total: $790,386.21.</t>
        </is>
      </c>
    </row>
    <row r="211">
      <c r="A211" s="6" t="inlineStr">
        <is>
          <t>10350 Washington St — FY2024</t>
        </is>
      </c>
      <c r="B211" s="25" t="inlineStr">
        <is>
          <t>Expense</t>
        </is>
      </c>
      <c r="C211" s="6" t="inlineStr">
        <is>
          <t>60000 - Salaries and Wages</t>
        </is>
      </c>
      <c r="D211" s="22" t="n">
        <v>83783.53</v>
      </c>
      <c r="E211" s="6" t="n"/>
    </row>
    <row r="212">
      <c r="A212" s="6" t="inlineStr">
        <is>
          <t>10350 Washington St — FY2024</t>
        </is>
      </c>
      <c r="B212" s="25" t="inlineStr">
        <is>
          <t>Expense</t>
        </is>
      </c>
      <c r="C212" s="6" t="inlineStr">
        <is>
          <t>60100 - Payroll Taxes</t>
        </is>
      </c>
      <c r="D212" s="22" t="n">
        <v>9981.33</v>
      </c>
      <c r="E212" s="6" t="inlineStr">
        <is>
          <t>Payroll subtotal $93,764.86</t>
        </is>
      </c>
    </row>
    <row r="213">
      <c r="A213" s="6" t="inlineStr">
        <is>
          <t>10350 Washington St — FY2024</t>
        </is>
      </c>
      <c r="B213" s="25" t="inlineStr">
        <is>
          <t>Expense</t>
        </is>
      </c>
      <c r="C213" s="6" t="inlineStr">
        <is>
          <t>61000 - General Repairs and Maintenance</t>
        </is>
      </c>
      <c r="D213" s="22" t="n">
        <v>10417.18</v>
      </c>
      <c r="E213" s="6" t="n"/>
    </row>
    <row r="214">
      <c r="A214" s="6" t="inlineStr">
        <is>
          <t>10350 Washington St — FY2024</t>
        </is>
      </c>
      <c r="B214" s="25" t="inlineStr">
        <is>
          <t>Expense</t>
        </is>
      </c>
      <c r="C214" s="6" t="inlineStr">
        <is>
          <t>61100 - Purchase of Resale Items</t>
        </is>
      </c>
      <c r="D214" s="22" t="n">
        <v>3715.51</v>
      </c>
      <c r="E214" s="6" t="n"/>
    </row>
    <row r="215">
      <c r="A215" s="6" t="inlineStr">
        <is>
          <t>10350 Washington St — FY2024</t>
        </is>
      </c>
      <c r="B215" s="25" t="inlineStr">
        <is>
          <t>Expense</t>
        </is>
      </c>
      <c r="C215" s="6" t="inlineStr">
        <is>
          <t>61150 - Property Uniforms</t>
        </is>
      </c>
      <c r="D215" s="22" t="n">
        <v>438.84</v>
      </c>
      <c r="E215" s="6" t="n"/>
    </row>
    <row r="216">
      <c r="A216" s="6" t="inlineStr">
        <is>
          <t>10350 Washington St — FY2024</t>
        </is>
      </c>
      <c r="B216" s="25" t="inlineStr">
        <is>
          <t>Expense</t>
        </is>
      </c>
      <c r="C216" s="6" t="inlineStr">
        <is>
          <t>61200 - Snow Removal/Power Sweeping</t>
        </is>
      </c>
      <c r="D216" s="22" t="n">
        <v>375</v>
      </c>
      <c r="E216" s="6" t="n"/>
    </row>
    <row r="217">
      <c r="A217" s="6" t="inlineStr">
        <is>
          <t>10350 Washington St — FY2024</t>
        </is>
      </c>
      <c r="B217" s="25" t="inlineStr">
        <is>
          <t>Expense</t>
        </is>
      </c>
      <c r="C217" s="6" t="inlineStr">
        <is>
          <t>61300 - Trash Services</t>
        </is>
      </c>
      <c r="D217" s="22" t="n">
        <v>5322.58</v>
      </c>
      <c r="E217" s="6" t="n"/>
    </row>
    <row r="218">
      <c r="A218" s="6" t="inlineStr">
        <is>
          <t>10350 Washington St — FY2024</t>
        </is>
      </c>
      <c r="B218" s="25" t="inlineStr">
        <is>
          <t>Expense</t>
        </is>
      </c>
      <c r="C218" s="6" t="inlineStr">
        <is>
          <t>61400 - Ground Maintenance</t>
        </is>
      </c>
      <c r="D218" s="22" t="n">
        <v>1044</v>
      </c>
      <c r="E218" s="6" t="n"/>
    </row>
    <row r="219">
      <c r="A219" s="6" t="inlineStr">
        <is>
          <t>10350 Washington St — FY2024</t>
        </is>
      </c>
      <c r="B219" s="25" t="inlineStr">
        <is>
          <t>Expense</t>
        </is>
      </c>
      <c r="C219" s="6" t="inlineStr">
        <is>
          <t>61500 - Truck - Lease</t>
        </is>
      </c>
      <c r="D219" s="22" t="n">
        <v>15600</v>
      </c>
      <c r="E219" s="6" t="n"/>
    </row>
    <row r="220">
      <c r="A220" s="6" t="inlineStr">
        <is>
          <t>10350 Washington St — FY2024</t>
        </is>
      </c>
      <c r="B220" s="25" t="inlineStr">
        <is>
          <t>Expense</t>
        </is>
      </c>
      <c r="C220" s="6" t="inlineStr">
        <is>
          <t>61700 - Truck - Maintenance</t>
        </is>
      </c>
      <c r="D220" s="22" t="n">
        <v>368.7</v>
      </c>
      <c r="E220" s="6" t="n"/>
    </row>
    <row r="221">
      <c r="A221" s="6" t="inlineStr">
        <is>
          <t>10350 Washington St — FY2024</t>
        </is>
      </c>
      <c r="B221" s="25" t="inlineStr">
        <is>
          <t>Expense</t>
        </is>
      </c>
      <c r="C221" s="6" t="inlineStr">
        <is>
          <t>61800 - Truck - Commercial Commissions</t>
        </is>
      </c>
      <c r="D221" s="22" t="n">
        <v>330</v>
      </c>
      <c r="E221" s="6" t="n"/>
    </row>
    <row r="222">
      <c r="A222" s="6" t="inlineStr">
        <is>
          <t>10350 Washington St — FY2024</t>
        </is>
      </c>
      <c r="B222" s="25" t="inlineStr">
        <is>
          <t>Expense</t>
        </is>
      </c>
      <c r="C222" s="6" t="inlineStr">
        <is>
          <t>61900 - Truck - Penske Commissions</t>
        </is>
      </c>
      <c r="D222" s="22" t="n">
        <v>5908.99</v>
      </c>
      <c r="E222" s="6" t="inlineStr">
        <is>
          <t>R&amp;M subtotal $43,520.80</t>
        </is>
      </c>
    </row>
    <row r="223">
      <c r="A223" s="6" t="inlineStr">
        <is>
          <t>10350 Washington St — FY2024</t>
        </is>
      </c>
      <c r="B223" s="25" t="inlineStr">
        <is>
          <t>Expense</t>
        </is>
      </c>
      <c r="C223" s="6" t="inlineStr">
        <is>
          <t>62000 - Utilities - Electric</t>
        </is>
      </c>
      <c r="D223" s="22" t="n">
        <v>2647.46</v>
      </c>
      <c r="E223" s="6" t="n"/>
    </row>
    <row r="224">
      <c r="A224" s="6" t="inlineStr">
        <is>
          <t>10350 Washington St — FY2024</t>
        </is>
      </c>
      <c r="B224" s="25" t="inlineStr">
        <is>
          <t>Expense</t>
        </is>
      </c>
      <c r="C224" s="6" t="inlineStr">
        <is>
          <t>62100 - Utilities - Water and Sewer</t>
        </is>
      </c>
      <c r="D224" s="22" t="n">
        <v>2643.74</v>
      </c>
      <c r="E224" s="6" t="n"/>
    </row>
    <row r="225">
      <c r="A225" s="6" t="inlineStr">
        <is>
          <t>10350 Washington St — FY2024</t>
        </is>
      </c>
      <c r="B225" s="25" t="inlineStr">
        <is>
          <t>Expense</t>
        </is>
      </c>
      <c r="C225" s="6" t="inlineStr">
        <is>
          <t>62200 - Utilities - Gas</t>
        </is>
      </c>
      <c r="D225" s="22" t="n">
        <v>2.21</v>
      </c>
      <c r="E225" s="6" t="n"/>
    </row>
    <row r="226">
      <c r="A226" s="6" t="inlineStr">
        <is>
          <t>10350 Washington St — FY2024</t>
        </is>
      </c>
      <c r="B226" s="25" t="inlineStr">
        <is>
          <t>Expense</t>
        </is>
      </c>
      <c r="C226" s="6" t="inlineStr">
        <is>
          <t>62500 - Security Alarm Service</t>
        </is>
      </c>
      <c r="D226" s="22" t="n">
        <v>1857.52</v>
      </c>
      <c r="E226" s="6" t="inlineStr">
        <is>
          <t>Utilities subtotal $7,150.93</t>
        </is>
      </c>
    </row>
    <row r="227">
      <c r="A227" s="6" t="inlineStr">
        <is>
          <t>10350 Washington St — FY2024</t>
        </is>
      </c>
      <c r="B227" s="25" t="inlineStr">
        <is>
          <t>Expense</t>
        </is>
      </c>
      <c r="C227" s="6" t="inlineStr">
        <is>
          <t>63000 - Management Fee</t>
        </is>
      </c>
      <c r="D227" s="22" t="n">
        <v>47235.68</v>
      </c>
      <c r="E227" s="6" t="n"/>
    </row>
    <row r="228">
      <c r="A228" s="6" t="inlineStr">
        <is>
          <t>10350 Washington St — FY2024</t>
        </is>
      </c>
      <c r="B228" s="25" t="inlineStr">
        <is>
          <t>Expense</t>
        </is>
      </c>
      <c r="C228" s="6" t="inlineStr">
        <is>
          <t>65000 - Legal and Professional Services</t>
        </is>
      </c>
      <c r="D228" s="22" t="n">
        <v>10238.1</v>
      </c>
      <c r="E228" s="6" t="n"/>
    </row>
    <row r="229">
      <c r="A229" s="6" t="inlineStr">
        <is>
          <t>10350 Washington St — FY2024</t>
        </is>
      </c>
      <c r="B229" s="25" t="inlineStr">
        <is>
          <t>Expense</t>
        </is>
      </c>
      <c r="C229" s="6" t="inlineStr">
        <is>
          <t>66000 - Dues and Subscriptions</t>
        </is>
      </c>
      <c r="D229" s="22" t="n">
        <v>98.05</v>
      </c>
      <c r="E229" s="6" t="n"/>
    </row>
    <row r="230">
      <c r="A230" s="6" t="inlineStr">
        <is>
          <t>10350 Washington St — FY2024</t>
        </is>
      </c>
      <c r="B230" s="25" t="inlineStr">
        <is>
          <t>Expense</t>
        </is>
      </c>
      <c r="C230" s="6" t="inlineStr">
        <is>
          <t>66050 - Office Supplies</t>
        </is>
      </c>
      <c r="D230" s="22" t="n">
        <v>934.66</v>
      </c>
      <c r="E230" s="6" t="n"/>
    </row>
    <row r="231">
      <c r="A231" s="6" t="inlineStr">
        <is>
          <t>10350 Washington St — FY2024</t>
        </is>
      </c>
      <c r="B231" s="25" t="inlineStr">
        <is>
          <t>Expense</t>
        </is>
      </c>
      <c r="C231" s="6" t="inlineStr">
        <is>
          <t>66100 - Postage &amp; Delivery</t>
        </is>
      </c>
      <c r="D231" s="22" t="n">
        <v>645.37</v>
      </c>
      <c r="E231" s="6" t="n"/>
    </row>
    <row r="232">
      <c r="A232" s="6" t="inlineStr">
        <is>
          <t>10350 Washington St — FY2024</t>
        </is>
      </c>
      <c r="B232" s="25" t="inlineStr">
        <is>
          <t>Expense</t>
        </is>
      </c>
      <c r="C232" s="6" t="inlineStr">
        <is>
          <t>66200 - Telephone</t>
        </is>
      </c>
      <c r="D232" s="22" t="n">
        <v>9403.110000000001</v>
      </c>
      <c r="E232" s="6" t="n"/>
    </row>
    <row r="233">
      <c r="A233" s="6" t="inlineStr">
        <is>
          <t>10350 Washington St — FY2024</t>
        </is>
      </c>
      <c r="B233" s="25" t="inlineStr">
        <is>
          <t>Expense</t>
        </is>
      </c>
      <c r="C233" s="6" t="inlineStr">
        <is>
          <t>66300 - Call Center Allocation</t>
        </is>
      </c>
      <c r="D233" s="22" t="n">
        <v>1399.74</v>
      </c>
      <c r="E233" s="6" t="n"/>
    </row>
    <row r="234">
      <c r="A234" s="6" t="inlineStr">
        <is>
          <t>10350 Washington St — FY2024</t>
        </is>
      </c>
      <c r="B234" s="25" t="inlineStr">
        <is>
          <t>Expense</t>
        </is>
      </c>
      <c r="C234" s="6" t="inlineStr">
        <is>
          <t>69300 - Petty Cash Expenses</t>
        </is>
      </c>
      <c r="D234" s="22" t="n">
        <v>3422.72</v>
      </c>
      <c r="E234" s="6" t="inlineStr">
        <is>
          <t>Administrative subtotal $15,903.65</t>
        </is>
      </c>
    </row>
    <row r="235">
      <c r="A235" s="6" t="inlineStr">
        <is>
          <t>10350 Washington St — FY2024</t>
        </is>
      </c>
      <c r="B235" s="25" t="inlineStr">
        <is>
          <t>Expense</t>
        </is>
      </c>
      <c r="C235" s="6" t="inlineStr">
        <is>
          <t>69000 - Travel</t>
        </is>
      </c>
      <c r="D235" s="22" t="n">
        <v>53.72</v>
      </c>
      <c r="E235" s="6" t="n"/>
    </row>
    <row r="236">
      <c r="A236" s="6" t="inlineStr">
        <is>
          <t>10350 Washington St — FY2024</t>
        </is>
      </c>
      <c r="B236" s="25" t="inlineStr">
        <is>
          <t>Expense</t>
        </is>
      </c>
      <c r="C236" s="6" t="inlineStr">
        <is>
          <t>56100 - Travel - Property Management</t>
        </is>
      </c>
      <c r="D236" s="22" t="n">
        <v>14.16</v>
      </c>
      <c r="E236" s="6" t="inlineStr">
        <is>
          <t>Travel subtotal $67.88</t>
        </is>
      </c>
    </row>
    <row r="237">
      <c r="A237" s="6" t="inlineStr">
        <is>
          <t>10350 Washington St — FY2024</t>
        </is>
      </c>
      <c r="B237" s="25" t="inlineStr">
        <is>
          <t>Expense</t>
        </is>
      </c>
      <c r="C237" s="6" t="inlineStr">
        <is>
          <t>64000 - Promotional Advertising</t>
        </is>
      </c>
      <c r="D237" s="22" t="n">
        <v>8781.219999999999</v>
      </c>
      <c r="E237" s="6" t="n"/>
    </row>
    <row r="238">
      <c r="A238" s="6" t="inlineStr">
        <is>
          <t>10350 Washington St — FY2024</t>
        </is>
      </c>
      <c r="B238" s="25" t="inlineStr">
        <is>
          <t>Expense</t>
        </is>
      </c>
      <c r="C238" s="6" t="inlineStr">
        <is>
          <t>64100 - Google</t>
        </is>
      </c>
      <c r="D238" s="22" t="n">
        <v>6532.72</v>
      </c>
      <c r="E238" s="6" t="n"/>
    </row>
    <row r="239">
      <c r="A239" s="6" t="inlineStr">
        <is>
          <t>10350 Washington St — FY2024</t>
        </is>
      </c>
      <c r="B239" s="25" t="inlineStr">
        <is>
          <t>Expense</t>
        </is>
      </c>
      <c r="C239" s="6" t="inlineStr">
        <is>
          <t>64150 - Sparefoot/Storagefront</t>
        </is>
      </c>
      <c r="D239" s="22" t="n">
        <v>18968.73</v>
      </c>
      <c r="E239" s="6" t="n"/>
    </row>
    <row r="240">
      <c r="A240" s="6" t="inlineStr">
        <is>
          <t>10350 Washington St — FY2024</t>
        </is>
      </c>
      <c r="B240" s="25" t="inlineStr">
        <is>
          <t>Expense</t>
        </is>
      </c>
      <c r="C240" s="6" t="inlineStr">
        <is>
          <t>64300 - Employee Promotions</t>
        </is>
      </c>
      <c r="D240" s="22" t="n">
        <v>4302.18</v>
      </c>
      <c r="E240" s="6" t="inlineStr">
        <is>
          <t>Advertising subtotal $38,584.85</t>
        </is>
      </c>
    </row>
    <row r="241">
      <c r="A241" s="6" t="inlineStr">
        <is>
          <t>10350 Washington St — FY2024</t>
        </is>
      </c>
      <c r="B241" s="25" t="inlineStr">
        <is>
          <t>Expense</t>
        </is>
      </c>
      <c r="C241" s="6" t="inlineStr">
        <is>
          <t>68000 - Fire and Liability Insurance</t>
        </is>
      </c>
      <c r="D241" s="22" t="n">
        <v>12049.98</v>
      </c>
      <c r="E241" s="6" t="n"/>
    </row>
    <row r="242">
      <c r="A242" s="6" t="inlineStr">
        <is>
          <t>10350 Washington St — FY2024</t>
        </is>
      </c>
      <c r="B242" s="25" t="inlineStr">
        <is>
          <t>Expense</t>
        </is>
      </c>
      <c r="C242" s="6" t="inlineStr">
        <is>
          <t>68100 - Workers Compensation</t>
        </is>
      </c>
      <c r="D242" s="22" t="n">
        <v>2700.3</v>
      </c>
      <c r="E242" s="6" t="n"/>
    </row>
    <row r="243">
      <c r="A243" s="6" t="inlineStr">
        <is>
          <t>10350 Washington St — FY2024</t>
        </is>
      </c>
      <c r="B243" s="25" t="inlineStr">
        <is>
          <t>Expense</t>
        </is>
      </c>
      <c r="C243" s="6" t="inlineStr">
        <is>
          <t>68200 - Medical Insurance</t>
        </is>
      </c>
      <c r="D243" s="22" t="n">
        <v>11170.57</v>
      </c>
      <c r="E243" s="6" t="inlineStr">
        <is>
          <t>Insurance subtotal $25,920.85</t>
        </is>
      </c>
    </row>
    <row r="244">
      <c r="A244" s="6" t="inlineStr">
        <is>
          <t>10350 Washington St — FY2024</t>
        </is>
      </c>
      <c r="B244" s="25" t="inlineStr">
        <is>
          <t>Expense</t>
        </is>
      </c>
      <c r="C244" s="6" t="inlineStr">
        <is>
          <t>67000 - Real Estate Taxes</t>
        </is>
      </c>
      <c r="D244" s="22" t="n">
        <v>221073.2</v>
      </c>
      <c r="E244" s="6" t="n"/>
    </row>
    <row r="245">
      <c r="A245" s="6" t="inlineStr">
        <is>
          <t>10350 Washington St — FY2024</t>
        </is>
      </c>
      <c r="B245" s="25" t="inlineStr">
        <is>
          <t>Expense</t>
        </is>
      </c>
      <c r="C245" s="6" t="inlineStr">
        <is>
          <t>67200 - Other Taxes and Licenses</t>
        </is>
      </c>
      <c r="D245" s="22" t="n">
        <v>267.73</v>
      </c>
      <c r="E245" s="6" t="inlineStr">
        <is>
          <t>Taxes subtotal $221,340.93</t>
        </is>
      </c>
    </row>
    <row r="246">
      <c r="A246" s="6" t="inlineStr">
        <is>
          <t>10350 Washington St — FY2024</t>
        </is>
      </c>
      <c r="B246" s="25" t="inlineStr">
        <is>
          <t>Expense</t>
        </is>
      </c>
      <c r="C246" s="6" t="inlineStr">
        <is>
          <t>69100 - Bank Charges and Payroll Fees</t>
        </is>
      </c>
      <c r="D246" s="22" t="n">
        <v>1348.1</v>
      </c>
      <c r="E246" s="6" t="n"/>
    </row>
    <row r="247">
      <c r="A247" s="6" t="inlineStr">
        <is>
          <t>10350 Washington St — FY2024</t>
        </is>
      </c>
      <c r="B247" s="25" t="inlineStr">
        <is>
          <t>Expense</t>
        </is>
      </c>
      <c r="C247" s="6" t="inlineStr">
        <is>
          <t>69200 - Credit Card Fees</t>
        </is>
      </c>
      <c r="D247" s="22" t="n">
        <v>28027.29</v>
      </c>
      <c r="E247" s="6" t="n"/>
    </row>
    <row r="248">
      <c r="A248" s="6" t="inlineStr">
        <is>
          <t>10350 Washington St — FY2024</t>
        </is>
      </c>
      <c r="B248" s="25" t="inlineStr">
        <is>
          <t>Expense</t>
        </is>
      </c>
      <c r="C248" s="6" t="inlineStr">
        <is>
          <t>57500 - Credit Card Fees</t>
        </is>
      </c>
      <c r="D248" s="22" t="n">
        <v>17.19</v>
      </c>
      <c r="E248" s="6" t="inlineStr">
        <is>
          <t>Fees &amp; commissions subtotal $29,392.58</t>
        </is>
      </c>
    </row>
    <row r="249">
      <c r="A249" s="11" t="inlineStr">
        <is>
          <t>10350 Washington St — FY2024</t>
        </is>
      </c>
      <c r="B249" s="26" t="inlineStr">
        <is>
          <t>Expense</t>
        </is>
      </c>
      <c r="C249" s="12" t="inlineStr">
        <is>
          <t>TOTAL EXPENSE</t>
        </is>
      </c>
      <c r="D249" s="23">
        <f>SUM(D211:D248)</f>
        <v/>
      </c>
      <c r="E249" s="18" t="inlineStr">
        <is>
          <t>Printed total: $533,121.11. NOI per statement $257,265.10. FY2023 comparative: revenue $899,471.29 / expenses $590,318.63 / NOI $309,152.66 (see Summary).</t>
        </is>
      </c>
    </row>
    <row r="250">
      <c r="A250" s="6" t="inlineStr">
        <is>
          <t>10350 Washington St — FY2024</t>
        </is>
      </c>
      <c r="B250" s="25" t="inlineStr">
        <is>
          <t>Memo (below NOI)</t>
        </is>
      </c>
      <c r="C250" s="6" t="inlineStr">
        <is>
          <t>Interest Expense (73000/57300)</t>
        </is>
      </c>
      <c r="D250" s="22" t="n">
        <v>79320.35000000001</v>
      </c>
      <c r="E250" s="6" t="inlineStr">
        <is>
          <t>Below NOI; not in totals above</t>
        </is>
      </c>
    </row>
    <row r="251">
      <c r="A251" s="6" t="inlineStr">
        <is>
          <t>10350 Washington St — FY2024</t>
        </is>
      </c>
      <c r="B251" s="25" t="inlineStr">
        <is>
          <t>Memo (below NOI)</t>
        </is>
      </c>
      <c r="C251" s="6" t="inlineStr">
        <is>
          <t>Extraordinary - Participation Management Fee (63500)</t>
        </is>
      </c>
      <c r="D251" s="22" t="n">
        <v>19200</v>
      </c>
      <c r="E251" s="6" t="inlineStr">
        <is>
          <t>Below NOI</t>
        </is>
      </c>
    </row>
    <row r="252">
      <c r="A252" s="6" t="inlineStr">
        <is>
          <t>10350 Washington St — FY2024</t>
        </is>
      </c>
      <c r="B252" s="25" t="inlineStr">
        <is>
          <t>Memo (below NOI)</t>
        </is>
      </c>
      <c r="C252" s="6" t="inlineStr">
        <is>
          <t>Depreciation &amp; Amortization</t>
        </is>
      </c>
      <c r="D252" s="22" t="n">
        <v>8922.84</v>
      </c>
      <c r="E252" s="6" t="inlineStr">
        <is>
          <t>Below NOI</t>
        </is>
      </c>
    </row>
    <row r="253">
      <c r="A253" s="6" t="inlineStr">
        <is>
          <t>10350 Washington St — FY2024</t>
        </is>
      </c>
      <c r="B253" s="25" t="inlineStr">
        <is>
          <t>Memo (below NOI)</t>
        </is>
      </c>
      <c r="C253" s="6" t="inlineStr">
        <is>
          <t>Net Cash Flow Before Dep. &amp; Amort.</t>
        </is>
      </c>
      <c r="D253" s="22" t="n">
        <v>158744.75</v>
      </c>
      <c r="E253" s="6" t="inlineStr">
        <is>
          <t>Per statement (FY2023: $162,198.05)</t>
        </is>
      </c>
    </row>
    <row r="254">
      <c r="A254" s="6" t="inlineStr">
        <is>
          <t>10350 Washington St — FY2024</t>
        </is>
      </c>
      <c r="B254" s="25" t="inlineStr">
        <is>
          <t>Memo (below NOI)</t>
        </is>
      </c>
      <c r="C254" s="6" t="inlineStr">
        <is>
          <t>Net Taxable Income</t>
        </is>
      </c>
      <c r="D254" s="22" t="n">
        <v>149821.91</v>
      </c>
      <c r="E254" s="6" t="inlineStr">
        <is>
          <t>Per statement (FY2023: $124,600.41)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Portfolio parcel schedules attached to source packages (North Side Gardens; Winner Storage/CubeSmart PTA; Dahn Corporation) — subject parcels highlighted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10" ht="28" customHeight="1">
      <c r="A10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</t>
        </is>
      </c>
      <c r="B10" s="20" t="n"/>
      <c r="C10" s="20" t="n"/>
      <c r="D10" s="20" t="n"/>
      <c r="E10" s="21" t="n"/>
    </row>
    <row r="12">
      <c r="A12" s="4" t="inlineStr">
        <is>
          <t>Winner Storage / CubeSmart PTA portfolio — schedule attached to R0085571 LOA (Ryan LLC, 2025/2026)</t>
        </is>
      </c>
      <c r="B12" s="20" t="n"/>
      <c r="C12" s="20" t="n"/>
      <c r="D12" s="20" t="n"/>
      <c r="E12" s="21" t="n"/>
    </row>
    <row r="13">
      <c r="A13" s="6" t="inlineStr">
        <is>
          <t>Lamar Owner LLC</t>
        </is>
      </c>
      <c r="B13" s="5" t="inlineStr">
        <is>
          <t>300506230</t>
        </is>
      </c>
      <c r="C13" s="6" t="inlineStr">
        <is>
          <t>9839 W 60th Ave</t>
        </is>
      </c>
      <c r="D13" s="5" t="inlineStr">
        <is>
          <t>Jefferson County</t>
        </is>
      </c>
      <c r="E13" s="5" t="inlineStr">
        <is>
          <t>CO</t>
        </is>
      </c>
    </row>
    <row r="14">
      <c r="A14" s="12" t="inlineStr">
        <is>
          <t>Winner Storage LLC/PTA USI No 730</t>
        </is>
      </c>
      <c r="B14" s="24" t="inlineStr">
        <is>
          <t>0182132318001</t>
        </is>
      </c>
      <c r="C14" s="12" t="inlineStr">
        <is>
          <t>15413 E 18th Ave</t>
        </is>
      </c>
      <c r="D14" s="24" t="inlineStr">
        <is>
          <t>Adams County</t>
        </is>
      </c>
      <c r="E14" s="24" t="inlineStr">
        <is>
          <t>CO</t>
        </is>
      </c>
    </row>
    <row r="15">
      <c r="A15" s="6" t="inlineStr">
        <is>
          <t>Winner Storage LLC</t>
        </is>
      </c>
      <c r="B15" s="5" t="inlineStr">
        <is>
          <t>033895533</t>
        </is>
      </c>
      <c r="C15" s="6" t="inlineStr">
        <is>
          <t>N/A</t>
        </is>
      </c>
      <c r="D15" s="5" t="inlineStr">
        <is>
          <t>Arapahoe County</t>
        </is>
      </c>
      <c r="E15" s="5" t="inlineStr">
        <is>
          <t>CO</t>
        </is>
      </c>
    </row>
    <row r="16">
      <c r="A16" s="6" t="inlineStr">
        <is>
          <t>Winner Storage LLC</t>
        </is>
      </c>
      <c r="B16" s="5" t="inlineStr">
        <is>
          <t>033895541</t>
        </is>
      </c>
      <c r="C16" s="6" t="inlineStr">
        <is>
          <t>14706 E 4th Ave</t>
        </is>
      </c>
      <c r="D16" s="5" t="inlineStr">
        <is>
          <t>Arapahoe County</t>
        </is>
      </c>
      <c r="E16" s="5" t="inlineStr">
        <is>
          <t>CO</t>
        </is>
      </c>
    </row>
    <row r="17">
      <c r="A17" s="12" t="inlineStr">
        <is>
          <t>Winner Storage LLC/PTA USI No 731</t>
        </is>
      </c>
      <c r="B17" s="24" t="inlineStr">
        <is>
          <t>0182131405022</t>
        </is>
      </c>
      <c r="C17" s="12" t="inlineStr">
        <is>
          <t>1540 Altura Blvd</t>
        </is>
      </c>
      <c r="D17" s="24" t="inlineStr">
        <is>
          <t>Adams County</t>
        </is>
      </c>
      <c r="E17" s="24" t="inlineStr">
        <is>
          <t>CO</t>
        </is>
      </c>
    </row>
    <row r="18">
      <c r="A18" s="6" t="inlineStr">
        <is>
          <t>Winner Storage LLC</t>
        </is>
      </c>
      <c r="B18" s="5" t="inlineStr">
        <is>
          <t>033902769</t>
        </is>
      </c>
      <c r="C18" s="6" t="inlineStr">
        <is>
          <t>1800 S Chambers Rd</t>
        </is>
      </c>
      <c r="D18" s="5" t="inlineStr">
        <is>
          <t>Arapahoe County</t>
        </is>
      </c>
      <c r="E18" s="5" t="inlineStr">
        <is>
          <t>CO</t>
        </is>
      </c>
    </row>
    <row r="19">
      <c r="A19" s="6" t="inlineStr">
        <is>
          <t>Winner Storage LLC</t>
        </is>
      </c>
      <c r="B19" s="5" t="inlineStr">
        <is>
          <t>033902785</t>
        </is>
      </c>
      <c r="C19" s="6" t="inlineStr">
        <is>
          <t>1815 S Helena St</t>
        </is>
      </c>
      <c r="D19" s="5" t="inlineStr">
        <is>
          <t>Arapahoe County</t>
        </is>
      </c>
      <c r="E19" s="5" t="inlineStr">
        <is>
          <t>CO</t>
        </is>
      </c>
    </row>
    <row r="20">
      <c r="A20" s="6" t="inlineStr">
        <is>
          <t>Neighborhood Self Storage LLC</t>
        </is>
      </c>
      <c r="B20" s="5" t="inlineStr">
        <is>
          <t>032382996</t>
        </is>
      </c>
      <c r="C20" s="6" t="inlineStr">
        <is>
          <t>2900 S Havana St</t>
        </is>
      </c>
      <c r="D20" s="5" t="inlineStr">
        <is>
          <t>Arapahoe County</t>
        </is>
      </c>
      <c r="E20" s="5" t="inlineStr">
        <is>
          <t>CO</t>
        </is>
      </c>
    </row>
    <row r="21">
      <c r="A21" s="6" t="inlineStr">
        <is>
          <t>Neighborhood Self Storage LLC</t>
        </is>
      </c>
      <c r="B21" s="5" t="inlineStr">
        <is>
          <t>032383003</t>
        </is>
      </c>
      <c r="C21" s="6" t="inlineStr">
        <is>
          <t>2902 S Havana St</t>
        </is>
      </c>
      <c r="D21" s="5" t="inlineStr">
        <is>
          <t>Arapahoe County</t>
        </is>
      </c>
      <c r="E21" s="5" t="inlineStr">
        <is>
          <t>CO</t>
        </is>
      </c>
    </row>
    <row r="22">
      <c r="A22" s="6" t="inlineStr">
        <is>
          <t>Cubesmart LP</t>
        </is>
      </c>
      <c r="B22" s="5" t="inlineStr">
        <is>
          <t>032879254</t>
        </is>
      </c>
      <c r="C22" s="6" t="inlineStr">
        <is>
          <t>5353 E County Line Rd</t>
        </is>
      </c>
      <c r="D22" s="5" t="inlineStr">
        <is>
          <t>Arapahoe County</t>
        </is>
      </c>
      <c r="E22" s="5" t="inlineStr">
        <is>
          <t>CO</t>
        </is>
      </c>
    </row>
    <row r="23">
      <c r="A23" s="6" t="inlineStr">
        <is>
          <t>Cubesmart LP</t>
        </is>
      </c>
      <c r="B23" s="5" t="inlineStr">
        <is>
          <t>034924396</t>
        </is>
      </c>
      <c r="C23" s="6" t="inlineStr">
        <is>
          <t>7059 S Kenton St</t>
        </is>
      </c>
      <c r="D23" s="5" t="inlineStr">
        <is>
          <t>Arapahoe County</t>
        </is>
      </c>
      <c r="E23" s="5" t="inlineStr">
        <is>
          <t>CO</t>
        </is>
      </c>
    </row>
    <row r="24">
      <c r="A24" s="6" t="inlineStr">
        <is>
          <t>Cubesmart LP</t>
        </is>
      </c>
      <c r="B24" s="5" t="inlineStr">
        <is>
          <t>6428404001</t>
        </is>
      </c>
      <c r="C24" s="6" t="inlineStr">
        <is>
          <t>2310 S Circle Dr</t>
        </is>
      </c>
      <c r="D24" s="5" t="inlineStr">
        <is>
          <t>El Paso County</t>
        </is>
      </c>
      <c r="E24" s="5" t="inlineStr">
        <is>
          <t>CO</t>
        </is>
      </c>
    </row>
    <row r="25">
      <c r="A25" s="6" t="inlineStr">
        <is>
          <t>U Store It</t>
        </is>
      </c>
      <c r="B25" s="5" t="inlineStr">
        <is>
          <t>6319402055</t>
        </is>
      </c>
      <c r="C25" s="6" t="inlineStr">
        <is>
          <t>380 E Garden Of The Gods Rd</t>
        </is>
      </c>
      <c r="D25" s="5" t="inlineStr">
        <is>
          <t>El Paso County</t>
        </is>
      </c>
      <c r="E25" s="5" t="inlineStr">
        <is>
          <t>CO</t>
        </is>
      </c>
    </row>
    <row r="26">
      <c r="A26" s="6" t="inlineStr">
        <is>
          <t>8700 Devonshire Storage LLC</t>
        </is>
      </c>
      <c r="B26" s="5" t="inlineStr">
        <is>
          <t>0171925204016</t>
        </is>
      </c>
      <c r="C26" s="6" t="inlineStr">
        <is>
          <t>8700 Devonshire Blvd</t>
        </is>
      </c>
      <c r="D26" s="5" t="inlineStr">
        <is>
          <t>Adams County</t>
        </is>
      </c>
      <c r="E26" s="5" t="inlineStr">
        <is>
          <t>CO</t>
        </is>
      </c>
    </row>
    <row r="27">
      <c r="A27" s="6" t="inlineStr">
        <is>
          <t>Cubesmart LP</t>
        </is>
      </c>
      <c r="B27" s="5" t="inlineStr">
        <is>
          <t>07032-00-036-000</t>
        </is>
      </c>
      <c r="C27" s="6" t="inlineStr">
        <is>
          <t>8930 E Hampden Ave</t>
        </is>
      </c>
      <c r="D27" s="5" t="inlineStr">
        <is>
          <t>Denver County</t>
        </is>
      </c>
      <c r="E27" s="5" t="inlineStr">
        <is>
          <t>CO</t>
        </is>
      </c>
    </row>
    <row r="28">
      <c r="A28" s="6" t="inlineStr">
        <is>
          <t>Cubesmart LP</t>
        </is>
      </c>
      <c r="B28" s="5" t="inlineStr">
        <is>
          <t>07032-00-038-000</t>
        </is>
      </c>
      <c r="C28" s="6" t="inlineStr">
        <is>
          <t>3540 S Yosemite St</t>
        </is>
      </c>
      <c r="D28" s="5" t="inlineStr">
        <is>
          <t>Denver County</t>
        </is>
      </c>
      <c r="E28" s="5" t="inlineStr">
        <is>
          <t>CO</t>
        </is>
      </c>
    </row>
    <row r="29">
      <c r="A29" s="6" t="inlineStr">
        <is>
          <t>U-store-it/Pta Usi No 769</t>
        </is>
      </c>
      <c r="B29" s="5" t="inlineStr">
        <is>
          <t>0182505401015</t>
        </is>
      </c>
      <c r="C29" s="6" t="inlineStr">
        <is>
          <t>6790 Federal Blvd</t>
        </is>
      </c>
      <c r="D29" s="5" t="inlineStr">
        <is>
          <t>Adams County</t>
        </is>
      </c>
      <c r="E29" s="5" t="inlineStr">
        <is>
          <t>CO</t>
        </is>
      </c>
    </row>
    <row r="30">
      <c r="A30" s="6" t="inlineStr">
        <is>
          <t>Cubesmart LP</t>
        </is>
      </c>
      <c r="B30" s="5" t="inlineStr">
        <is>
          <t>06172-00-031-000</t>
        </is>
      </c>
      <c r="C30" s="6" t="inlineStr">
        <is>
          <t>6150 Leetsdale Dr</t>
        </is>
      </c>
      <c r="D30" s="5" t="inlineStr">
        <is>
          <t>Denver County</t>
        </is>
      </c>
      <c r="E30" s="5" t="inlineStr">
        <is>
          <t>CO</t>
        </is>
      </c>
    </row>
    <row r="31">
      <c r="A31" s="6" t="inlineStr">
        <is>
          <t>Cubesmart LP C/O PTA - CS #229</t>
        </is>
      </c>
      <c r="B31" s="5" t="inlineStr">
        <is>
          <t>0171928108008</t>
        </is>
      </c>
      <c r="C31" s="6" t="inlineStr">
        <is>
          <t>8444 Pecos St</t>
        </is>
      </c>
      <c r="D31" s="5" t="inlineStr">
        <is>
          <t>Adams County</t>
        </is>
      </c>
      <c r="E31" s="5" t="inlineStr">
        <is>
          <t>CO</t>
        </is>
      </c>
    </row>
    <row r="32">
      <c r="A32" s="6" t="inlineStr">
        <is>
          <t>Cube Smart LP #229</t>
        </is>
      </c>
      <c r="B32" s="5" t="inlineStr">
        <is>
          <t>0171928108010</t>
        </is>
      </c>
      <c r="C32" s="6" t="inlineStr">
        <is>
          <t>8444 Pecos St</t>
        </is>
      </c>
      <c r="D32" s="5" t="inlineStr">
        <is>
          <t>Adams County</t>
        </is>
      </c>
      <c r="E32" s="5" t="inlineStr">
        <is>
          <t>CO</t>
        </is>
      </c>
    </row>
    <row r="33">
      <c r="A33" s="6" t="inlineStr">
        <is>
          <t>D Beeks Aurora Investments LLC</t>
        </is>
      </c>
      <c r="B33" s="5" t="inlineStr">
        <is>
          <t>031269288</t>
        </is>
      </c>
      <c r="C33" s="6" t="inlineStr">
        <is>
          <t>2125 Valentia Street</t>
        </is>
      </c>
      <c r="D33" s="5" t="inlineStr">
        <is>
          <t>Arapahoe County</t>
        </is>
      </c>
      <c r="E33" s="5" t="inlineStr">
        <is>
          <t>CO</t>
        </is>
      </c>
    </row>
    <row r="34">
      <c r="A34" s="6" t="inlineStr">
        <is>
          <t>Winner Storage LLC</t>
        </is>
      </c>
      <c r="B34" s="5" t="inlineStr">
        <is>
          <t>034003967</t>
        </is>
      </c>
      <c r="C34" s="6" t="inlineStr">
        <is>
          <t>1390 S Valentia St</t>
        </is>
      </c>
      <c r="D34" s="5" t="inlineStr">
        <is>
          <t>Arapahoe County</t>
        </is>
      </c>
      <c r="E34" s="5" t="inlineStr">
        <is>
          <t>CO</t>
        </is>
      </c>
    </row>
    <row r="35">
      <c r="A35" s="6" t="inlineStr">
        <is>
          <t>Winner Storage LLC</t>
        </is>
      </c>
      <c r="B35" s="5" t="inlineStr">
        <is>
          <t>300189566</t>
        </is>
      </c>
      <c r="C35" s="6" t="inlineStr">
        <is>
          <t>1733 S Wadsworth Blvd</t>
        </is>
      </c>
      <c r="D35" s="5" t="inlineStr">
        <is>
          <t>Jefferson County</t>
        </is>
      </c>
      <c r="E35" s="5" t="inlineStr">
        <is>
          <t>CO</t>
        </is>
      </c>
    </row>
    <row r="36">
      <c r="A36" s="6" t="inlineStr">
        <is>
          <t>Cubesmart LP</t>
        </is>
      </c>
      <c r="B36" s="5" t="inlineStr">
        <is>
          <t>031265631</t>
        </is>
      </c>
      <c r="C36" s="6" t="inlineStr">
        <is>
          <t>10303 E Warren Ave</t>
        </is>
      </c>
      <c r="D36" s="5" t="inlineStr">
        <is>
          <t>Arapahoe County</t>
        </is>
      </c>
      <c r="E36" s="5" t="inlineStr">
        <is>
          <t>CO</t>
        </is>
      </c>
    </row>
    <row r="37">
      <c r="A37" s="6" t="inlineStr">
        <is>
          <t>Winner Storage LLC</t>
        </is>
      </c>
      <c r="B37" s="5" t="inlineStr">
        <is>
          <t>031974674</t>
        </is>
      </c>
      <c r="C37" s="6" t="inlineStr">
        <is>
          <t>4120 S Federal Blvd</t>
        </is>
      </c>
      <c r="D37" s="5" t="inlineStr">
        <is>
          <t>Arapahoe County</t>
        </is>
      </c>
      <c r="E37" s="5" t="inlineStr">
        <is>
          <t>CO</t>
        </is>
      </c>
    </row>
    <row r="38">
      <c r="A38" s="6" t="inlineStr">
        <is>
          <t>Englewood Owner LLC</t>
        </is>
      </c>
      <c r="B38" s="5" t="inlineStr">
        <is>
          <t>035308359</t>
        </is>
      </c>
      <c r="C38" s="6" t="inlineStr">
        <is>
          <t>N/A</t>
        </is>
      </c>
      <c r="D38" s="5" t="inlineStr">
        <is>
          <t>Arapahoe County</t>
        </is>
      </c>
      <c r="E38" s="5" t="inlineStr">
        <is>
          <t>CO</t>
        </is>
      </c>
    </row>
    <row r="39">
      <c r="A39" s="6" t="inlineStr">
        <is>
          <t>Englewood Owner LLC</t>
        </is>
      </c>
      <c r="B39" s="5" t="inlineStr">
        <is>
          <t>035511812</t>
        </is>
      </c>
      <c r="C39" s="6" t="inlineStr">
        <is>
          <t>1090 W Hampden Ave</t>
        </is>
      </c>
      <c r="D39" s="5" t="inlineStr">
        <is>
          <t>Arapahoe County</t>
        </is>
      </c>
      <c r="E39" s="5" t="inlineStr">
        <is>
          <t>CO</t>
        </is>
      </c>
    </row>
    <row r="40">
      <c r="A40" s="6" t="inlineStr">
        <is>
          <t>Cubesmart LP</t>
        </is>
      </c>
      <c r="B40" s="5" t="inlineStr">
        <is>
          <t>300001349</t>
        </is>
      </c>
      <c r="C40" s="6" t="inlineStr">
        <is>
          <t>16845 Mt Vernon Rd</t>
        </is>
      </c>
      <c r="D40" s="5" t="inlineStr">
        <is>
          <t>Jefferson County</t>
        </is>
      </c>
      <c r="E40" s="5" t="inlineStr">
        <is>
          <t>CO</t>
        </is>
      </c>
    </row>
    <row r="41">
      <c r="A41" s="6" t="inlineStr">
        <is>
          <t>Winner Storage LLC</t>
        </is>
      </c>
      <c r="B41" s="5" t="inlineStr">
        <is>
          <t>033284798</t>
        </is>
      </c>
      <c r="C41" s="6" t="inlineStr">
        <is>
          <t>7650 S Broadway</t>
        </is>
      </c>
      <c r="D41" s="5" t="inlineStr">
        <is>
          <t>Arapahoe County</t>
        </is>
      </c>
      <c r="E41" s="5" t="inlineStr">
        <is>
          <t>CO</t>
        </is>
      </c>
    </row>
    <row r="43">
      <c r="A43" s="4" t="inlineStr">
        <is>
          <t>Dahn Corporation managed portfolio — schedule attached to R0040829 LOA (Nancy K. Naeve, SVP, 6/12/2025)</t>
        </is>
      </c>
      <c r="B43" s="20" t="n"/>
      <c r="C43" s="20" t="n"/>
      <c r="D43" s="20" t="n"/>
      <c r="E43" s="21" t="n"/>
    </row>
    <row r="44">
      <c r="A44" s="6" t="inlineStr">
        <is>
          <t>Mini U Storage AAA Ltd</t>
        </is>
      </c>
      <c r="B44" s="5" t="inlineStr">
        <is>
          <t>R0361999</t>
        </is>
      </c>
      <c r="C44" s="6" t="inlineStr">
        <is>
          <t>1400 E County Line Rd</t>
        </is>
      </c>
      <c r="D44" s="5" t="inlineStr">
        <is>
          <t>Douglas County</t>
        </is>
      </c>
      <c r="E44" s="5" t="inlineStr">
        <is>
          <t>CO</t>
        </is>
      </c>
    </row>
    <row r="45">
      <c r="A45" s="6" t="inlineStr">
        <is>
          <t>America360 Development LLC</t>
        </is>
      </c>
      <c r="B45" s="5" t="inlineStr">
        <is>
          <t>034611487</t>
        </is>
      </c>
      <c r="C45" s="6" t="inlineStr">
        <is>
          <t>16830 Hughes Dr</t>
        </is>
      </c>
      <c r="D45" s="5" t="inlineStr">
        <is>
          <t>Arapahoe County</t>
        </is>
      </c>
      <c r="E45" s="5" t="inlineStr">
        <is>
          <t>CO</t>
        </is>
      </c>
    </row>
    <row r="46">
      <c r="A46" s="6" t="inlineStr">
        <is>
          <t>Mini U Storage Highlands Ranch Ltd</t>
        </is>
      </c>
      <c r="B46" s="5" t="inlineStr">
        <is>
          <t>R0374153</t>
        </is>
      </c>
      <c r="C46" s="6" t="inlineStr">
        <is>
          <t>6678 E County Line Rd</t>
        </is>
      </c>
      <c r="D46" s="5" t="inlineStr">
        <is>
          <t>Douglas County</t>
        </is>
      </c>
      <c r="E46" s="5" t="inlineStr">
        <is>
          <t>CO</t>
        </is>
      </c>
    </row>
    <row r="47">
      <c r="A47" s="6" t="inlineStr">
        <is>
          <t>Colorado Mini Ltd</t>
        </is>
      </c>
      <c r="B47" s="5" t="inlineStr">
        <is>
          <t>02241-16-008-000</t>
        </is>
      </c>
      <c r="C47" s="6" t="inlineStr">
        <is>
          <t>3900 E 45th Ave</t>
        </is>
      </c>
      <c r="D47" s="5" t="inlineStr">
        <is>
          <t>Denver County</t>
        </is>
      </c>
      <c r="E47" s="5" t="inlineStr">
        <is>
          <t>CO</t>
        </is>
      </c>
    </row>
    <row r="48">
      <c r="A48" s="6" t="inlineStr">
        <is>
          <t>Mini U Storage ILIFF</t>
        </is>
      </c>
      <c r="B48" s="5" t="inlineStr">
        <is>
          <t>035416691</t>
        </is>
      </c>
      <c r="C48" s="6" t="inlineStr">
        <is>
          <t>7600 E ILIFF Ave</t>
        </is>
      </c>
      <c r="D48" s="5" t="inlineStr">
        <is>
          <t>Arapahoe County</t>
        </is>
      </c>
      <c r="E48" s="5" t="inlineStr">
        <is>
          <t>CO</t>
        </is>
      </c>
    </row>
    <row r="49">
      <c r="A49" s="6" t="inlineStr">
        <is>
          <t>DSI Growth &amp; Income Fund II</t>
        </is>
      </c>
      <c r="B49" s="5" t="inlineStr">
        <is>
          <t>300422700</t>
        </is>
      </c>
      <c r="C49" s="6" t="inlineStr">
        <is>
          <t>7322 S Carr St</t>
        </is>
      </c>
      <c r="D49" s="5" t="inlineStr">
        <is>
          <t>Jefferson County</t>
        </is>
      </c>
      <c r="E49" s="5" t="inlineStr">
        <is>
          <t>CO</t>
        </is>
      </c>
    </row>
    <row r="50">
      <c r="A50" s="6" t="inlineStr">
        <is>
          <t>Mini U Storage Mississippi Ltd</t>
        </is>
      </c>
      <c r="B50" s="5" t="inlineStr">
        <is>
          <t>032382911</t>
        </is>
      </c>
      <c r="C50" s="6" t="inlineStr">
        <is>
          <t>8600 E Mississippi Ave</t>
        </is>
      </c>
      <c r="D50" s="5" t="inlineStr">
        <is>
          <t>Arapahoe County</t>
        </is>
      </c>
      <c r="E50" s="5" t="inlineStr">
        <is>
          <t>CO</t>
        </is>
      </c>
    </row>
    <row r="51">
      <c r="A51" s="6" t="inlineStr">
        <is>
          <t>DSI Special Situations Fund II</t>
        </is>
      </c>
      <c r="B51" s="5" t="inlineStr">
        <is>
          <t>7424105063</t>
        </is>
      </c>
      <c r="C51" s="6" t="inlineStr">
        <is>
          <t>910 Motor City Dr</t>
        </is>
      </c>
      <c r="D51" s="5" t="inlineStr">
        <is>
          <t>El Paso County</t>
        </is>
      </c>
      <c r="E51" s="5" t="inlineStr">
        <is>
          <t>CO</t>
        </is>
      </c>
    </row>
    <row r="52">
      <c r="A52" s="6" t="inlineStr">
        <is>
          <t>Parker Tech Storage LLC</t>
        </is>
      </c>
      <c r="B52" s="5" t="inlineStr">
        <is>
          <t>R0440975</t>
        </is>
      </c>
      <c r="C52" s="6" t="inlineStr">
        <is>
          <t>18901 Longs Way</t>
        </is>
      </c>
      <c r="D52" s="5" t="inlineStr">
        <is>
          <t>Douglas County</t>
        </is>
      </c>
      <c r="E52" s="5" t="inlineStr">
        <is>
          <t>CO</t>
        </is>
      </c>
    </row>
    <row r="53">
      <c r="A53" s="12" t="inlineStr">
        <is>
          <t>DSI Special Situations Fund B</t>
        </is>
      </c>
      <c r="B53" s="24" t="inlineStr">
        <is>
          <t>0171914201013</t>
        </is>
      </c>
      <c r="C53" s="12" t="inlineStr">
        <is>
          <t>10350 Washington St</t>
        </is>
      </c>
      <c r="D53" s="24" t="inlineStr">
        <is>
          <t>Adams County</t>
        </is>
      </c>
      <c r="E53" s="24" t="inlineStr">
        <is>
          <t>CO</t>
        </is>
      </c>
    </row>
  </sheetData>
  <mergeCells count="5">
    <mergeCell ref="A12:E12"/>
    <mergeCell ref="A43:E43"/>
    <mergeCell ref="A2:E2"/>
    <mergeCell ref="A10:E10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2026-08-04T03:51:54Z</dcterms:modified>
</cp:coreProperties>
</file>