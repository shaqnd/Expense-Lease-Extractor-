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amp; Notes" sheetId="1" state="visible" r:id="rId1"/>
    <sheet xmlns:r="http://schemas.openxmlformats.org/officeDocument/2006/relationships" name="Source Documents" sheetId="2" state="visible" r:id="rId2"/>
    <sheet xmlns:r="http://schemas.openxmlformats.org/officeDocument/2006/relationships" name="Property Master" sheetId="3" state="visible" r:id="rId3"/>
    <sheet xmlns:r="http://schemas.openxmlformats.org/officeDocument/2006/relationships" name="Lease Analysis" sheetId="4" state="visible" r:id="rId4"/>
    <sheet xmlns:r="http://schemas.openxmlformats.org/officeDocument/2006/relationships" name="Tenants &amp; Leases" sheetId="5" state="visible" r:id="rId5"/>
    <sheet xmlns:r="http://schemas.openxmlformats.org/officeDocument/2006/relationships" name="Assessments &amp; Valuation" sheetId="6" state="visible" r:id="rId6"/>
    <sheet xmlns:r="http://schemas.openxmlformats.org/officeDocument/2006/relationships" name="Income-Expense Summary" sheetId="7" state="visible" r:id="rId7"/>
    <sheet xmlns:r="http://schemas.openxmlformats.org/officeDocument/2006/relationships" name="Income-Expense Detail" sheetId="8" state="visible" r:id="rId8"/>
    <sheet xmlns:r="http://schemas.openxmlformats.org/officeDocument/2006/relationships" name="Related Parcels" sheetId="9" state="visible" r:id="rId9"/>
  </sheets>
  <definedNames>
    <definedName name="_xlnm._FilterDatabase" localSheetId="1" hidden="1">'Source Documents'!$A$5:$F$33</definedName>
    <definedName name="_xlnm._FilterDatabase" localSheetId="2" hidden="1">'Property Master'!$A$4:$AD$24</definedName>
    <definedName name="_xlnm._FilterDatabase" localSheetId="3" hidden="1">'Lease Analysis'!$A$4:$U$82</definedName>
    <definedName name="_xlnm._FilterDatabase" localSheetId="6" hidden="1">'Income-Expense Summary'!$A$4:$I$29</definedName>
    <definedName name="_xlnm._FilterDatabase" localSheetId="7" hidden="1">'Income-Expense Detail'!$A$4:$I$607</definedName>
    <definedName name="_xlnm._FilterDatabase" localSheetId="8" hidden="1">'Related Parcels'!$A$4:$E$74</definedName>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0"/>
    <numFmt numFmtId="167" formatCode="$#,##0.00;($#,##0.00);-"/>
    <numFmt numFmtId="168" formatCode="0.0%"/>
  </numFmts>
  <fonts count="10">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
      <name val="Arial"/>
      <color rgb="00FFFFFF"/>
      <sz val="9"/>
    </font>
    <font>
      <name val="Arial"/>
      <sz val="9"/>
    </font>
  </fonts>
  <fills count="9">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
      <patternFill patternType="solid">
        <fgColor rgb="00F2F2F2"/>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xf numFmtId="0" fontId="1" fillId="2" borderId="0" applyAlignment="1" pivotButton="0" quotePrefix="0" xfId="0">
      <alignment vertical="center" wrapText="1"/>
    </xf>
    <xf numFmtId="0" fontId="0" fillId="2" borderId="0" pivotButton="0" quotePrefix="0" xfId="0"/>
    <xf numFmtId="0" fontId="8" fillId="2" borderId="0" applyAlignment="1" pivotButton="0" quotePrefix="0" xfId="0">
      <alignment vertical="center" wrapText="1"/>
    </xf>
    <xf numFmtId="0" fontId="4" fillId="3" borderId="6" applyAlignment="1" pivotButton="0" quotePrefix="0" xfId="0">
      <alignment vertical="center" wrapText="1"/>
    </xf>
    <xf numFmtId="0" fontId="7" fillId="0" borderId="0" applyAlignment="1" pivotButton="0" quotePrefix="0" xfId="0">
      <alignment vertical="top" wrapText="1"/>
    </xf>
    <xf numFmtId="0" fontId="5" fillId="0" borderId="0" applyAlignment="1" pivotButton="0" quotePrefix="0" xfId="0">
      <alignment vertical="top" wrapText="1"/>
    </xf>
    <xf numFmtId="0" fontId="7" fillId="5" borderId="0" applyAlignment="1" pivotButton="0" quotePrefix="0" xfId="0">
      <alignment vertical="top" wrapText="1"/>
    </xf>
    <xf numFmtId="0" fontId="5" fillId="5" borderId="0" applyAlignment="1" pivotButton="0" quotePrefix="0" xfId="0">
      <alignment vertical="top" wrapText="1"/>
    </xf>
    <xf numFmtId="0" fontId="9" fillId="0" borderId="0" applyAlignment="1" pivotButton="0" quotePrefix="0" xfId="0">
      <alignment vertical="top" wrapText="1"/>
    </xf>
    <xf numFmtId="0" fontId="4" fillId="3" borderId="0" applyAlignment="1" pivotButton="0" quotePrefix="0" xfId="0">
      <alignment horizontal="center" vertical="center" wrapText="1"/>
    </xf>
    <xf numFmtId="166" fontId="5" fillId="0" borderId="0" applyAlignment="1" pivotButton="0" quotePrefix="0" xfId="0">
      <alignment vertical="top"/>
    </xf>
    <xf numFmtId="168" fontId="5" fillId="0" borderId="0" applyAlignment="1" pivotButton="0" quotePrefix="0" xfId="0">
      <alignment vertical="top"/>
    </xf>
    <xf numFmtId="0" fontId="5" fillId="0" borderId="0" applyAlignment="1" pivotButton="0" quotePrefix="0" xfId="0">
      <alignment vertical="top"/>
    </xf>
    <xf numFmtId="1" fontId="5" fillId="0" borderId="0" applyAlignment="1" pivotButton="0" quotePrefix="0" xfId="0">
      <alignment vertical="top"/>
    </xf>
    <xf numFmtId="0" fontId="7" fillId="0" borderId="0" applyAlignment="1" pivotButton="0" quotePrefix="0" xfId="0">
      <alignment vertical="top"/>
    </xf>
    <xf numFmtId="1" fontId="7" fillId="0" borderId="0" applyAlignment="1" pivotButton="0" quotePrefix="0" xfId="0">
      <alignment vertical="top"/>
    </xf>
    <xf numFmtId="3" fontId="5" fillId="0" borderId="0" applyAlignment="1" pivotButton="0" quotePrefix="0" xfId="0">
      <alignment vertical="top"/>
    </xf>
    <xf numFmtId="167" fontId="5" fillId="0" borderId="0" applyAlignment="1" pivotButton="0" quotePrefix="0" xfId="0">
      <alignment vertical="top"/>
    </xf>
    <xf numFmtId="0" fontId="5" fillId="8" borderId="0" applyAlignment="1" pivotButton="0" quotePrefix="0" xfId="0">
      <alignment vertical="top"/>
    </xf>
    <xf numFmtId="0" fontId="5" fillId="8" borderId="0" applyAlignment="1" pivotButton="0" quotePrefix="0" xfId="0">
      <alignment vertical="top" wrapText="1"/>
    </xf>
    <xf numFmtId="3" fontId="5" fillId="8" borderId="0" applyAlignment="1" pivotButton="0" quotePrefix="0" xfId="0">
      <alignment vertical="top"/>
    </xf>
    <xf numFmtId="167" fontId="5" fillId="8" borderId="0" applyAlignment="1" pivotButton="0" quotePrefix="0" xfId="0">
      <alignment vertical="top"/>
    </xf>
    <xf numFmtId="166" fontId="5" fillId="8"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 width="54" customWidth="1" min="4" max="4"/>
  </cols>
  <sheetData>
    <row r="1">
      <c r="A1" s="32" t="inlineStr">
        <is>
          <t>MASTER PROPERTY DATABASE  —  Index &amp; How to Filter</t>
        </is>
      </c>
    </row>
    <row r="2">
      <c r="A2" s="34" t="inlineStr">
        <is>
          <t>Carter Equities  |  20 properties, all Adams County CO  |  Updated 2026-08-05  |  Scope: lease + income/expense + valuation summaries only (sales/rent comps excluded)</t>
        </is>
      </c>
    </row>
    <row r="4">
      <c r="A4" s="35" t="inlineStr">
        <is>
          <t>Tab</t>
        </is>
      </c>
      <c r="B4" s="35" t="inlineStr">
        <is>
          <t>What it holds</t>
        </is>
      </c>
      <c r="C4" s="35" t="inlineStr">
        <is>
          <t>Filterable?</t>
        </is>
      </c>
      <c r="D4" s="35" t="inlineStr">
        <is>
          <t>Start here if you want to…</t>
        </is>
      </c>
    </row>
    <row r="5">
      <c r="A5" s="36" t="inlineStr">
        <is>
          <t>Index &amp; Notes</t>
        </is>
      </c>
      <c r="B5" s="37" t="inlineStr">
        <is>
          <t>This sheet — tab guide, filter tips, and the caveats that affect analysis.</t>
        </is>
      </c>
      <c r="C5" s="37" t="inlineStr">
        <is>
          <t>n/a</t>
        </is>
      </c>
      <c r="D5" s="37" t="inlineStr">
        <is>
          <t>Orient yourself, or check a data caveat before quoting a number.</t>
        </is>
      </c>
    </row>
    <row r="6">
      <c r="A6" s="36" t="inlineStr">
        <is>
          <t>Property Master</t>
        </is>
      </c>
      <c r="B6" s="37" t="inlineStr">
        <is>
          <t>One row per property: IDs, parcel, address, owner, type, site/GBA/NRA, year built, occupancy, assessor value, petitioner opinion. Now also Submarket, Assessor $/SF, Opinion $/SF, Opinion vs Assessor %, Doc Batch.</t>
        </is>
      </c>
      <c r="C6" s="37" t="inlineStr">
        <is>
          <t>YES — autofilter on row 4</t>
        </is>
      </c>
      <c r="D6" s="37" t="inlineStr">
        <is>
          <t>Compare properties, or rank value per SF.</t>
        </is>
      </c>
    </row>
    <row r="7">
      <c r="A7" s="38" t="inlineStr">
        <is>
          <t>Lease Analysis</t>
        </is>
      </c>
      <c r="B7" s="39" t="inlineStr">
        <is>
          <t>NEW. Flat, one row per lease — no merged rows, no subtotals. Account #, city, submarket, unit SF, base/recoveries/gross $/SF, dates, Record Type, Current?.</t>
        </is>
      </c>
      <c r="C7" s="39" t="inlineStr">
        <is>
          <t>YES — autofilter on row 4</t>
        </is>
      </c>
      <c r="D7" s="39" t="inlineStr">
        <is>
          <t>Build rent comps, pivot rent $/SF, filter by lease basis or size.</t>
        </is>
      </c>
    </row>
    <row r="8">
      <c r="A8" s="36" t="inlineStr">
        <is>
          <t>Tenants &amp; Leases</t>
        </is>
      </c>
      <c r="B8" s="37" t="inlineStr">
        <is>
          <t>The human-readable rent rolls, grouped by property with subtotal rows and printed-total cross-checks. Same data as Lease Analysis but formatted to read.</t>
        </is>
      </c>
      <c r="C8" s="37" t="inlineStr">
        <is>
          <t>No — merged section rows</t>
        </is>
      </c>
      <c r="D8" s="37" t="inlineStr">
        <is>
          <t>Read a rent roll as it appears in the source document.</t>
        </is>
      </c>
    </row>
    <row r="9">
      <c r="A9" s="36" t="inlineStr">
        <is>
          <t>Assessments &amp; Valuation</t>
        </is>
      </c>
      <c r="B9" s="37" t="inlineStr">
        <is>
          <t>Section A: assessed/county values vs petitioner opinions. Section B: income-approach proformas (PGI→NOI→value) with cap rates.</t>
        </is>
      </c>
      <c r="C9" s="37" t="inlineStr">
        <is>
          <t>No — two tables on one sheet</t>
        </is>
      </c>
      <c r="D9" s="37" t="inlineStr">
        <is>
          <t>Trace how a petitioner got to their requested value.</t>
        </is>
      </c>
    </row>
    <row r="10">
      <c r="A10" s="36" t="inlineStr">
        <is>
          <t>Income-Expense Summary</t>
        </is>
      </c>
      <c r="B10" s="37" t="inlineStr">
        <is>
          <t>Total income / expense / net by property and year. Now also Account #, Year, and Accounting Basis columns.</t>
        </is>
      </c>
      <c r="C10" s="37" t="inlineStr">
        <is>
          <t>YES — autofilter on row 4</t>
        </is>
      </c>
      <c r="D10" s="37" t="inlineStr">
        <is>
          <t>Compare NOI across properties or years.</t>
        </is>
      </c>
    </row>
    <row r="11">
      <c r="A11" s="36" t="inlineStr">
        <is>
          <t>Income-Expense Detail</t>
        </is>
      </c>
      <c r="B11" s="37" t="inlineStr">
        <is>
          <t>Every line item by property and year (600+ rows). Now also Account #, clean Property, Year, and Row Type (Line item / Total / Memo).</t>
        </is>
      </c>
      <c r="C11" s="37" t="inlineStr">
        <is>
          <t>YES — autofilter on row 4</t>
        </is>
      </c>
      <c r="D11" s="37" t="inlineStr">
        <is>
          <t>Drill into one expense category, or pivot expenses by year.</t>
        </is>
      </c>
    </row>
    <row r="12">
      <c r="A12" s="36" t="inlineStr">
        <is>
          <t>Source Documents</t>
        </is>
      </c>
      <c r="B12" s="37" t="inlineStr">
        <is>
          <t>Index of all 20 source files: type, subject property, period, preparer.</t>
        </is>
      </c>
      <c r="C12" s="37" t="inlineStr">
        <is>
          <t>YES — autofilter on row 5</t>
        </is>
      </c>
      <c r="D12" s="37" t="inlineStr">
        <is>
          <t>Find which document a number came from.</t>
        </is>
      </c>
    </row>
    <row r="13">
      <c r="A13" s="36" t="inlineStr">
        <is>
          <t>Related Parcels</t>
        </is>
      </c>
      <c r="B13" s="37" t="inlineStr">
        <is>
          <t>Portfolio parcel schedules attached to the appeal packages (North Side Gardens, CubeSmart/Winner Storage, Dahn, Watumull/WPC, Peoria Way).</t>
        </is>
      </c>
      <c r="C13" s="37" t="inlineStr">
        <is>
          <t>YES — autofilter on row 4</t>
        </is>
      </c>
      <c r="D13" s="37" t="inlineStr">
        <is>
          <t>See what else an owner holds nearby.</t>
        </is>
      </c>
    </row>
    <row r="15">
      <c r="A15" s="3" t="inlineStr">
        <is>
          <t>Filter recipes</t>
        </is>
      </c>
    </row>
    <row r="16">
      <c r="A16" s="36" t="inlineStr">
        <is>
          <t>Signed industrial leases only</t>
        </is>
      </c>
      <c r="B16" s="37" t="inlineStr">
        <is>
          <t>Lease Analysis → Record Type = "Actual lease"; Current? = "Yes"; Property Type contains "Industrial".</t>
        </is>
      </c>
    </row>
    <row r="17">
      <c r="A17" s="36" t="inlineStr">
        <is>
          <t>Rent comps for bulk warehouse</t>
        </is>
      </c>
      <c r="B17" s="37" t="inlineStr">
        <is>
          <t>Lease Analysis → Property Type contains "Warehouse", then sort Unit SF descending. The big-bay set is 5720 Holly St and 6701 E. 50th Ave.</t>
        </is>
      </c>
    </row>
    <row r="18">
      <c r="A18" s="36" t="inlineStr">
        <is>
          <t>Like-for-like rent comparison</t>
        </is>
      </c>
      <c r="B18" s="37" t="inlineStr">
        <is>
          <t>Use Gross Rent $/SF, not Base Rent $/SF — base rent is not comparable between NNN and Modified Gross leases.</t>
        </is>
      </c>
    </row>
    <row r="19">
      <c r="A19" s="36" t="inlineStr">
        <is>
          <t>One property, all its financials</t>
        </is>
      </c>
      <c r="B19" s="37" t="inlineStr">
        <is>
          <t>Filter Account # to the same value on Property Master, Income-Expense Summary, Income-Expense Detail and Lease Analysis.</t>
        </is>
      </c>
    </row>
    <row r="20">
      <c r="A20" s="36" t="inlineStr">
        <is>
          <t>Expense detail without the subtotals</t>
        </is>
      </c>
      <c r="B20" s="37" t="inlineStr">
        <is>
          <t>Income-Expense Detail → Row Type = "Line item" (excludes Total and Memo rows so a pivot will not double-count).</t>
        </is>
      </c>
    </row>
    <row r="21">
      <c r="A21" s="36" t="inlineStr">
        <is>
          <t>Compare 2023 vs 2024 for one expense</t>
        </is>
      </c>
      <c r="B21" s="37" t="inlineStr">
        <is>
          <t>Income-Expense Detail → Row Type = "Line item", set Year, then filter Line Item / Account.</t>
        </is>
      </c>
    </row>
    <row r="23">
      <c r="A23" s="3" t="inlineStr">
        <is>
          <t>Caveats that change how a number should be read</t>
        </is>
      </c>
    </row>
    <row r="24" ht="30" customHeight="1">
      <c r="A24" s="40" t="inlineStr">
        <is>
          <t>•  Lease basis is not uniform. 26 of 35 actual industrial leases are NNN, 8 are Modified Gross, 1 is full Gross (Metal Mart, taxes &amp; insurance inside the rent). Averaging base rent across bases is meaningless — use Gross Rent $/SF.</t>
        </is>
      </c>
    </row>
    <row r="25" ht="30" customHeight="1">
      <c r="A25" s="40" t="inlineStr">
        <is>
          <t>•  Sterling appeals (6125 E. 56th, 6300/5800/5750 E. 58th) put real-estate tax INSIDE operating expense and capitalize at 7.25% + 2.45% tax load = 9.70%. Mortgage interest and depreciation sit below NOI as Memo rows. Their letter "Total Expenses" exceeds the statement's Total Operating Expenses because it adds a CAM Non-Reimbursable subset from the non-CAM block.</t>
        </is>
      </c>
    </row>
    <row r="26" ht="30" customHeight="1">
      <c r="A26" s="40" t="inlineStr">
        <is>
          <t>•  1st Net appeals (5720 Holly, 6701 E. 50th) use FORMULAIC expenses — management 3% + reserve/owner 5% of EGI — not actual operating statements. Do not read their expense ratios as actuals.</t>
        </is>
      </c>
    </row>
    <row r="27" ht="30" customHeight="1">
      <c r="A27" s="40" t="inlineStr">
        <is>
          <t>•  Accounting bases differ: Yardi statements are accrual; Hillenmark is IRS Form 8825 tax basis (includes $14,648/yr depreciation); 5970 Marion and Broadview include debt service or depreciation, so they are cash-flow/tax figures, not NOI. Filter Accounting Basis on Income-Expense Summary.</t>
        </is>
      </c>
    </row>
    <row r="28" ht="30" customHeight="1">
      <c r="A28" s="40" t="inlineStr">
        <is>
          <t>•  The file uploaded as R0091936 was a byte-for-byte duplicate of the R0091934 package — no data for schedule R0091936 was ever received.</t>
        </is>
      </c>
    </row>
    <row r="29" ht="30" customHeight="1">
      <c r="A29" s="40" t="inlineStr">
        <is>
          <t>•  5720 Holly St: the owner summary prints $484,407 annual rent next to $8.72/SF average, which are inconsistent ($484,407 / 54,300 SF = $8.92); the appeal uses $8.72. Ginzel lease end differs between the Yardi roll (6/30/2026) and the owner summary (11/30/2026). Both reproduced as printed.</t>
        </is>
      </c>
    </row>
    <row r="30" ht="30" customHeight="1">
      <c r="A30" s="40" t="inlineStr">
        <is>
          <t>•  6701 E. 50th Ave: rent roll shows 0 vacant SF while the sales grid states 14% vacancy and the income analysis applies 5%. True World Foods is in holdover (lease expired 4/30/2024).</t>
        </is>
      </c>
    </row>
    <row r="31" ht="30" customHeight="1">
      <c r="A31" s="40" t="inlineStr">
        <is>
          <t>•  Three different "56th Ave" properties exist — 6770 E. 56th (Aurora, 9,652 SF), 6125 E. 56th (Commerce City, 40,000 SF), 6475 E. 56th (Commerce City, 12,540 SF). Do not conflate them.</t>
        </is>
      </c>
    </row>
    <row r="32" ht="30" customHeight="1">
      <c r="A32" s="40" t="inlineStr">
        <is>
          <t>•  4950 Olive St has no income/expense or rent-roll data — the package is the protest letter plus the BAA stipulation. 6475 Franklin St is owner-occupied: expenses only, and the form prints no total (that =SUM is computed, not verified against the source).</t>
        </is>
      </c>
    </row>
    <row r="33" ht="30" customHeight="1">
      <c r="A33" s="40" t="inlineStr">
        <is>
          <t>•  All other totals are live =SUM/=B-C formulas verified in Python against the source documents' printed totals to the cent. They populate on open in Excel or Google Sheets.</t>
        </is>
      </c>
    </row>
  </sheetData>
  <mergeCells count="18">
    <mergeCell ref="A1:D1"/>
    <mergeCell ref="B19:D19"/>
    <mergeCell ref="A27:D27"/>
    <mergeCell ref="A31:D31"/>
    <mergeCell ref="A26:D26"/>
    <mergeCell ref="A30:D30"/>
    <mergeCell ref="B17:D17"/>
    <mergeCell ref="B18:D18"/>
    <mergeCell ref="A29:D29"/>
    <mergeCell ref="A25:D25"/>
    <mergeCell ref="B21:D21"/>
    <mergeCell ref="A2:D2"/>
    <mergeCell ref="A24:D24"/>
    <mergeCell ref="A33:D33"/>
    <mergeCell ref="A28:D28"/>
    <mergeCell ref="A32:D32"/>
    <mergeCell ref="B16:D16"/>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showGridLines="1"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2026-08-04  |  20 source documents — lease &amp; income/expense data only (market/comp support excluded)</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5" t="n">
        <v>10</v>
      </c>
      <c r="B15" s="6" t="inlineStr">
        <is>
          <t>R0085571_1540_Altura_Blvd.pdf</t>
        </is>
      </c>
      <c r="C15" s="6" t="inlineStr">
        <is>
          <t>Tax appeal package — income approach + CubeSmart FY2024 income statement + LOA + parcel schedule</t>
        </is>
      </c>
      <c r="D15" s="6" t="inlineStr">
        <is>
          <t>1540 Altura Blvd (CubeSmart #6731), Aurora</t>
        </is>
      </c>
      <c r="E15" s="5" t="inlineStr">
        <is>
          <t>Assess. Yr 2025 (LOV 6/30/2024)</t>
        </is>
      </c>
      <c r="F15" s="6" t="inlineStr">
        <is>
          <t>Ryan LLC (D. Fassig) / CubeSmart</t>
        </is>
      </c>
    </row>
    <row r="16" ht="26" customHeight="1">
      <c r="A16" s="5" t="n">
        <v>11</v>
      </c>
      <c r="B16" s="6" t="inlineStr">
        <is>
          <t>R0086010_15413_E_18th_Avenue.pdf</t>
        </is>
      </c>
      <c r="C16" s="6" t="inlineStr">
        <is>
          <t>Abatement petition + income approach + CubeSmart FY2024 income statement + storEDGE occupancy + LOA</t>
        </is>
      </c>
      <c r="D16" s="6" t="inlineStr">
        <is>
          <t>15413 E 18th Ave (CubeSmart #6730), Aurora</t>
        </is>
      </c>
      <c r="E16" s="5" t="inlineStr">
        <is>
          <t>Tax Yr 2025 / Value Yr 2026 (LOV 6/30/2024)</t>
        </is>
      </c>
      <c r="F16" s="6" t="inlineStr">
        <is>
          <t>Ryan LLC (D. Fassig) / CubeSmart</t>
        </is>
      </c>
    </row>
    <row r="17" ht="26" customHeight="1">
      <c r="A17" s="5" t="n">
        <v>12</v>
      </c>
      <c r="B17" s="6" t="inlineStr">
        <is>
          <t>R0040829_self_storage.pdf</t>
        </is>
      </c>
      <c r="C17" s="6" t="inlineStr">
        <is>
          <t>Tax appeal package — income approach + Mini U Storage FY2024/23 NOI statement + rental activity + LOA</t>
        </is>
      </c>
      <c r="D17" s="6" t="inlineStr">
        <is>
          <t>10350 Washington St (Mini U Storage), Thornton</t>
        </is>
      </c>
      <c r="E17" s="5" t="inlineStr">
        <is>
          <t>Value Yr 2025/2026 (LOV 6/30/2024)</t>
        </is>
      </c>
      <c r="F17" s="6" t="inlineStr">
        <is>
          <t>Ryan LLC (D. Fassig) / Dahn Corp.</t>
        </is>
      </c>
    </row>
    <row r="18" ht="26" customHeight="1">
      <c r="A18" s="5" t="n">
        <v>13</v>
      </c>
      <c r="B18" s="6" t="inlineStr">
        <is>
          <t>R0091907.pdf</t>
        </is>
      </c>
      <c r="C18" s="6" t="inlineStr">
        <is>
          <t>Valuation protest — income analysis + rent roll + market grid + LOA</t>
        </is>
      </c>
      <c r="D18" s="6" t="inlineStr">
        <is>
          <t>5720 Holly St, Commerce City</t>
        </is>
      </c>
      <c r="E18" s="5" t="inlineStr">
        <is>
          <t>Tax Yr 2025/2026 (RR 7/1/2024)</t>
        </is>
      </c>
      <c r="F18" s="6" t="inlineStr">
        <is>
          <t>1st Net Real Estate (D. George)</t>
        </is>
      </c>
    </row>
    <row r="19">
      <c r="A19" s="5" t="n">
        <v>14</v>
      </c>
      <c r="B19" s="6" t="inlineStr">
        <is>
          <t>R0091909.pdf</t>
        </is>
      </c>
      <c r="C19" s="6" t="inlineStr">
        <is>
          <t>Valuation protest — income approach + Exhibit A income statement (2023-24) + rent rolls</t>
        </is>
      </c>
      <c r="D19" s="6" t="inlineStr">
        <is>
          <t>6125 E. 56th Ave, Commerce City</t>
        </is>
      </c>
      <c r="E19" s="5" t="inlineStr">
        <is>
          <t>Assess. Yr 2025 (DOV 6/30/2024)</t>
        </is>
      </c>
      <c r="F19" s="6" t="inlineStr">
        <is>
          <t>Sterling Property Tax (P. Leonard)</t>
        </is>
      </c>
    </row>
    <row r="20">
      <c r="A20" s="5" t="n">
        <v>15</v>
      </c>
      <c r="B20" s="6" t="inlineStr">
        <is>
          <t>R0091912.pdf</t>
        </is>
      </c>
      <c r="C20" s="6" t="inlineStr">
        <is>
          <t>IRS Form 8825 (TY2021-2024) + Metal Mart lease, extension &amp; option letters + insurance dec</t>
        </is>
      </c>
      <c r="D20" s="6" t="inlineStr">
        <is>
          <t>6475 E. 56th Ave (56th @ Monaco), Commerce City</t>
        </is>
      </c>
      <c r="E20" s="5" t="inlineStr">
        <is>
          <t>TY2021-2024</t>
        </is>
      </c>
      <c r="F20" s="6" t="inlineStr">
        <is>
          <t>Hillenmark LLC / McElroy Metal</t>
        </is>
      </c>
    </row>
    <row r="21">
      <c r="A21" s="5" t="n">
        <v>16</v>
      </c>
      <c r="B21" s="6" t="inlineStr">
        <is>
          <t>R0091931.pdf</t>
        </is>
      </c>
      <c r="C21" s="6" t="inlineStr">
        <is>
          <t>Valuation protest — income approach + Exhibit A income statement (2023-24) + rent rolls</t>
        </is>
      </c>
      <c r="D21" s="6" t="inlineStr">
        <is>
          <t>6300 E. 58th Ave, Commerce City</t>
        </is>
      </c>
      <c r="E21" s="5" t="inlineStr">
        <is>
          <t>Assess. Yr 2025 (DOV 6/30/2024)</t>
        </is>
      </c>
      <c r="F21" s="6" t="inlineStr">
        <is>
          <t>Sterling Property Tax (P. Leonard)</t>
        </is>
      </c>
    </row>
    <row r="22">
      <c r="A22" s="5" t="n">
        <v>17</v>
      </c>
      <c r="B22" s="6" t="inlineStr">
        <is>
          <t>R0091933.pdf</t>
        </is>
      </c>
      <c r="C22" s="6" t="inlineStr">
        <is>
          <t>Valuation protest — income approach + Exhibit A income statement (2023-24) + rent rolls</t>
        </is>
      </c>
      <c r="D22" s="6" t="inlineStr">
        <is>
          <t>5800 E. 58th Ave, Commerce City</t>
        </is>
      </c>
      <c r="E22" s="5" t="inlineStr">
        <is>
          <t>Assess. Yr 2025 (DOV 6/30/2024)</t>
        </is>
      </c>
      <c r="F22" s="6" t="inlineStr">
        <is>
          <t>Sterling Property Tax (P. Leonard)</t>
        </is>
      </c>
    </row>
    <row r="23">
      <c r="A23" s="5" t="n">
        <v>18</v>
      </c>
      <c r="B23" s="6" t="inlineStr">
        <is>
          <t>R0091934.pdf</t>
        </is>
      </c>
      <c r="C23" s="6" t="inlineStr">
        <is>
          <t>Valuation protest — income approach + Exhibit A income statement (2023-24) + rent rolls</t>
        </is>
      </c>
      <c r="D23" s="6" t="inlineStr">
        <is>
          <t>5750 E. 58th Ave, Commerce City</t>
        </is>
      </c>
      <c r="E23" s="5" t="inlineStr">
        <is>
          <t>Assess. Yr 2025 (DOV 6/30/2024)</t>
        </is>
      </c>
      <c r="F23" s="6" t="inlineStr">
        <is>
          <t>Sterling Property Tax (P. Leonard)</t>
        </is>
      </c>
    </row>
    <row r="24">
      <c r="A24" s="5" t="inlineStr">
        <is>
          <t>—</t>
        </is>
      </c>
      <c r="B24" s="6" t="inlineStr">
        <is>
          <t>R0091936.pdf</t>
        </is>
      </c>
      <c r="C24" s="6" t="inlineStr">
        <is>
          <t>DUPLICATE UPLOAD — byte-for-byte copy of the R0091934 package; no R0091936 data received</t>
        </is>
      </c>
      <c r="D24" s="6" t="inlineStr">
        <is>
          <t>(none — file contains the 5750 E. 58th Ave appeal)</t>
        </is>
      </c>
      <c r="E24" s="5" t="inlineStr">
        <is>
          <t>n/a</t>
        </is>
      </c>
      <c r="F24" s="6" t="inlineStr">
        <is>
          <t>n/a</t>
        </is>
      </c>
    </row>
    <row r="25">
      <c r="A25" s="5" t="n">
        <v>19</v>
      </c>
      <c r="B25" s="6" t="inlineStr">
        <is>
          <t>R0092711.pdf</t>
        </is>
      </c>
      <c r="C25" s="6" t="inlineStr">
        <is>
          <t>Valuation protest — income analysis + Colliers rent roll (Dec 2024) + market grid + LOA/Exhibit A</t>
        </is>
      </c>
      <c r="D25" s="6" t="inlineStr">
        <is>
          <t>6701 E. 50th Ave, Commerce City (also sched. R0181935)</t>
        </is>
      </c>
      <c r="E25" s="5" t="inlineStr">
        <is>
          <t>Tax Yr 2025/2026 (RR 12/2024)</t>
        </is>
      </c>
      <c r="F25" s="6" t="inlineStr">
        <is>
          <t>1st Net Real Estate (D. George)</t>
        </is>
      </c>
    </row>
    <row r="26">
      <c r="A26" s="5" t="n">
        <v>20</v>
      </c>
      <c r="B26" s="6" t="inlineStr">
        <is>
          <t>R0092720.pdf</t>
        </is>
      </c>
      <c r="C26" s="6" t="inlineStr">
        <is>
          <t>Valuation protest + BAA Order &amp; Stipulation (docket 2025BAA2346) + LOA</t>
        </is>
      </c>
      <c r="D26" s="6" t="inlineStr">
        <is>
          <t>4950 Olive St, Commerce City</t>
        </is>
      </c>
      <c r="E26" s="5" t="inlineStr">
        <is>
          <t>Tax Yr 2026 (BAA order TY2025)</t>
        </is>
      </c>
      <c r="F26" s="6" t="inlineStr">
        <is>
          <t>1st Net Real Estate (M. Walter)</t>
        </is>
      </c>
    </row>
    <row r="28">
      <c r="A28" s="7" t="inlineStr">
        <is>
          <t>Notes: Figures transcribed from the source documents. Total / net / average cells are live formulas (SUM/AVERAGE) verified against the printed totals; they populate on open in Excel/Sheets.</t>
        </is>
      </c>
    </row>
    <row r="29">
      <c r="A29" s="7"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t>
        </is>
      </c>
    </row>
    <row r="30">
      <c r="A30" s="7" t="inlineStr">
        <is>
          <t>5970 Marion cash-basis 'expense' includes mortgage P&amp;I and property taxes (cash flow, not NOI). R0169133 cover value ($3,408,546) differs from its schedule total ($3,114,815); both reproduced as printed.</t>
        </is>
      </c>
    </row>
    <row r="31">
      <c r="A31" s="7" t="inlineStr">
        <is>
          <t>Self-storage packages: CubeSmart/Mini U income statements are store-level accrual NOI statements (property tax &amp; 3rd-party mgmt fees included; interest/depreciation excluded except where noted). Cushman &amp; Wakefield investor-survey pages in R0040829 (market support) were skipped per database scope.</t>
        </is>
      </c>
    </row>
    <row r="32">
      <c r="A32" s="7" t="inlineStr">
        <is>
          <t>Commerce City batch: the four Sterling appeals (6125 E. 56th, 6300/5800/5750 E. 58th) share one owner/manager and one Yardi chart of accounts; their Exhibit A statements are accrual, property-level, and INCLUDE real-estate tax but EXCLUDE mortgage interest and depreciation (both carried as memo lines). Sterling's letter recast splits operating expense into RE Taxes + CAM Reimbursable + CAM Non-Reimbursable; CAM Reimbursable equals Total Operating Expenses less Tax Real Estate to the dollar, and CAM Non-Reimbursable is a Sterling-selected subset of the non-CAM block, so the letter's "Total Expenses" exceeds the statement's Total Operating Expenses.</t>
        </is>
      </c>
    </row>
    <row r="33">
      <c r="A33" s="7" t="inlineStr">
        <is>
          <t>The file uploaded as R0091936 is a byte-for-byte duplicate of the R0091934 package (all 27 pages render identically); no data for schedule R0091936 was received. 5720 Holly St and 6701 E. 50th Ave income analyses use formulaic expenses (management 3% + reserve/owner 5% of EGI), not actual operating statements. CoStar lease/sale comps and the Lowery Property Advisors cap-rate survey in these packages are market support and were skipped per database scope.</t>
        </is>
      </c>
    </row>
  </sheetData>
  <autoFilter ref="A5:F33"/>
  <mergeCells count="8">
    <mergeCell ref="A2:F2"/>
    <mergeCell ref="A33:F33"/>
    <mergeCell ref="A28:F28"/>
    <mergeCell ref="A1:F1"/>
    <mergeCell ref="A32:F32"/>
    <mergeCell ref="A31:F31"/>
    <mergeCell ref="A30:F30"/>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4"/>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 width="26" customWidth="1" min="26" max="26"/>
    <col width="13" customWidth="1" min="27" max="27"/>
    <col width="13" customWidth="1" min="28" max="28"/>
    <col width="16" customWidth="1" min="29" max="29"/>
    <col width="22" customWidth="1" min="30" max="30"/>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c r="Z4" s="41" t="inlineStr">
        <is>
          <t>Submarket</t>
        </is>
      </c>
      <c r="AA4" s="41" t="inlineStr">
        <is>
          <t>Assessor $/SF</t>
        </is>
      </c>
      <c r="AB4" s="41" t="inlineStr">
        <is>
          <t>Opinion $/SF</t>
        </is>
      </c>
      <c r="AC4" s="41" t="inlineStr">
        <is>
          <t>Opinion vs Assessor</t>
        </is>
      </c>
      <c r="AD4" s="41" t="inlineStr">
        <is>
          <t>Doc Batch</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c r="Z5" s="37" t="inlineStr">
        <is>
          <t>Denver — north/central</t>
        </is>
      </c>
      <c r="AA5" s="42" t="n">
        <v>150.47</v>
      </c>
      <c r="AB5" s="42" t="n">
        <v>141.19</v>
      </c>
      <c r="AC5" s="43" t="n">
        <v>-0.0617096979316839</v>
      </c>
      <c r="AD5" s="37" t="inlineStr">
        <is>
          <t>1 — initial</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c r="Z6" s="37" t="inlineStr">
        <is>
          <t>Aurora</t>
        </is>
      </c>
      <c r="AA6" s="42" t="n">
        <v>163.01</v>
      </c>
      <c r="AB6" s="42" t="n">
        <v>145.86</v>
      </c>
      <c r="AC6" s="43" t="n">
        <v>-0.1051903069519965</v>
      </c>
      <c r="AD6" s="37" t="inlineStr">
        <is>
          <t>1 — initial</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c r="Z7" s="37" t="inlineStr">
        <is>
          <t>Denver — north/central</t>
        </is>
      </c>
      <c r="AA7" s="42" t="n"/>
      <c r="AB7" s="42" t="n"/>
      <c r="AC7" s="43" t="n"/>
      <c r="AD7" s="37" t="inlineStr">
        <is>
          <t>1 — initial</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c r="Z8" s="37" t="inlineStr">
        <is>
          <t>Denver — north/central</t>
        </is>
      </c>
      <c r="AA8" s="42" t="n">
        <v>175.55</v>
      </c>
      <c r="AB8" s="42" t="n"/>
      <c r="AC8" s="43" t="n"/>
      <c r="AD8" s="37" t="inlineStr">
        <is>
          <t>1 — initial</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c r="Z9" s="37" t="inlineStr">
        <is>
          <t>Denver — north/central</t>
        </is>
      </c>
      <c r="AA9" s="42" t="n"/>
      <c r="AB9" s="42" t="n"/>
      <c r="AC9" s="43" t="n"/>
      <c r="AD9" s="37" t="inlineStr">
        <is>
          <t>1 — initial</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c r="Z10" s="37" t="inlineStr">
        <is>
          <t>Thornton</t>
        </is>
      </c>
      <c r="AA10" s="42" t="n">
        <v>163.36</v>
      </c>
      <c r="AB10" s="42" t="n">
        <v>119.56</v>
      </c>
      <c r="AC10" s="43" t="n">
        <v>-0.2681329289361459</v>
      </c>
      <c r="AD10" s="37" t="inlineStr">
        <is>
          <t>1 — initial</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c r="Z11" s="37" t="inlineStr">
        <is>
          <t>Brighton</t>
        </is>
      </c>
      <c r="AA11" s="42" t="n"/>
      <c r="AB11" s="42" t="n"/>
      <c r="AC11" s="43" t="n"/>
      <c r="AD11" s="37" t="inlineStr">
        <is>
          <t>1 — initial</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c r="Z12" s="37" t="inlineStr">
        <is>
          <t>Aurora</t>
        </is>
      </c>
      <c r="AA12" s="42" t="n">
        <v>188.09</v>
      </c>
      <c r="AB12" s="42" t="n">
        <v>154.69</v>
      </c>
      <c r="AC12" s="43" t="n">
        <v>-0.1775894909977449</v>
      </c>
      <c r="AD12" s="37" t="inlineStr">
        <is>
          <t>1 — initial</t>
        </is>
      </c>
    </row>
    <row r="13">
      <c r="A13" s="6" t="inlineStr">
        <is>
          <t>R0085571</t>
        </is>
      </c>
      <c r="B13" s="6" t="inlineStr">
        <is>
          <t>R0085571</t>
        </is>
      </c>
      <c r="C13" s="6" t="inlineStr">
        <is>
          <t>0182131405022</t>
        </is>
      </c>
      <c r="D13" s="6" t="inlineStr">
        <is>
          <t>Aurora Altura Boulevard CS 6731</t>
        </is>
      </c>
      <c r="E13" s="6" t="inlineStr">
        <is>
          <t>1540 Altura Blvd</t>
        </is>
      </c>
      <c r="F13" s="6" t="inlineStr">
        <is>
          <t>Aurora</t>
        </is>
      </c>
      <c r="G13" s="5" t="inlineStr">
        <is>
          <t>CO</t>
        </is>
      </c>
      <c r="H13" s="6" t="inlineStr">
        <is>
          <t>80011</t>
        </is>
      </c>
      <c r="I13" s="6" t="inlineStr">
        <is>
          <t>Adams</t>
        </is>
      </c>
      <c r="J13" s="6" t="inlineStr">
        <is>
          <t>Winner Storage LLC / PTA USI No 731</t>
        </is>
      </c>
      <c r="K13" s="6" t="inlineStr">
        <is>
          <t>Winner Storage LLC/PTA USI No 731</t>
        </is>
      </c>
      <c r="L13" s="6" t="inlineStr">
        <is>
          <t>Specialty - Self-Storage</t>
        </is>
      </c>
      <c r="M13" s="6" t="inlineStr">
        <is>
          <t>Multi (storage units, MTM)</t>
        </is>
      </c>
      <c r="N13" s="8" t="n">
        <v>2.05</v>
      </c>
      <c r="O13" s="8" t="n">
        <v>89298</v>
      </c>
      <c r="P13" s="6" t="n"/>
      <c r="Q13" s="8" t="n">
        <v>27139</v>
      </c>
      <c r="R13" s="6" t="n">
        <v>1978</v>
      </c>
      <c r="S13" s="6" t="inlineStr">
        <is>
          <t>3.29:1</t>
        </is>
      </c>
      <c r="T13" s="6" t="inlineStr">
        <is>
          <t>— (not stated in package)</t>
        </is>
      </c>
      <c r="U13" s="9" t="n">
        <v>3309468</v>
      </c>
      <c r="V13" s="5" t="inlineStr">
        <is>
          <t>2025</t>
        </is>
      </c>
      <c r="W13" s="9" t="n">
        <v>2546900</v>
      </c>
      <c r="X13" s="6" t="inlineStr">
        <is>
          <t>CubeSmart (store #6731)</t>
        </is>
      </c>
      <c r="Y13" s="6" t="inlineStr">
        <is>
          <t>R0085571_1540_Altura_Blvd.pdf</t>
        </is>
      </c>
      <c r="Z13" s="37" t="inlineStr">
        <is>
          <t>Aurora</t>
        </is>
      </c>
      <c r="AA13" s="42" t="n">
        <v>121.95</v>
      </c>
      <c r="AB13" s="42" t="n">
        <v>93.84999999999999</v>
      </c>
      <c r="AC13" s="43" t="n">
        <v>-0.2304201158615221</v>
      </c>
      <c r="AD13" s="37" t="inlineStr">
        <is>
          <t>2 — Self-storage</t>
        </is>
      </c>
    </row>
    <row r="14">
      <c r="A14" s="6" t="inlineStr">
        <is>
          <t>R0086010</t>
        </is>
      </c>
      <c r="B14" s="6" t="inlineStr">
        <is>
          <t>R0086010</t>
        </is>
      </c>
      <c r="C14" s="6" t="inlineStr">
        <is>
          <t>0182132318001</t>
        </is>
      </c>
      <c r="D14" s="6" t="inlineStr">
        <is>
          <t>Aurora - 18th Avenue - CS - 6730</t>
        </is>
      </c>
      <c r="E14" s="6" t="inlineStr">
        <is>
          <t>15413 E 18th Ave</t>
        </is>
      </c>
      <c r="F14" s="6" t="inlineStr">
        <is>
          <t>Aurora</t>
        </is>
      </c>
      <c r="G14" s="5" t="inlineStr">
        <is>
          <t>CO</t>
        </is>
      </c>
      <c r="H14" s="6" t="inlineStr">
        <is>
          <t>80011</t>
        </is>
      </c>
      <c r="I14" s="6" t="inlineStr">
        <is>
          <t>Adams</t>
        </is>
      </c>
      <c r="J14" s="6" t="inlineStr">
        <is>
          <t>Winner Storage LLC / PTA USI No 730</t>
        </is>
      </c>
      <c r="K14" s="6" t="inlineStr">
        <is>
          <t>Winner Storage LLC/PTA USI No 730</t>
        </is>
      </c>
      <c r="L14" s="6" t="inlineStr">
        <is>
          <t>Self Storage</t>
        </is>
      </c>
      <c r="M14" s="6" t="inlineStr">
        <is>
          <t>Multi (478 storage units, MTM)</t>
        </is>
      </c>
      <c r="N14" s="8" t="n">
        <v>4.68</v>
      </c>
      <c r="O14" s="8" t="n">
        <v>203817</v>
      </c>
      <c r="P14" s="6" t="n"/>
      <c r="Q14" s="8" t="n">
        <v>57742</v>
      </c>
      <c r="R14" s="6" t="n">
        <v>1984</v>
      </c>
      <c r="S14" s="6" t="inlineStr">
        <is>
          <t>3.53:1 (calc)</t>
        </is>
      </c>
      <c r="T14" s="6" t="inlineStr">
        <is>
          <t>87% (Jun 2024); 87.3% of SF (Dec 2024)</t>
        </is>
      </c>
      <c r="U14" s="9" t="n">
        <v>8187500</v>
      </c>
      <c r="V14" s="5" t="inlineStr">
        <is>
          <t>2026 (petition Tax Yr 2025)</t>
        </is>
      </c>
      <c r="W14" s="9" t="n">
        <v>6610000</v>
      </c>
      <c r="X14" s="6" t="inlineStr">
        <is>
          <t>CubeSmart (store #6730)</t>
        </is>
      </c>
      <c r="Y14" s="6" t="inlineStr">
        <is>
          <t>R0086010_15413_E_18th_Avenue.pdf</t>
        </is>
      </c>
      <c r="Z14" s="37" t="inlineStr">
        <is>
          <t>Aurora</t>
        </is>
      </c>
      <c r="AA14" s="42" t="n">
        <v>141.79</v>
      </c>
      <c r="AB14" s="42" t="n">
        <v>114.47</v>
      </c>
      <c r="AC14" s="43" t="n">
        <v>-0.1926717557251908</v>
      </c>
      <c r="AD14" s="37" t="inlineStr">
        <is>
          <t>2 — Self-storage</t>
        </is>
      </c>
    </row>
    <row r="15">
      <c r="A15" s="6" t="inlineStr">
        <is>
          <t>R0040829</t>
        </is>
      </c>
      <c r="B15" s="6" t="inlineStr">
        <is>
          <t>R0040829</t>
        </is>
      </c>
      <c r="C15" s="6" t="inlineStr">
        <is>
          <t>0171914201013</t>
        </is>
      </c>
      <c r="D15" s="6" t="inlineStr">
        <is>
          <t>Thornton (TH) - Dahn - 21548 (Mini U Storage)</t>
        </is>
      </c>
      <c r="E15" s="6" t="inlineStr">
        <is>
          <t>10350 Washington St</t>
        </is>
      </c>
      <c r="F15" s="6" t="inlineStr">
        <is>
          <t>Thornton</t>
        </is>
      </c>
      <c r="G15" s="5" t="inlineStr">
        <is>
          <t>CO</t>
        </is>
      </c>
      <c r="H15" s="6" t="inlineStr">
        <is>
          <t>80229</t>
        </is>
      </c>
      <c r="I15" s="6" t="inlineStr">
        <is>
          <t>Adams</t>
        </is>
      </c>
      <c r="J15" s="6" t="inlineStr">
        <is>
          <t>DSI Special Situations Fund B</t>
        </is>
      </c>
      <c r="K15" s="6" t="inlineStr">
        <is>
          <t>DSI Special Situations Fund B</t>
        </is>
      </c>
      <c r="L15" s="6" t="inlineStr">
        <is>
          <t>Self Storage</t>
        </is>
      </c>
      <c r="M15" s="6" t="inlineStr">
        <is>
          <t>Multi (471 storage units, MTM)</t>
        </is>
      </c>
      <c r="N15" s="8" t="n">
        <v>2.92</v>
      </c>
      <c r="O15" s="8" t="n">
        <v>127395</v>
      </c>
      <c r="P15" s="6" t="n"/>
      <c r="Q15" s="8" t="n">
        <v>48250</v>
      </c>
      <c r="R15" s="6" t="n">
        <v>1985</v>
      </c>
      <c r="S15" s="6" t="inlineStr">
        <is>
          <t>2.64:1 (calc)</t>
        </is>
      </c>
      <c r="T15" s="6" t="inlineStr">
        <is>
          <t>84% (Jun 2024); 83.9% of SF (Dec 2024)</t>
        </is>
      </c>
      <c r="U15" s="9" t="n">
        <v>5428808</v>
      </c>
      <c r="V15" s="5" t="inlineStr">
        <is>
          <t>2025/2026 (LOV 6/30/2024)</t>
        </is>
      </c>
      <c r="W15" s="9" t="n">
        <v>4510000</v>
      </c>
      <c r="X15" s="6" t="inlineStr">
        <is>
          <t>Dahn Corporation (Mini U Storage)</t>
        </is>
      </c>
      <c r="Y15" s="6" t="inlineStr">
        <is>
          <t>R0040829_self_storage.pdf</t>
        </is>
      </c>
      <c r="Z15" s="37" t="inlineStr">
        <is>
          <t>Thornton</t>
        </is>
      </c>
      <c r="AA15" s="42" t="n">
        <v>112.51</v>
      </c>
      <c r="AB15" s="42" t="n">
        <v>93.47</v>
      </c>
      <c r="AC15" s="43" t="n">
        <v>-0.1692467296688334</v>
      </c>
      <c r="AD15" s="37" t="inlineStr">
        <is>
          <t>2 — Self-storage</t>
        </is>
      </c>
    </row>
    <row r="16">
      <c r="A16" s="6" t="inlineStr">
        <is>
          <t>R0091907</t>
        </is>
      </c>
      <c r="B16" s="6" t="inlineStr">
        <is>
          <t>R0091907</t>
        </is>
      </c>
      <c r="C16" s="6" t="inlineStr">
        <is>
          <t>0182308302003</t>
        </is>
      </c>
      <c r="D16" s="6" t="inlineStr">
        <is>
          <t>5720 Holly St</t>
        </is>
      </c>
      <c r="E16" s="6" t="inlineStr">
        <is>
          <t>5720 Holly St</t>
        </is>
      </c>
      <c r="F16" s="6" t="inlineStr">
        <is>
          <t>Commerce City</t>
        </is>
      </c>
      <c r="G16" s="5" t="inlineStr">
        <is>
          <t>CO</t>
        </is>
      </c>
      <c r="H16" s="6" t="inlineStr">
        <is>
          <t>80022</t>
        </is>
      </c>
      <c r="I16" s="6" t="inlineStr">
        <is>
          <t>Adams</t>
        </is>
      </c>
      <c r="J16" s="6" t="inlineStr">
        <is>
          <t>SS Land Holdings 3 Holly LLC</t>
        </is>
      </c>
      <c r="K16" s="6" t="inlineStr">
        <is>
          <t>SS Land Holdings 3 Holly LLC</t>
        </is>
      </c>
      <c r="L16" s="6" t="inlineStr">
        <is>
          <t>Industrial - Warehouse</t>
        </is>
      </c>
      <c r="M16" s="6" t="inlineStr">
        <is>
          <t>Multi-tenant (4 tenants / 7 units)</t>
        </is>
      </c>
      <c r="N16" s="8" t="n">
        <v>2.93</v>
      </c>
      <c r="O16" s="8" t="n">
        <v>127651</v>
      </c>
      <c r="P16" s="6" t="n">
        <v>54300</v>
      </c>
      <c r="Q16" s="8" t="n">
        <v>54300</v>
      </c>
      <c r="R16" s="6" t="n">
        <v>1984</v>
      </c>
      <c r="S16" s="6" t="inlineStr">
        <is>
          <t>2.35:1</t>
        </is>
      </c>
      <c r="T16" s="6" t="inlineStr">
        <is>
          <t>100% of SF (5 of 7 units; grid states 0% vacancy)</t>
        </is>
      </c>
      <c r="U16" s="9" t="n">
        <v>6896593</v>
      </c>
      <c r="V16" s="5" t="inlineStr">
        <is>
          <t>2025</t>
        </is>
      </c>
      <c r="W16" s="9" t="n">
        <v>6113000</v>
      </c>
      <c r="X16" s="6" t="inlineStr">
        <is>
          <t>Agent: 1st Net Real Estate Services</t>
        </is>
      </c>
      <c r="Y16" s="6" t="inlineStr">
        <is>
          <t>R0091907.pdf</t>
        </is>
      </c>
      <c r="Z16" s="37" t="inlineStr">
        <is>
          <t>East I-70/270 (Commerce City)</t>
        </is>
      </c>
      <c r="AA16" s="42" t="n">
        <v>127.01</v>
      </c>
      <c r="AB16" s="42" t="n">
        <v>112.58</v>
      </c>
      <c r="AC16" s="43" t="n">
        <v>-0.1136203049824747</v>
      </c>
      <c r="AD16" s="37" t="inlineStr">
        <is>
          <t>3 — Commerce City</t>
        </is>
      </c>
    </row>
    <row r="17">
      <c r="A17" s="6" t="inlineStr">
        <is>
          <t>R0091909</t>
        </is>
      </c>
      <c r="B17" s="6" t="inlineStr">
        <is>
          <t>R0091909</t>
        </is>
      </c>
      <c r="C17" s="6" t="inlineStr">
        <is>
          <t>R0091909</t>
        </is>
      </c>
      <c r="D17" s="6" t="inlineStr">
        <is>
          <t>Park Industrial 6125</t>
        </is>
      </c>
      <c r="E17" s="6" t="inlineStr">
        <is>
          <t>6125 E. 56th Ave</t>
        </is>
      </c>
      <c r="F17" s="6" t="inlineStr">
        <is>
          <t>Commerce City</t>
        </is>
      </c>
      <c r="G17" s="5" t="inlineStr">
        <is>
          <t>CO</t>
        </is>
      </c>
      <c r="H17" s="6" t="inlineStr">
        <is>
          <t>80022</t>
        </is>
      </c>
      <c r="I17" s="6" t="inlineStr">
        <is>
          <t>Adams</t>
        </is>
      </c>
      <c r="J17" s="6" t="inlineStr">
        <is>
          <t>Park Industrial (Sterling client)</t>
        </is>
      </c>
      <c r="K17" s="6" t="inlineStr">
        <is>
          <t>—</t>
        </is>
      </c>
      <c r="L17" s="6" t="inlineStr">
        <is>
          <t>Industrial / Flex (multi-tenant)</t>
        </is>
      </c>
      <c r="M17" s="6" t="inlineStr">
        <is>
          <t>Multi-tenant (4 leased + 1 vacant)</t>
        </is>
      </c>
      <c r="N17" s="8" t="n">
        <v>2.07</v>
      </c>
      <c r="O17" s="8" t="n">
        <v>90169</v>
      </c>
      <c r="P17" s="6" t="n"/>
      <c r="Q17" s="8" t="n">
        <v>40000</v>
      </c>
      <c r="R17" s="6" t="n">
        <v>1986</v>
      </c>
      <c r="S17" s="6" t="inlineStr">
        <is>
          <t>2.25:1</t>
        </is>
      </c>
      <c r="T17" s="6" t="inlineStr">
        <is>
          <t>87% (13% vacant at 6/30/2024)</t>
        </is>
      </c>
      <c r="U17" s="9" t="n">
        <v>6018844</v>
      </c>
      <c r="V17" s="5" t="inlineStr">
        <is>
          <t>2025</t>
        </is>
      </c>
      <c r="W17" s="9" t="n">
        <v>3975000</v>
      </c>
      <c r="X17" s="6" t="inlineStr">
        <is>
          <t>Agent: Sterling Property Tax Specialists</t>
        </is>
      </c>
      <c r="Y17" s="6" t="inlineStr">
        <is>
          <t>R0091909.pdf</t>
        </is>
      </c>
      <c r="Z17" s="37" t="inlineStr">
        <is>
          <t>East I-70/270 (Commerce City)</t>
        </is>
      </c>
      <c r="AA17" s="42" t="n">
        <v>150.47</v>
      </c>
      <c r="AB17" s="42" t="n">
        <v>99.38</v>
      </c>
      <c r="AC17" s="43" t="n">
        <v>-0.3395741773669495</v>
      </c>
      <c r="AD17" s="37" t="inlineStr">
        <is>
          <t>3 — Commerce City</t>
        </is>
      </c>
    </row>
    <row r="18">
      <c r="A18" s="6" t="inlineStr">
        <is>
          <t>R0091912</t>
        </is>
      </c>
      <c r="B18" s="6" t="inlineStr">
        <is>
          <t>R0091912</t>
        </is>
      </c>
      <c r="C18" s="6" t="inlineStr">
        <is>
          <t>—</t>
        </is>
      </c>
      <c r="D18" s="6" t="inlineStr">
        <is>
          <t>Metal Mart (Hillenmark)</t>
        </is>
      </c>
      <c r="E18" s="6" t="inlineStr">
        <is>
          <t>6475 E. 56th Ave (56th Ave @ Monaco St)</t>
        </is>
      </c>
      <c r="F18" s="6" t="inlineStr">
        <is>
          <t>Commerce City</t>
        </is>
      </c>
      <c r="G18" s="5" t="inlineStr">
        <is>
          <t>CO</t>
        </is>
      </c>
      <c r="H18" s="6" t="inlineStr">
        <is>
          <t>80022</t>
        </is>
      </c>
      <c r="I18" s="6" t="inlineStr">
        <is>
          <t>Adams</t>
        </is>
      </c>
      <c r="J18" s="6" t="inlineStr">
        <is>
          <t>Hillenmark LLC</t>
        </is>
      </c>
      <c r="K18" s="6" t="inlineStr">
        <is>
          <t>Hillenmark LLC</t>
        </is>
      </c>
      <c r="L18" s="6" t="inlineStr">
        <is>
          <t>Industrial - retail/wholesale roofing distribution</t>
        </is>
      </c>
      <c r="M18" s="6" t="inlineStr">
        <is>
          <t>Single-tenant (McElroy Metal Mill Inc. dba Metal Mart)</t>
        </is>
      </c>
      <c r="N18" s="8" t="n">
        <v>2</v>
      </c>
      <c r="O18" s="8" t="n"/>
      <c r="P18" s="6" t="n"/>
      <c r="Q18" s="8" t="n">
        <v>12540</v>
      </c>
      <c r="R18" s="6" t="n"/>
      <c r="S18" s="6" t="n"/>
      <c r="T18" s="6" t="inlineStr">
        <is>
          <t>100% (single tenant since 2/1/2017)</t>
        </is>
      </c>
      <c r="U18" s="9" t="n"/>
      <c r="V18" s="5" t="inlineStr">
        <is>
          <t>TY2021-2024 (Form 8825)</t>
        </is>
      </c>
      <c r="W18" s="9" t="inlineStr">
        <is>
          <t>—</t>
        </is>
      </c>
      <c r="X18" s="6" t="inlineStr">
        <is>
          <t>Lessor self-managed (7600 Dahlia St, Commerce City)</t>
        </is>
      </c>
      <c r="Y18" s="6" t="inlineStr">
        <is>
          <t>R0091912.pdf</t>
        </is>
      </c>
      <c r="Z18" s="37" t="inlineStr">
        <is>
          <t>East I-70/270 (Commerce City)</t>
        </is>
      </c>
      <c r="AA18" s="42" t="n"/>
      <c r="AB18" s="42" t="n"/>
      <c r="AC18" s="43" t="n"/>
      <c r="AD18" s="37" t="inlineStr">
        <is>
          <t>3 — Commerce City</t>
        </is>
      </c>
    </row>
    <row r="19">
      <c r="A19" s="6" t="inlineStr">
        <is>
          <t>R0091931</t>
        </is>
      </c>
      <c r="B19" s="6" t="inlineStr">
        <is>
          <t>R0091931</t>
        </is>
      </c>
      <c r="C19" s="6" t="inlineStr">
        <is>
          <t>R0091931</t>
        </is>
      </c>
      <c r="D19" s="6" t="inlineStr">
        <is>
          <t>Park Industrial 6300/6340/6360</t>
        </is>
      </c>
      <c r="E19" s="6" t="inlineStr">
        <is>
          <t>6300 E. 58th Ave</t>
        </is>
      </c>
      <c r="F19" s="6" t="inlineStr">
        <is>
          <t>Commerce City</t>
        </is>
      </c>
      <c r="G19" s="5" t="inlineStr">
        <is>
          <t>CO</t>
        </is>
      </c>
      <c r="H19" s="6" t="inlineStr">
        <is>
          <t>80022</t>
        </is>
      </c>
      <c r="I19" s="6" t="inlineStr">
        <is>
          <t>Adams</t>
        </is>
      </c>
      <c r="J19" s="6" t="inlineStr">
        <is>
          <t>Park Industrial (Sterling client)</t>
        </is>
      </c>
      <c r="K19" s="6" t="inlineStr">
        <is>
          <t>—</t>
        </is>
      </c>
      <c r="L19" s="6" t="inlineStr">
        <is>
          <t>Industrial / Flex (multi-tenant)</t>
        </is>
      </c>
      <c r="M19" s="6" t="inlineStr">
        <is>
          <t>Multi-tenant (13 leases)</t>
        </is>
      </c>
      <c r="N19" s="8" t="n">
        <v>6.17</v>
      </c>
      <c r="O19" s="8" t="n">
        <v>268765</v>
      </c>
      <c r="P19" s="6" t="n"/>
      <c r="Q19" s="8" t="n">
        <v>90000</v>
      </c>
      <c r="R19" s="6" t="inlineStr">
        <is>
          <t>1999-2001</t>
        </is>
      </c>
      <c r="S19" s="6" t="inlineStr">
        <is>
          <t>2.99:1</t>
        </is>
      </c>
      <c r="T19" s="6" t="inlineStr">
        <is>
          <t>100% occupied at 6/30/2024 (stabilized)</t>
        </is>
      </c>
      <c r="U19" s="9" t="n">
        <v>11719385</v>
      </c>
      <c r="V19" s="5" t="inlineStr">
        <is>
          <t>2025</t>
        </is>
      </c>
      <c r="W19" s="9" t="n">
        <v>9450000</v>
      </c>
      <c r="X19" s="6" t="inlineStr">
        <is>
          <t>Agent: Sterling Property Tax Specialists</t>
        </is>
      </c>
      <c r="Y19" s="6" t="inlineStr">
        <is>
          <t>R0091931.pdf</t>
        </is>
      </c>
      <c r="Z19" s="37" t="inlineStr">
        <is>
          <t>East I-70/270 (Commerce City)</t>
        </is>
      </c>
      <c r="AA19" s="42" t="n">
        <v>130.22</v>
      </c>
      <c r="AB19" s="42" t="n">
        <v>105</v>
      </c>
      <c r="AC19" s="43" t="n">
        <v>-0.1936436937603808</v>
      </c>
      <c r="AD19" s="37" t="inlineStr">
        <is>
          <t>3 — Commerce City</t>
        </is>
      </c>
    </row>
    <row r="20">
      <c r="A20" s="6" t="inlineStr">
        <is>
          <t>R0091933</t>
        </is>
      </c>
      <c r="B20" s="6" t="inlineStr">
        <is>
          <t>R0091933</t>
        </is>
      </c>
      <c r="C20" s="6" t="inlineStr">
        <is>
          <t>R0091933</t>
        </is>
      </c>
      <c r="D20" s="6" t="inlineStr">
        <is>
          <t>Park Industrial 5800</t>
        </is>
      </c>
      <c r="E20" s="6" t="inlineStr">
        <is>
          <t>5800 E. 58th Ave</t>
        </is>
      </c>
      <c r="F20" s="6" t="inlineStr">
        <is>
          <t>Commerce City</t>
        </is>
      </c>
      <c r="G20" s="5" t="inlineStr">
        <is>
          <t>CO</t>
        </is>
      </c>
      <c r="H20" s="6" t="inlineStr">
        <is>
          <t>80022</t>
        </is>
      </c>
      <c r="I20" s="6" t="inlineStr">
        <is>
          <t>Adams</t>
        </is>
      </c>
      <c r="J20" s="6" t="inlineStr">
        <is>
          <t>Park Industrial (Sterling client)</t>
        </is>
      </c>
      <c r="K20" s="6" t="inlineStr">
        <is>
          <t>—</t>
        </is>
      </c>
      <c r="L20" s="6" t="inlineStr">
        <is>
          <t>Industrial / Flex (multi-tenant)</t>
        </is>
      </c>
      <c r="M20" s="6" t="inlineStr">
        <is>
          <t>Multi-tenant (3 leased + 1 vacant)</t>
        </is>
      </c>
      <c r="N20" s="8" t="n">
        <v>1.55</v>
      </c>
      <c r="O20" s="8" t="n">
        <v>67518</v>
      </c>
      <c r="P20" s="6" t="n"/>
      <c r="Q20" s="8" t="n">
        <v>28500</v>
      </c>
      <c r="R20" s="6" t="n">
        <v>1996</v>
      </c>
      <c r="S20" s="6" t="inlineStr">
        <is>
          <t>2.37:1</t>
        </is>
      </c>
      <c r="T20" s="6" t="inlineStr">
        <is>
          <t>91% (9% vacant; 26,500 of 29,000 SF per rent roll)</t>
        </is>
      </c>
      <c r="U20" s="9" t="n">
        <v>4645796</v>
      </c>
      <c r="V20" s="5" t="inlineStr">
        <is>
          <t>2025</t>
        </is>
      </c>
      <c r="W20" s="9" t="n">
        <v>3210000</v>
      </c>
      <c r="X20" s="6" t="inlineStr">
        <is>
          <t>Agent: Sterling Property Tax Specialists</t>
        </is>
      </c>
      <c r="Y20" s="6" t="inlineStr">
        <is>
          <t>R0091933.pdf</t>
        </is>
      </c>
      <c r="Z20" s="37" t="inlineStr">
        <is>
          <t>East I-70/270 (Commerce City)</t>
        </is>
      </c>
      <c r="AA20" s="42" t="n">
        <v>163.01</v>
      </c>
      <c r="AB20" s="42" t="n">
        <v>112.63</v>
      </c>
      <c r="AC20" s="43" t="n">
        <v>-0.3090527435987288</v>
      </c>
      <c r="AD20" s="37" t="inlineStr">
        <is>
          <t>3 — Commerce City</t>
        </is>
      </c>
    </row>
    <row r="21">
      <c r="A21" s="6" t="inlineStr">
        <is>
          <t>R0091934</t>
        </is>
      </c>
      <c r="B21" s="6" t="inlineStr">
        <is>
          <t>R0091934</t>
        </is>
      </c>
      <c r="C21" s="6" t="inlineStr">
        <is>
          <t>R0091934</t>
        </is>
      </c>
      <c r="D21" s="6" t="inlineStr">
        <is>
          <t>Park Industrial 5750</t>
        </is>
      </c>
      <c r="E21" s="6" t="inlineStr">
        <is>
          <t>5750 E. 58th Ave</t>
        </is>
      </c>
      <c r="F21" s="6" t="inlineStr">
        <is>
          <t>Commerce City</t>
        </is>
      </c>
      <c r="G21" s="5" t="inlineStr">
        <is>
          <t>CO</t>
        </is>
      </c>
      <c r="H21" s="6" t="inlineStr">
        <is>
          <t>80022</t>
        </is>
      </c>
      <c r="I21" s="6" t="inlineStr">
        <is>
          <t>Adams</t>
        </is>
      </c>
      <c r="J21" s="6" t="inlineStr">
        <is>
          <t>Park Industrial (Sterling client)</t>
        </is>
      </c>
      <c r="K21" s="6" t="inlineStr">
        <is>
          <t>—</t>
        </is>
      </c>
      <c r="L21" s="6" t="inlineStr">
        <is>
          <t>Industrial / Flex (multi-tenant)</t>
        </is>
      </c>
      <c r="M21" s="6" t="inlineStr">
        <is>
          <t>Multi-tenant</t>
        </is>
      </c>
      <c r="N21" s="8" t="n">
        <v>1.55</v>
      </c>
      <c r="O21" s="8" t="n">
        <v>67518</v>
      </c>
      <c r="P21" s="6" t="n"/>
      <c r="Q21" s="8" t="n">
        <v>32600</v>
      </c>
      <c r="R21" s="6" t="n">
        <v>1995</v>
      </c>
      <c r="S21" s="6" t="inlineStr">
        <is>
          <t>2.07:1</t>
        </is>
      </c>
      <c r="T21" s="6" t="inlineStr">
        <is>
          <t>100% occupied at 6/30/2024 (letter: not at stabilized occupancy)</t>
        </is>
      </c>
      <c r="U21" s="9" t="n">
        <v>4905358</v>
      </c>
      <c r="V21" s="5" t="inlineStr">
        <is>
          <t>2025</t>
        </is>
      </c>
      <c r="W21" s="9" t="n">
        <v>3710000</v>
      </c>
      <c r="X21" s="6" t="inlineStr">
        <is>
          <t>Agent: Sterling Property Tax Specialists</t>
        </is>
      </c>
      <c r="Y21" s="6" t="inlineStr">
        <is>
          <t>R0091934.pdf</t>
        </is>
      </c>
      <c r="Z21" s="37" t="inlineStr">
        <is>
          <t>East I-70/270 (Commerce City)</t>
        </is>
      </c>
      <c r="AA21" s="42" t="n">
        <v>150.47</v>
      </c>
      <c r="AB21" s="42" t="n">
        <v>113.8</v>
      </c>
      <c r="AC21" s="43" t="n">
        <v>-0.243684151085405</v>
      </c>
      <c r="AD21" s="37" t="inlineStr">
        <is>
          <t>3 — Commerce City</t>
        </is>
      </c>
    </row>
    <row r="22">
      <c r="A22" s="6" t="inlineStr">
        <is>
          <t>R0092711</t>
        </is>
      </c>
      <c r="B22" s="6" t="inlineStr">
        <is>
          <t>R0092711 (+ R0181935)</t>
        </is>
      </c>
      <c r="C22" s="6" t="inlineStr">
        <is>
          <t>R0092711</t>
        </is>
      </c>
      <c r="D22" s="6" t="inlineStr">
        <is>
          <t>WPC 50th LLC</t>
        </is>
      </c>
      <c r="E22" s="6" t="inlineStr">
        <is>
          <t>6701 E. 50th Ave</t>
        </is>
      </c>
      <c r="F22" s="6" t="inlineStr">
        <is>
          <t>Commerce City</t>
        </is>
      </c>
      <c r="G22" s="5" t="inlineStr">
        <is>
          <t>CO</t>
        </is>
      </c>
      <c r="H22" s="6" t="inlineStr">
        <is>
          <t>80022</t>
        </is>
      </c>
      <c r="I22" s="6" t="inlineStr">
        <is>
          <t>Adams</t>
        </is>
      </c>
      <c r="J22" s="6" t="inlineStr">
        <is>
          <t>WPC 50th LLC (Watumull Properties Corp.)</t>
        </is>
      </c>
      <c r="K22" s="6" t="inlineStr">
        <is>
          <t>WPC 50th LLC</t>
        </is>
      </c>
      <c r="L22" s="6" t="inlineStr">
        <is>
          <t>Industrial - Warehouse (multi-tenant)</t>
        </is>
      </c>
      <c r="M22" s="6" t="inlineStr">
        <is>
          <t>Multi-tenant (10 leases + vacant yard)</t>
        </is>
      </c>
      <c r="N22" s="8" t="n">
        <v>4.26</v>
      </c>
      <c r="O22" s="8" t="n">
        <v>185565</v>
      </c>
      <c r="P22" s="6" t="n"/>
      <c r="Q22" s="8" t="n">
        <v>93199</v>
      </c>
      <c r="R22" s="6" t="n">
        <v>1979</v>
      </c>
      <c r="S22" s="6" t="inlineStr">
        <is>
          <t>1.99:1</t>
        </is>
      </c>
      <c r="T22" s="6" t="inlineStr">
        <is>
          <t>100% of SF per 12/2024 rent roll (market grid states 14% vacancy)</t>
        </is>
      </c>
      <c r="U22" s="9" t="n">
        <v>11783901</v>
      </c>
      <c r="V22" s="5" t="inlineStr">
        <is>
          <t>2025</t>
        </is>
      </c>
      <c r="W22" s="9" t="n">
        <v>10000000</v>
      </c>
      <c r="X22" s="6" t="inlineStr">
        <is>
          <t>Colliers International (rent roll) / 1st Net (agent)</t>
        </is>
      </c>
      <c r="Y22" s="6" t="inlineStr">
        <is>
          <t>R0092711.pdf</t>
        </is>
      </c>
      <c r="Z22" s="37" t="inlineStr">
        <is>
          <t>East I-70/270 (Commerce City)</t>
        </is>
      </c>
      <c r="AA22" s="42" t="n">
        <v>126.44</v>
      </c>
      <c r="AB22" s="42" t="n">
        <v>107.3</v>
      </c>
      <c r="AC22" s="43" t="n">
        <v>-0.1513845881766998</v>
      </c>
      <c r="AD22" s="37" t="inlineStr">
        <is>
          <t>3 — Commerce City</t>
        </is>
      </c>
    </row>
    <row r="23">
      <c r="A23" s="6" t="inlineStr">
        <is>
          <t>R0092720</t>
        </is>
      </c>
      <c r="B23" s="6" t="inlineStr">
        <is>
          <t>R0092720</t>
        </is>
      </c>
      <c r="C23" s="6" t="inlineStr">
        <is>
          <t>R0092720</t>
        </is>
      </c>
      <c r="D23" s="6" t="inlineStr">
        <is>
          <t>4950 Olive Street</t>
        </is>
      </c>
      <c r="E23" s="6" t="inlineStr">
        <is>
          <t>4950 Olive St</t>
        </is>
      </c>
      <c r="F23" s="6" t="inlineStr">
        <is>
          <t>Commerce City</t>
        </is>
      </c>
      <c r="G23" s="5" t="inlineStr">
        <is>
          <t>CO</t>
        </is>
      </c>
      <c r="H23" s="6" t="inlineStr">
        <is>
          <t>80022</t>
        </is>
      </c>
      <c r="I23" s="6" t="inlineStr">
        <is>
          <t>Adams</t>
        </is>
      </c>
      <c r="J23" s="6" t="inlineStr">
        <is>
          <t>Peoria Way Associates LLC</t>
        </is>
      </c>
      <c r="K23" s="6" t="inlineStr">
        <is>
          <t>Peoria Way Associates LLC / First California Investments (BAA docket)</t>
        </is>
      </c>
      <c r="L23" s="6" t="inlineStr">
        <is>
          <t>Commercial</t>
        </is>
      </c>
      <c r="M23" s="6" t="inlineStr">
        <is>
          <t>—</t>
        </is>
      </c>
      <c r="N23" s="8" t="n"/>
      <c r="O23" s="8" t="n"/>
      <c r="P23" s="6" t="n"/>
      <c r="Q23" s="8" t="n"/>
      <c r="R23" s="6" t="n"/>
      <c r="S23" s="6" t="n"/>
      <c r="T23" s="6" t="inlineStr">
        <is>
          <t>—</t>
        </is>
      </c>
      <c r="U23" s="9" t="n">
        <v>1812965</v>
      </c>
      <c r="V23" s="5" t="inlineStr">
        <is>
          <t>2026 (BAA order TY2025)</t>
        </is>
      </c>
      <c r="W23" s="9" t="n">
        <v>1290000</v>
      </c>
      <c r="X23" s="6" t="inlineStr">
        <is>
          <t>Agent: 1st Net Real Estate Services</t>
        </is>
      </c>
      <c r="Y23" s="6" t="inlineStr">
        <is>
          <t>R0092720.pdf</t>
        </is>
      </c>
      <c r="Z23" s="37" t="inlineStr">
        <is>
          <t>East I-70/270 (Commerce City)</t>
        </is>
      </c>
      <c r="AA23" s="42" t="n"/>
      <c r="AB23" s="42" t="n"/>
      <c r="AC23" s="43" t="n">
        <v>-0.2884584092908578</v>
      </c>
      <c r="AD23" s="37" t="inlineStr">
        <is>
          <t>3 — Commerce City</t>
        </is>
      </c>
    </row>
    <row r="24">
      <c r="A24" s="6" t="inlineStr">
        <is>
          <t>R0098149</t>
        </is>
      </c>
      <c r="B24" s="6" t="inlineStr">
        <is>
          <t>R0098149</t>
        </is>
      </c>
      <c r="C24" s="6" t="inlineStr">
        <is>
          <t>0182502308019</t>
        </is>
      </c>
      <c r="D24" s="6" t="inlineStr">
        <is>
          <t>6475 Franklin Street</t>
        </is>
      </c>
      <c r="E24" s="6" t="inlineStr">
        <is>
          <t>6475 Franklin St</t>
        </is>
      </c>
      <c r="F24" s="6" t="inlineStr">
        <is>
          <t>—</t>
        </is>
      </c>
      <c r="G24" s="5" t="inlineStr">
        <is>
          <t>CO</t>
        </is>
      </c>
      <c r="H24" s="6" t="inlineStr">
        <is>
          <t>—</t>
        </is>
      </c>
      <c r="I24" s="6" t="inlineStr">
        <is>
          <t>Adams</t>
        </is>
      </c>
      <c r="J24" s="6" t="inlineStr">
        <is>
          <t>KSTAR Investments LLC</t>
        </is>
      </c>
      <c r="K24" s="6" t="inlineStr">
        <is>
          <t>KSTAR Investments LLC</t>
        </is>
      </c>
      <c r="L24" s="6" t="inlineStr">
        <is>
          <t>Commercial office and warehouse</t>
        </is>
      </c>
      <c r="M24" s="6" t="inlineStr">
        <is>
          <t>Owner-occupied (100%)</t>
        </is>
      </c>
      <c r="N24" s="8" t="n"/>
      <c r="O24" s="8" t="n"/>
      <c r="P24" s="6" t="n"/>
      <c r="Q24" s="8" t="n">
        <v>30000</v>
      </c>
      <c r="R24" s="6" t="n"/>
      <c r="S24" s="6" t="n"/>
      <c r="T24" s="6" t="inlineStr">
        <is>
          <t>100% owner-occupied</t>
        </is>
      </c>
      <c r="U24" s="9" t="n"/>
      <c r="V24" s="5" t="inlineStr">
        <is>
          <t>2025 reappraisal (CY2023 data)</t>
        </is>
      </c>
      <c r="W24" s="9" t="inlineStr">
        <is>
          <t>—</t>
        </is>
      </c>
      <c r="X24" s="6" t="inlineStr">
        <is>
          <t>Owner contact: Mike Kienbusch</t>
        </is>
      </c>
      <c r="Y24" s="6" t="inlineStr">
        <is>
          <t>R0098149.pdf</t>
        </is>
      </c>
      <c r="Z24" s="37" t="inlineStr">
        <is>
          <t>—</t>
        </is>
      </c>
      <c r="AA24" s="42" t="n"/>
      <c r="AB24" s="42" t="n"/>
      <c r="AC24" s="43" t="n"/>
      <c r="AD24" s="37" t="inlineStr">
        <is>
          <t>3 — Commerce City</t>
        </is>
      </c>
    </row>
  </sheetData>
  <autoFilter ref="A4:AD24"/>
  <mergeCells count="2">
    <mergeCell ref="A2:Y2"/>
    <mergeCell ref="A1:Y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82"/>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0" customWidth="1" min="2" max="2"/>
    <col width="24" customWidth="1" min="3" max="3"/>
    <col width="14" customWidth="1" min="4" max="4"/>
    <col width="26" customWidth="1" min="5" max="5"/>
    <col width="30" customWidth="1" min="6" max="6"/>
    <col width="14" customWidth="1" min="7" max="7"/>
    <col width="34" customWidth="1" min="8" max="8"/>
    <col width="18" customWidth="1" min="9" max="9"/>
    <col width="15" customWidth="1" min="10" max="10"/>
    <col width="22" customWidth="1" min="11" max="11"/>
    <col width="10" customWidth="1" min="12" max="12"/>
    <col width="14" customWidth="1" min="13" max="13"/>
    <col width="14" customWidth="1" min="14" max="14"/>
    <col width="12" customWidth="1" min="15" max="15"/>
    <col width="13" customWidth="1" min="16" max="16"/>
    <col width="13" customWidth="1" min="17" max="17"/>
    <col width="12" customWidth="1" min="18" max="18"/>
    <col width="12" customWidth="1" min="19" max="19"/>
    <col width="26" customWidth="1" min="20" max="20"/>
    <col width="70" customWidth="1" min="21" max="21"/>
  </cols>
  <sheetData>
    <row r="1">
      <c r="A1" s="32" t="inlineStr">
        <is>
          <t>LEASE ANALYSIS  —  flat, one row per lease</t>
        </is>
      </c>
    </row>
    <row r="2">
      <c r="A2" s="34" t="inlineStr">
        <is>
          <t>Filterable companion to the Tenants &amp; Leases tab: no merged rows, no subtotals. Filter Record Type = "Actual lease" for signed leases only; Current? = "Yes" excludes superseded lease phases. Base Rent $/SF and Gross Rent $/SF are the comparable columns — base rent alone is NOT comparable across NNN vs Modified Gross.</t>
        </is>
      </c>
    </row>
    <row r="4">
      <c r="A4" s="35" t="inlineStr">
        <is>
          <t>Account #</t>
        </is>
      </c>
      <c r="B4" s="35" t="inlineStr">
        <is>
          <t>Property</t>
        </is>
      </c>
      <c r="C4" s="35" t="inlineStr">
        <is>
          <t>Address</t>
        </is>
      </c>
      <c r="D4" s="35" t="inlineStr">
        <is>
          <t>City</t>
        </is>
      </c>
      <c r="E4" s="35" t="inlineStr">
        <is>
          <t>Submarket</t>
        </is>
      </c>
      <c r="F4" s="35" t="inlineStr">
        <is>
          <t>Property Type</t>
        </is>
      </c>
      <c r="G4" s="35" t="inlineStr">
        <is>
          <t>Unit</t>
        </is>
      </c>
      <c r="H4" s="35" t="inlineStr">
        <is>
          <t>Tenant</t>
        </is>
      </c>
      <c r="I4" s="35" t="inlineStr">
        <is>
          <t>Record Type</t>
        </is>
      </c>
      <c r="J4" s="35" t="inlineStr">
        <is>
          <t>Current?</t>
        </is>
      </c>
      <c r="K4" s="35" t="inlineStr">
        <is>
          <t>Lease Basis</t>
        </is>
      </c>
      <c r="L4" s="35" t="inlineStr">
        <is>
          <t>Unit SF</t>
        </is>
      </c>
      <c r="M4" s="35" t="inlineStr">
        <is>
          <t>Monthly Base Rent</t>
        </is>
      </c>
      <c r="N4" s="35" t="inlineStr">
        <is>
          <t>Annual Base Rent</t>
        </is>
      </c>
      <c r="O4" s="35" t="inlineStr">
        <is>
          <t>Base Rent $/SF</t>
        </is>
      </c>
      <c r="P4" s="35" t="inlineStr">
        <is>
          <t>Recoveries $/SF</t>
        </is>
      </c>
      <c r="Q4" s="35" t="inlineStr">
        <is>
          <t>Gross Rent $/SF</t>
        </is>
      </c>
      <c r="R4" s="35" t="inlineStr">
        <is>
          <t>Lease Start</t>
        </is>
      </c>
      <c r="S4" s="35" t="inlineStr">
        <is>
          <t>Lease End</t>
        </is>
      </c>
      <c r="T4" s="35" t="inlineStr">
        <is>
          <t>Source File</t>
        </is>
      </c>
      <c r="U4" s="35" t="inlineStr">
        <is>
          <t>Notes</t>
        </is>
      </c>
    </row>
    <row r="5">
      <c r="A5" s="44" t="inlineStr">
        <is>
          <t>R0002819</t>
        </is>
      </c>
      <c r="B5" s="37" t="inlineStr">
        <is>
          <t>125 Bridge St</t>
        </is>
      </c>
      <c r="C5" s="37" t="inlineStr">
        <is>
          <t>125 Bridge St</t>
        </is>
      </c>
      <c r="D5" s="44" t="inlineStr">
        <is>
          <t>Brighton</t>
        </is>
      </c>
      <c r="E5" s="44" t="inlineStr">
        <is>
          <t>Brighton</t>
        </is>
      </c>
      <c r="F5" s="37" t="inlineStr">
        <is>
          <t>Commercial (multi-tenant industrial)</t>
        </is>
      </c>
      <c r="G5" s="44" t="inlineStr">
        <is>
          <t>A (Indoor)</t>
        </is>
      </c>
      <c r="H5" s="37" t="inlineStr">
        <is>
          <t>Bulldog Tires</t>
        </is>
      </c>
      <c r="I5" s="44" t="inlineStr">
        <is>
          <t>Actual lease</t>
        </is>
      </c>
      <c r="J5" s="44" t="inlineStr">
        <is>
          <t>Yes</t>
        </is>
      </c>
      <c r="K5" s="37" t="inlineStr">
        <is>
          <t>Lease</t>
        </is>
      </c>
      <c r="L5" s="48" t="n"/>
      <c r="M5" s="49" t="n">
        <v>4414</v>
      </c>
      <c r="N5" s="49" t="n"/>
      <c r="O5" s="42" t="n"/>
      <c r="P5" s="42" t="n"/>
      <c r="Q5" s="42" t="n"/>
      <c r="R5" s="44" t="inlineStr">
        <is>
          <t>2/15/2021</t>
        </is>
      </c>
      <c r="S5" s="44" t="inlineStr">
        <is>
          <t>9/30/2026</t>
        </is>
      </c>
      <c r="T5" s="44" t="inlineStr">
        <is>
          <t>R0002819.pdf</t>
        </is>
      </c>
      <c r="U5" s="37" t="inlineStr"/>
    </row>
    <row r="6">
      <c r="A6" s="44" t="inlineStr">
        <is>
          <t>R0002819</t>
        </is>
      </c>
      <c r="B6" s="37" t="inlineStr">
        <is>
          <t>125 Bridge St</t>
        </is>
      </c>
      <c r="C6" s="37" t="inlineStr">
        <is>
          <t>125 Bridge St</t>
        </is>
      </c>
      <c r="D6" s="44" t="inlineStr">
        <is>
          <t>Brighton</t>
        </is>
      </c>
      <c r="E6" s="44" t="inlineStr">
        <is>
          <t>Brighton</t>
        </is>
      </c>
      <c r="F6" s="37" t="inlineStr">
        <is>
          <t>Commercial (multi-tenant industrial)</t>
        </is>
      </c>
      <c r="G6" s="44" t="inlineStr">
        <is>
          <t>B (Indoor)</t>
        </is>
      </c>
      <c r="H6" s="37" t="inlineStr">
        <is>
          <t>Manny Mercado</t>
        </is>
      </c>
      <c r="I6" s="44" t="inlineStr">
        <is>
          <t>Actual lease</t>
        </is>
      </c>
      <c r="J6" s="44" t="inlineStr">
        <is>
          <t>Yes</t>
        </is>
      </c>
      <c r="K6" s="37" t="inlineStr">
        <is>
          <t>Lease</t>
        </is>
      </c>
      <c r="L6" s="48" t="n"/>
      <c r="M6" s="49" t="n">
        <v>2425</v>
      </c>
      <c r="N6" s="49" t="n"/>
      <c r="O6" s="42" t="n"/>
      <c r="P6" s="42" t="n"/>
      <c r="Q6" s="42" t="n"/>
      <c r="R6" s="44" t="inlineStr">
        <is>
          <t>4/1/2024</t>
        </is>
      </c>
      <c r="S6" s="44" t="inlineStr">
        <is>
          <t>3/31/2029</t>
        </is>
      </c>
      <c r="T6" s="44" t="inlineStr">
        <is>
          <t>R0002819.pdf</t>
        </is>
      </c>
      <c r="U6" s="37" t="inlineStr"/>
    </row>
    <row r="7">
      <c r="A7" s="44" t="inlineStr">
        <is>
          <t>R0002819</t>
        </is>
      </c>
      <c r="B7" s="37" t="inlineStr">
        <is>
          <t>125 Bridge St</t>
        </is>
      </c>
      <c r="C7" s="37" t="inlineStr">
        <is>
          <t>125 Bridge St</t>
        </is>
      </c>
      <c r="D7" s="44" t="inlineStr">
        <is>
          <t>Brighton</t>
        </is>
      </c>
      <c r="E7" s="44" t="inlineStr">
        <is>
          <t>Brighton</t>
        </is>
      </c>
      <c r="F7" s="37" t="inlineStr">
        <is>
          <t>Commercial (multi-tenant industrial)</t>
        </is>
      </c>
      <c r="G7" s="44" t="inlineStr">
        <is>
          <t>C (Indoor)</t>
        </is>
      </c>
      <c r="H7" s="37" t="inlineStr">
        <is>
          <t>Drip and Stitch</t>
        </is>
      </c>
      <c r="I7" s="44" t="inlineStr">
        <is>
          <t>Actual lease</t>
        </is>
      </c>
      <c r="J7" s="44" t="inlineStr">
        <is>
          <t>Yes</t>
        </is>
      </c>
      <c r="K7" s="37" t="inlineStr">
        <is>
          <t>Lease</t>
        </is>
      </c>
      <c r="L7" s="48" t="n"/>
      <c r="M7" s="49" t="n">
        <v>4000</v>
      </c>
      <c r="N7" s="49" t="n"/>
      <c r="O7" s="42" t="n"/>
      <c r="P7" s="42" t="n"/>
      <c r="Q7" s="42" t="n"/>
      <c r="R7" s="44" t="inlineStr">
        <is>
          <t>12/15/2024</t>
        </is>
      </c>
      <c r="S7" s="44" t="inlineStr">
        <is>
          <t>11/30/2025</t>
        </is>
      </c>
      <c r="T7" s="44" t="inlineStr">
        <is>
          <t>R0002819.pdf</t>
        </is>
      </c>
      <c r="U7" s="37" t="inlineStr">
        <is>
          <t>CAM unit 'Cabinet Connections' vacated 3/31/24</t>
        </is>
      </c>
    </row>
    <row r="8">
      <c r="A8" s="44" t="inlineStr">
        <is>
          <t>R0002819</t>
        </is>
      </c>
      <c r="B8" s="37" t="inlineStr">
        <is>
          <t>125 Bridge St</t>
        </is>
      </c>
      <c r="C8" s="37" t="inlineStr">
        <is>
          <t>125 Bridge St</t>
        </is>
      </c>
      <c r="D8" s="44" t="inlineStr">
        <is>
          <t>Brighton</t>
        </is>
      </c>
      <c r="E8" s="44" t="inlineStr">
        <is>
          <t>Brighton</t>
        </is>
      </c>
      <c r="F8" s="37" t="inlineStr">
        <is>
          <t>Commercial (multi-tenant industrial)</t>
        </is>
      </c>
      <c r="G8" s="44" t="inlineStr">
        <is>
          <t>D (Indoor)</t>
        </is>
      </c>
      <c r="H8" s="37" t="inlineStr">
        <is>
          <t>Galaxy Greens</t>
        </is>
      </c>
      <c r="I8" s="44" t="inlineStr">
        <is>
          <t>Actual lease</t>
        </is>
      </c>
      <c r="J8" s="44" t="inlineStr">
        <is>
          <t>Yes</t>
        </is>
      </c>
      <c r="K8" s="37" t="inlineStr">
        <is>
          <t>Lease</t>
        </is>
      </c>
      <c r="L8" s="48" t="n"/>
      <c r="M8" s="49" t="n">
        <v>6000</v>
      </c>
      <c r="N8" s="49" t="n"/>
      <c r="O8" s="42" t="n"/>
      <c r="P8" s="42" t="n"/>
      <c r="Q8" s="42" t="n"/>
      <c r="R8" s="44" t="inlineStr">
        <is>
          <t>3/1/2024</t>
        </is>
      </c>
      <c r="S8" s="44" t="inlineStr">
        <is>
          <t>10/31/2033</t>
        </is>
      </c>
      <c r="T8" s="44" t="inlineStr">
        <is>
          <t>R0002819.pdf</t>
        </is>
      </c>
      <c r="U8" s="37" t="inlineStr"/>
    </row>
    <row r="9">
      <c r="A9" s="44" t="inlineStr">
        <is>
          <t>R0002819</t>
        </is>
      </c>
      <c r="B9" s="37" t="inlineStr">
        <is>
          <t>125 Bridge St</t>
        </is>
      </c>
      <c r="C9" s="37" t="inlineStr">
        <is>
          <t>125 Bridge St</t>
        </is>
      </c>
      <c r="D9" s="44" t="inlineStr">
        <is>
          <t>Brighton</t>
        </is>
      </c>
      <c r="E9" s="44" t="inlineStr">
        <is>
          <t>Brighton</t>
        </is>
      </c>
      <c r="F9" s="37" t="inlineStr">
        <is>
          <t>Commercial (multi-tenant industrial)</t>
        </is>
      </c>
      <c r="G9" s="44" t="inlineStr">
        <is>
          <t>E (Indoor)</t>
        </is>
      </c>
      <c r="H9" s="37" t="inlineStr">
        <is>
          <t>Intensive Drilling</t>
        </is>
      </c>
      <c r="I9" s="44" t="inlineStr">
        <is>
          <t>Actual lease</t>
        </is>
      </c>
      <c r="J9" s="44" t="inlineStr">
        <is>
          <t>Yes</t>
        </is>
      </c>
      <c r="K9" s="37" t="inlineStr">
        <is>
          <t>Lease</t>
        </is>
      </c>
      <c r="L9" s="48" t="n"/>
      <c r="M9" s="49" t="n">
        <v>4500</v>
      </c>
      <c r="N9" s="49" t="n"/>
      <c r="O9" s="42" t="n"/>
      <c r="P9" s="42" t="n"/>
      <c r="Q9" s="42" t="n"/>
      <c r="R9" s="44" t="inlineStr">
        <is>
          <t>1/1/2025</t>
        </is>
      </c>
      <c r="S9" s="44" t="inlineStr">
        <is>
          <t>12/1/2029</t>
        </is>
      </c>
      <c r="T9" s="44" t="inlineStr">
        <is>
          <t>R0002819.pdf</t>
        </is>
      </c>
      <c r="U9" s="37" t="inlineStr"/>
    </row>
    <row r="10">
      <c r="A10" s="44" t="inlineStr">
        <is>
          <t>R0002819</t>
        </is>
      </c>
      <c r="B10" s="37" t="inlineStr">
        <is>
          <t>125 Bridge St</t>
        </is>
      </c>
      <c r="C10" s="37" t="inlineStr">
        <is>
          <t>125 Bridge St</t>
        </is>
      </c>
      <c r="D10" s="44" t="inlineStr">
        <is>
          <t>Brighton</t>
        </is>
      </c>
      <c r="E10" s="44" t="inlineStr">
        <is>
          <t>Brighton</t>
        </is>
      </c>
      <c r="F10" s="37" t="inlineStr">
        <is>
          <t>Commercial (multi-tenant industrial)</t>
        </is>
      </c>
      <c r="G10" s="44" t="inlineStr">
        <is>
          <t>F (Indoor)</t>
        </is>
      </c>
      <c r="H10" s="37" t="inlineStr">
        <is>
          <t>Intensive Drilling</t>
        </is>
      </c>
      <c r="I10" s="44" t="inlineStr">
        <is>
          <t>Actual lease</t>
        </is>
      </c>
      <c r="J10" s="44" t="inlineStr">
        <is>
          <t>Yes</t>
        </is>
      </c>
      <c r="K10" s="37" t="inlineStr">
        <is>
          <t>Lease</t>
        </is>
      </c>
      <c r="L10" s="48" t="n"/>
      <c r="M10" s="49" t="n"/>
      <c r="N10" s="49" t="n"/>
      <c r="O10" s="42" t="n"/>
      <c r="P10" s="42" t="n"/>
      <c r="Q10" s="42" t="n"/>
      <c r="R10" s="44" t="inlineStr">
        <is>
          <t>—</t>
        </is>
      </c>
      <c r="S10" s="44" t="inlineStr">
        <is>
          <t>—</t>
        </is>
      </c>
      <c r="T10" s="44" t="inlineStr">
        <is>
          <t>R0002819.pdf</t>
        </is>
      </c>
      <c r="U10" s="37" t="inlineStr">
        <is>
          <t>Listed; no rent shown (vacant/expansion)</t>
        </is>
      </c>
    </row>
    <row r="11">
      <c r="A11" s="44" t="inlineStr">
        <is>
          <t>R0002819</t>
        </is>
      </c>
      <c r="B11" s="37" t="inlineStr">
        <is>
          <t>125 Bridge St</t>
        </is>
      </c>
      <c r="C11" s="37" t="inlineStr">
        <is>
          <t>125 Bridge St</t>
        </is>
      </c>
      <c r="D11" s="44" t="inlineStr">
        <is>
          <t>Brighton</t>
        </is>
      </c>
      <c r="E11" s="44" t="inlineStr">
        <is>
          <t>Brighton</t>
        </is>
      </c>
      <c r="F11" s="37" t="inlineStr">
        <is>
          <t>Commercial (multi-tenant industrial)</t>
        </is>
      </c>
      <c r="G11" s="44" t="inlineStr">
        <is>
          <t>Outdoor</t>
        </is>
      </c>
      <c r="H11" s="37" t="inlineStr">
        <is>
          <t>ABC</t>
        </is>
      </c>
      <c r="I11" s="44" t="inlineStr">
        <is>
          <t>Actual lease</t>
        </is>
      </c>
      <c r="J11" s="44" t="inlineStr">
        <is>
          <t>Yes</t>
        </is>
      </c>
      <c r="K11" s="37" t="inlineStr">
        <is>
          <t>Lease</t>
        </is>
      </c>
      <c r="L11" s="48" t="n"/>
      <c r="M11" s="49" t="n">
        <v>5000</v>
      </c>
      <c r="N11" s="49" t="n"/>
      <c r="O11" s="42" t="n"/>
      <c r="P11" s="42" t="n"/>
      <c r="Q11" s="42" t="n"/>
      <c r="R11" s="44" t="inlineStr">
        <is>
          <t>—</t>
        </is>
      </c>
      <c r="S11" s="44" t="inlineStr">
        <is>
          <t>2/28/2026</t>
        </is>
      </c>
      <c r="T11" s="44" t="inlineStr">
        <is>
          <t>R0002819.pdf</t>
        </is>
      </c>
      <c r="U11" s="37" t="inlineStr"/>
    </row>
    <row r="12">
      <c r="A12" s="44" t="inlineStr">
        <is>
          <t>R0002819</t>
        </is>
      </c>
      <c r="B12" s="37" t="inlineStr">
        <is>
          <t>125 Bridge St</t>
        </is>
      </c>
      <c r="C12" s="37" t="inlineStr">
        <is>
          <t>125 Bridge St</t>
        </is>
      </c>
      <c r="D12" s="44" t="inlineStr">
        <is>
          <t>Brighton</t>
        </is>
      </c>
      <c r="E12" s="44" t="inlineStr">
        <is>
          <t>Brighton</t>
        </is>
      </c>
      <c r="F12" s="37" t="inlineStr">
        <is>
          <t>Commercial (multi-tenant industrial)</t>
        </is>
      </c>
      <c r="G12" s="44" t="inlineStr">
        <is>
          <t>Outdoor</t>
        </is>
      </c>
      <c r="H12" s="37" t="inlineStr">
        <is>
          <t>Intensive Drilling</t>
        </is>
      </c>
      <c r="I12" s="44" t="inlineStr">
        <is>
          <t>Actual lease</t>
        </is>
      </c>
      <c r="J12" s="44" t="inlineStr">
        <is>
          <t>Yes</t>
        </is>
      </c>
      <c r="K12" s="37" t="inlineStr">
        <is>
          <t>Lease</t>
        </is>
      </c>
      <c r="L12" s="48" t="n"/>
      <c r="M12" s="49" t="n">
        <v>4000</v>
      </c>
      <c r="N12" s="49" t="n"/>
      <c r="O12" s="42" t="n"/>
      <c r="P12" s="42" t="n"/>
      <c r="Q12" s="42" t="n"/>
      <c r="R12" s="44" t="inlineStr">
        <is>
          <t>—</t>
        </is>
      </c>
      <c r="S12" s="44" t="inlineStr">
        <is>
          <t>as above</t>
        </is>
      </c>
      <c r="T12" s="44" t="inlineStr">
        <is>
          <t>R0002819.pdf</t>
        </is>
      </c>
      <c r="U12" s="37" t="inlineStr"/>
    </row>
    <row r="13">
      <c r="A13" s="44" t="inlineStr">
        <is>
          <t>R0002819</t>
        </is>
      </c>
      <c r="B13" s="37" t="inlineStr">
        <is>
          <t>125 Bridge St</t>
        </is>
      </c>
      <c r="C13" s="37" t="inlineStr">
        <is>
          <t>125 Bridge St</t>
        </is>
      </c>
      <c r="D13" s="44" t="inlineStr">
        <is>
          <t>Brighton</t>
        </is>
      </c>
      <c r="E13" s="44" t="inlineStr">
        <is>
          <t>Brighton</t>
        </is>
      </c>
      <c r="F13" s="37" t="inlineStr">
        <is>
          <t>Commercial (multi-tenant industrial)</t>
        </is>
      </c>
      <c r="G13" s="44" t="inlineStr">
        <is>
          <t>Outdoor</t>
        </is>
      </c>
      <c r="H13" s="37" t="inlineStr">
        <is>
          <t>El Tacos</t>
        </is>
      </c>
      <c r="I13" s="44" t="inlineStr">
        <is>
          <t>Actual lease</t>
        </is>
      </c>
      <c r="J13" s="44" t="inlineStr">
        <is>
          <t>Yes</t>
        </is>
      </c>
      <c r="K13" s="37" t="inlineStr">
        <is>
          <t>Lease</t>
        </is>
      </c>
      <c r="L13" s="48" t="n"/>
      <c r="M13" s="49" t="n">
        <v>150</v>
      </c>
      <c r="N13" s="49" t="n"/>
      <c r="O13" s="42" t="n"/>
      <c r="P13" s="42" t="n"/>
      <c r="Q13" s="42" t="n"/>
      <c r="R13" s="44" t="inlineStr">
        <is>
          <t>—</t>
        </is>
      </c>
      <c r="S13" s="44" t="inlineStr">
        <is>
          <t>9/30</t>
        </is>
      </c>
      <c r="T13" s="44" t="inlineStr">
        <is>
          <t>R0002819.pdf</t>
        </is>
      </c>
      <c r="U13" s="37" t="inlineStr"/>
    </row>
    <row r="14">
      <c r="A14" s="44" t="inlineStr">
        <is>
          <t>R0002819</t>
        </is>
      </c>
      <c r="B14" s="37" t="inlineStr">
        <is>
          <t>125 Bridge St</t>
        </is>
      </c>
      <c r="C14" s="37" t="inlineStr">
        <is>
          <t>125 Bridge St</t>
        </is>
      </c>
      <c r="D14" s="44" t="inlineStr">
        <is>
          <t>Brighton</t>
        </is>
      </c>
      <c r="E14" s="44" t="inlineStr">
        <is>
          <t>Brighton</t>
        </is>
      </c>
      <c r="F14" s="37" t="inlineStr">
        <is>
          <t>Commercial (multi-tenant industrial)</t>
        </is>
      </c>
      <c r="G14" s="44" t="inlineStr">
        <is>
          <t>Outdoor</t>
        </is>
      </c>
      <c r="H14" s="37" t="inlineStr">
        <is>
          <t>Cabinet</t>
        </is>
      </c>
      <c r="I14" s="44" t="inlineStr">
        <is>
          <t>Actual lease</t>
        </is>
      </c>
      <c r="J14" s="44" t="inlineStr">
        <is>
          <t>Yes</t>
        </is>
      </c>
      <c r="K14" s="37" t="inlineStr">
        <is>
          <t>MTM</t>
        </is>
      </c>
      <c r="L14" s="48" t="n"/>
      <c r="M14" s="49" t="n">
        <v>140</v>
      </c>
      <c r="N14" s="49" t="n"/>
      <c r="O14" s="42" t="n"/>
      <c r="P14" s="42" t="n"/>
      <c r="Q14" s="42" t="n"/>
      <c r="R14" s="44" t="inlineStr">
        <is>
          <t>—</t>
        </is>
      </c>
      <c r="S14" s="44" t="inlineStr">
        <is>
          <t>—</t>
        </is>
      </c>
      <c r="T14" s="44" t="inlineStr">
        <is>
          <t>R0002819.pdf</t>
        </is>
      </c>
      <c r="U14" s="37" t="inlineStr"/>
    </row>
    <row r="15">
      <c r="A15" s="44" t="inlineStr">
        <is>
          <t>R0002819</t>
        </is>
      </c>
      <c r="B15" s="37" t="inlineStr">
        <is>
          <t>125 Bridge St</t>
        </is>
      </c>
      <c r="C15" s="37" t="inlineStr">
        <is>
          <t>125 Bridge St</t>
        </is>
      </c>
      <c r="D15" s="44" t="inlineStr">
        <is>
          <t>Brighton</t>
        </is>
      </c>
      <c r="E15" s="44" t="inlineStr">
        <is>
          <t>Brighton</t>
        </is>
      </c>
      <c r="F15" s="37" t="inlineStr">
        <is>
          <t>Commercial (multi-tenant industrial)</t>
        </is>
      </c>
      <c r="G15" s="44" t="inlineStr">
        <is>
          <t>Outdoor</t>
        </is>
      </c>
      <c r="H15" s="37" t="inlineStr">
        <is>
          <t>RV Parking</t>
        </is>
      </c>
      <c r="I15" s="44" t="inlineStr">
        <is>
          <t>Actual lease</t>
        </is>
      </c>
      <c r="J15" s="44" t="inlineStr">
        <is>
          <t>Yes</t>
        </is>
      </c>
      <c r="K15" s="37" t="inlineStr">
        <is>
          <t>MTM</t>
        </is>
      </c>
      <c r="L15" s="48" t="n"/>
      <c r="M15" s="49" t="n">
        <v>75</v>
      </c>
      <c r="N15" s="49" t="n"/>
      <c r="O15" s="42" t="n"/>
      <c r="P15" s="42" t="n"/>
      <c r="Q15" s="42" t="n"/>
      <c r="R15" s="44" t="inlineStr">
        <is>
          <t>—</t>
        </is>
      </c>
      <c r="S15" s="44" t="inlineStr">
        <is>
          <t>—</t>
        </is>
      </c>
      <c r="T15" s="44" t="inlineStr">
        <is>
          <t>R0002819.pdf</t>
        </is>
      </c>
      <c r="U15" s="37" t="inlineStr"/>
    </row>
    <row r="16">
      <c r="A16" s="44" t="inlineStr">
        <is>
          <t>(none)</t>
        </is>
      </c>
      <c r="B16" s="37" t="inlineStr">
        <is>
          <t>5970 Marion</t>
        </is>
      </c>
      <c r="C16" s="37" t="inlineStr">
        <is>
          <t>5970 Marion Drive</t>
        </is>
      </c>
      <c r="D16" s="44" t="inlineStr">
        <is>
          <t>Denver</t>
        </is>
      </c>
      <c r="E16" s="44" t="inlineStr">
        <is>
          <t>Denver — north/central</t>
        </is>
      </c>
      <c r="F16" s="37" t="inlineStr">
        <is>
          <t>Industrial - 2-unit</t>
        </is>
      </c>
      <c r="G16" s="44" t="inlineStr">
        <is>
          <t>Unit 1</t>
        </is>
      </c>
      <c r="H16" s="37" t="inlineStr">
        <is>
          <t>Whatever It Takes Transmissions &amp; Parts, Inc.</t>
        </is>
      </c>
      <c r="I16" s="44" t="inlineStr">
        <is>
          <t>Actual lease</t>
        </is>
      </c>
      <c r="J16" s="44" t="inlineStr">
        <is>
          <t>Yes</t>
        </is>
      </c>
      <c r="K16" s="37" t="inlineStr">
        <is>
          <t>Actual (NNN w/ CAM)</t>
        </is>
      </c>
      <c r="L16" s="48" t="n"/>
      <c r="M16" s="49" t="n"/>
      <c r="N16" s="49" t="n"/>
      <c r="O16" s="42" t="n"/>
      <c r="P16" s="42" t="n"/>
      <c r="Q16" s="42" t="n"/>
      <c r="R16" s="44" t="inlineStr">
        <is>
          <t>—</t>
        </is>
      </c>
      <c r="S16" s="44" t="inlineStr">
        <is>
          <t>—</t>
        </is>
      </c>
      <c r="T16" s="44" t="inlineStr">
        <is>
          <t>5970 Marion P&amp;L/CF/xlsx</t>
        </is>
      </c>
      <c r="U16" s="37" t="inlineStr">
        <is>
          <t>2024 monthly rent ~$9,136; billed CAM escrows separately</t>
        </is>
      </c>
    </row>
    <row r="17">
      <c r="A17" s="44" t="inlineStr">
        <is>
          <t>(none)</t>
        </is>
      </c>
      <c r="B17" s="37" t="inlineStr">
        <is>
          <t>5970 Marion</t>
        </is>
      </c>
      <c r="C17" s="37" t="inlineStr">
        <is>
          <t>5970 Marion Drive</t>
        </is>
      </c>
      <c r="D17" s="44" t="inlineStr">
        <is>
          <t>Denver</t>
        </is>
      </c>
      <c r="E17" s="44" t="inlineStr">
        <is>
          <t>Denver — north/central</t>
        </is>
      </c>
      <c r="F17" s="37" t="inlineStr">
        <is>
          <t>Industrial - 2-unit</t>
        </is>
      </c>
      <c r="G17" s="44" t="inlineStr">
        <is>
          <t>Unit 2</t>
        </is>
      </c>
      <c r="H17" s="37" t="inlineStr">
        <is>
          <t>Integrated Turf Solutions LLC</t>
        </is>
      </c>
      <c r="I17" s="44" t="inlineStr">
        <is>
          <t>Actual lease</t>
        </is>
      </c>
      <c r="J17" s="44" t="inlineStr">
        <is>
          <t>Yes</t>
        </is>
      </c>
      <c r="K17" s="37" t="inlineStr">
        <is>
          <t>Actual (NNN w/ CAM)</t>
        </is>
      </c>
      <c r="L17" s="48" t="n"/>
      <c r="M17" s="49" t="n"/>
      <c r="N17" s="49" t="n"/>
      <c r="O17" s="42" t="n"/>
      <c r="P17" s="42" t="n"/>
      <c r="Q17" s="42" t="n"/>
      <c r="R17" s="44" t="inlineStr">
        <is>
          <t>—</t>
        </is>
      </c>
      <c r="S17" s="44" t="inlineStr">
        <is>
          <t>—</t>
        </is>
      </c>
      <c r="T17" s="44" t="inlineStr">
        <is>
          <t>5970 Marion P&amp;L/CF/xlsx</t>
        </is>
      </c>
      <c r="U17" s="37" t="inlineStr">
        <is>
          <t>2024 monthly rent ranged $3,120-$6,860; billed CAM escrows</t>
        </is>
      </c>
    </row>
    <row r="18">
      <c r="A18" s="50" t="inlineStr">
        <is>
          <t>R0178308</t>
        </is>
      </c>
      <c r="B18" s="51" t="inlineStr">
        <is>
          <t>7205 Gilpin Way</t>
        </is>
      </c>
      <c r="C18" s="51" t="inlineStr">
        <is>
          <t>7205 Gilpin Way</t>
        </is>
      </c>
      <c r="D18" s="50" t="inlineStr">
        <is>
          <t>Denver</t>
        </is>
      </c>
      <c r="E18" s="50" t="inlineStr">
        <is>
          <t>Denver — north/central</t>
        </is>
      </c>
      <c r="F18" s="51" t="inlineStr">
        <is>
          <t>Industrial - Warehouse</t>
        </is>
      </c>
      <c r="G18" s="50" t="inlineStr">
        <is>
          <t>Whole</t>
        </is>
      </c>
      <c r="H18" s="51" t="inlineStr">
        <is>
          <t>Proforma single-tenant</t>
        </is>
      </c>
      <c r="I18" s="50" t="inlineStr">
        <is>
          <t>Proforma assumption</t>
        </is>
      </c>
      <c r="J18" s="50" t="inlineStr">
        <is>
          <t>Yes</t>
        </is>
      </c>
      <c r="K18" s="51" t="inlineStr">
        <is>
          <t>Proforma NNN</t>
        </is>
      </c>
      <c r="L18" s="52" t="n"/>
      <c r="M18" s="53" t="n"/>
      <c r="N18" s="53" t="n">
        <v>359394</v>
      </c>
      <c r="O18" s="54" t="n">
        <v>10.5</v>
      </c>
      <c r="P18" s="54" t="n"/>
      <c r="Q18" s="54" t="n"/>
      <c r="R18" s="50" t="inlineStr">
        <is>
          <t>—</t>
        </is>
      </c>
      <c r="S18" s="50" t="inlineStr">
        <is>
          <t>—</t>
        </is>
      </c>
      <c r="T18" s="50" t="inlineStr">
        <is>
          <t>R0178308.pdf</t>
        </is>
      </c>
      <c r="U18" s="51" t="inlineStr">
        <is>
          <t>OpEx 8% EGI; 5% vacancy (Ryan)</t>
        </is>
      </c>
    </row>
    <row r="19">
      <c r="A19" s="50" t="inlineStr">
        <is>
          <t>R0169133</t>
        </is>
      </c>
      <c r="B19" s="51" t="inlineStr">
        <is>
          <t>17608 E. 24th Dr</t>
        </is>
      </c>
      <c r="C19" s="51" t="inlineStr">
        <is>
          <t>17608 E. 24th Drive</t>
        </is>
      </c>
      <c r="D19" s="50" t="inlineStr">
        <is>
          <t>Aurora</t>
        </is>
      </c>
      <c r="E19" s="50" t="inlineStr">
        <is>
          <t>Aurora</t>
        </is>
      </c>
      <c r="F19" s="51" t="inlineStr">
        <is>
          <t>Industrial - Distribution</t>
        </is>
      </c>
      <c r="G19" s="50" t="inlineStr">
        <is>
          <t>Whole</t>
        </is>
      </c>
      <c r="H19" s="51" t="inlineStr">
        <is>
          <t>Proforma single-tenant</t>
        </is>
      </c>
      <c r="I19" s="50" t="inlineStr">
        <is>
          <t>Proforma assumption</t>
        </is>
      </c>
      <c r="J19" s="50" t="inlineStr">
        <is>
          <t>Yes</t>
        </is>
      </c>
      <c r="K19" s="51" t="inlineStr">
        <is>
          <t>Proforma NNN</t>
        </is>
      </c>
      <c r="L19" s="52" t="n"/>
      <c r="M19" s="53" t="n"/>
      <c r="N19" s="53" t="n">
        <v>209100</v>
      </c>
      <c r="O19" s="54" t="n">
        <v>10</v>
      </c>
      <c r="P19" s="54" t="n"/>
      <c r="Q19" s="54" t="n"/>
      <c r="R19" s="50" t="inlineStr">
        <is>
          <t>—</t>
        </is>
      </c>
      <c r="S19" s="50" t="inlineStr">
        <is>
          <t>—</t>
        </is>
      </c>
      <c r="T19" s="50" t="inlineStr">
        <is>
          <t>R0169133.pdf</t>
        </is>
      </c>
      <c r="U19" s="51" t="inlineStr">
        <is>
          <t>OpEx 8% EGI; 5% vacancy (Ryan)</t>
        </is>
      </c>
    </row>
    <row r="20">
      <c r="A20" s="50" t="inlineStr">
        <is>
          <t>R0024442</t>
        </is>
      </c>
      <c r="B20" s="51" t="inlineStr">
        <is>
          <t>12260 Pennsylvania St</t>
        </is>
      </c>
      <c r="C20" s="51" t="inlineStr">
        <is>
          <t>12260 Pennsylvania St</t>
        </is>
      </c>
      <c r="D20" s="50" t="inlineStr">
        <is>
          <t>Thornton</t>
        </is>
      </c>
      <c r="E20" s="50" t="inlineStr">
        <is>
          <t>Thornton</t>
        </is>
      </c>
      <c r="F20" s="51" t="inlineStr">
        <is>
          <t>Industrial - Warehouse</t>
        </is>
      </c>
      <c r="G20" s="50" t="inlineStr">
        <is>
          <t>Whole</t>
        </is>
      </c>
      <c r="H20" s="51" t="inlineStr">
        <is>
          <t>Proforma single-tenant</t>
        </is>
      </c>
      <c r="I20" s="50" t="inlineStr">
        <is>
          <t>Proforma assumption</t>
        </is>
      </c>
      <c r="J20" s="50" t="inlineStr">
        <is>
          <t>Yes</t>
        </is>
      </c>
      <c r="K20" s="51" t="inlineStr">
        <is>
          <t>Proforma NNN</t>
        </is>
      </c>
      <c r="L20" s="52" t="n"/>
      <c r="M20" s="53" t="n"/>
      <c r="N20" s="53" t="n">
        <v>237290</v>
      </c>
      <c r="O20" s="54" t="n">
        <v>10</v>
      </c>
      <c r="P20" s="54" t="n"/>
      <c r="Q20" s="54" t="n"/>
      <c r="R20" s="50" t="inlineStr">
        <is>
          <t>—</t>
        </is>
      </c>
      <c r="S20" s="50" t="inlineStr">
        <is>
          <t>—</t>
        </is>
      </c>
      <c r="T20" s="50" t="inlineStr">
        <is>
          <t>R0024442.pdf</t>
        </is>
      </c>
      <c r="U20" s="51" t="inlineStr">
        <is>
          <t>Face rent $10; actual tenant $9.50/sf NNN as of 1/1/24; 7% vac, 10% OpEx (Ryan)</t>
        </is>
      </c>
    </row>
    <row r="21">
      <c r="A21" s="50" t="inlineStr">
        <is>
          <t>R0092302</t>
        </is>
      </c>
      <c r="B21" s="51" t="inlineStr">
        <is>
          <t>6770 E. 56th Ave</t>
        </is>
      </c>
      <c r="C21" s="51" t="inlineStr">
        <is>
          <t>6770 E. 56th Ave</t>
        </is>
      </c>
      <c r="D21" s="50" t="inlineStr">
        <is>
          <t>Aurora</t>
        </is>
      </c>
      <c r="E21" s="50" t="inlineStr">
        <is>
          <t>Aurora</t>
        </is>
      </c>
      <c r="F21" s="51" t="inlineStr">
        <is>
          <t>Industrial - Warehouse</t>
        </is>
      </c>
      <c r="G21" s="50" t="inlineStr">
        <is>
          <t>Whole</t>
        </is>
      </c>
      <c r="H21" s="51" t="inlineStr">
        <is>
          <t>Proforma single-tenant</t>
        </is>
      </c>
      <c r="I21" s="50" t="inlineStr">
        <is>
          <t>Proforma assumption</t>
        </is>
      </c>
      <c r="J21" s="50" t="inlineStr">
        <is>
          <t>Yes</t>
        </is>
      </c>
      <c r="K21" s="51" t="inlineStr">
        <is>
          <t>Proforma</t>
        </is>
      </c>
      <c r="L21" s="52" t="n"/>
      <c r="M21" s="53" t="n"/>
      <c r="N21" s="53" t="n">
        <v>115824</v>
      </c>
      <c r="O21" s="54" t="n">
        <v>12</v>
      </c>
      <c r="P21" s="54" t="n"/>
      <c r="Q21" s="54" t="n"/>
      <c r="R21" s="50" t="inlineStr">
        <is>
          <t>—</t>
        </is>
      </c>
      <c r="S21" s="50" t="inlineStr">
        <is>
          <t>—</t>
        </is>
      </c>
      <c r="T21" s="50" t="inlineStr">
        <is>
          <t>R0092302.pdf</t>
        </is>
      </c>
      <c r="U21" s="51" t="inlineStr">
        <is>
          <t>$12/sf; 95% occ; 5% expenses (Property Tax Advisors)</t>
        </is>
      </c>
    </row>
    <row r="22">
      <c r="A22" s="50" t="inlineStr">
        <is>
          <t>R0103767</t>
        </is>
      </c>
      <c r="B22" s="51" t="inlineStr">
        <is>
          <t>5650 Washington St</t>
        </is>
      </c>
      <c r="C22" s="51" t="inlineStr">
        <is>
          <t>5650 Washington St</t>
        </is>
      </c>
      <c r="D22" s="50" t="inlineStr">
        <is>
          <t>Denver</t>
        </is>
      </c>
      <c r="E22" s="50" t="inlineStr">
        <is>
          <t>Denver — north/central</t>
        </is>
      </c>
      <c r="F22" s="51" t="inlineStr">
        <is>
          <t>Industrial / Flex (multi-tenant)</t>
        </is>
      </c>
      <c r="G22" s="50" t="inlineStr">
        <is>
          <t>Multiple</t>
        </is>
      </c>
      <c r="H22" s="51" t="inlineStr">
        <is>
          <t>Actual multi-tenant (modified gross)</t>
        </is>
      </c>
      <c r="I22" s="50" t="inlineStr">
        <is>
          <t>Proforma assumption</t>
        </is>
      </c>
      <c r="J22" s="50" t="inlineStr">
        <is>
          <t>Yes</t>
        </is>
      </c>
      <c r="K22" s="51" t="inlineStr">
        <is>
          <t>Modified Gross</t>
        </is>
      </c>
      <c r="L22" s="52" t="n"/>
      <c r="M22" s="53" t="n"/>
      <c r="N22" s="53" t="n"/>
      <c r="O22" s="54" t="n"/>
      <c r="P22" s="54" t="n"/>
      <c r="Q22" s="54" t="n"/>
      <c r="R22" s="50" t="inlineStr">
        <is>
          <t>—</t>
        </is>
      </c>
      <c r="S22" s="50" t="inlineStr">
        <is>
          <t>—</t>
        </is>
      </c>
      <c r="T22" s="50" t="inlineStr">
        <is>
          <t>5650_Washington_St.docx</t>
        </is>
      </c>
      <c r="U22" s="51" t="inlineStr">
        <is>
          <t>Actual rents $10.28-$31.48/sf; majority $13-17/sf; $15/sf applied to vacant space. Detailed rent roll embedded as image in appraisal.</t>
        </is>
      </c>
    </row>
    <row r="23">
      <c r="A23" s="50" t="inlineStr">
        <is>
          <t>R0085571</t>
        </is>
      </c>
      <c r="B23" s="51" t="inlineStr">
        <is>
          <t>1540 Altura Blvd</t>
        </is>
      </c>
      <c r="C23" s="51" t="inlineStr">
        <is>
          <t>1540 Altura Blvd</t>
        </is>
      </c>
      <c r="D23" s="50" t="inlineStr">
        <is>
          <t>Aurora</t>
        </is>
      </c>
      <c r="E23" s="50" t="inlineStr">
        <is>
          <t>Aurora</t>
        </is>
      </c>
      <c r="F23" s="51" t="inlineStr">
        <is>
          <t>Specialty - Self-Storage</t>
        </is>
      </c>
      <c r="G23" s="50" t="inlineStr">
        <is>
          <t>27,139 SF NLA</t>
        </is>
      </c>
      <c r="H23" s="51" t="inlineStr">
        <is>
          <t>Self-storage customers (CubeSmart #6731)</t>
        </is>
      </c>
      <c r="I23" s="50" t="inlineStr">
        <is>
          <t>Storage unit-mix</t>
        </is>
      </c>
      <c r="J23" s="50" t="inlineStr">
        <is>
          <t>Yes</t>
        </is>
      </c>
      <c r="K23" s="51" t="inlineStr">
        <is>
          <t>Storage MTM</t>
        </is>
      </c>
      <c r="L23" s="52" t="n"/>
      <c r="M23" s="53" t="n"/>
      <c r="N23" s="53" t="n"/>
      <c r="O23" s="54" t="n"/>
      <c r="P23" s="54" t="n"/>
      <c r="Q23" s="54" t="n"/>
      <c r="R23" s="50" t="n"/>
      <c r="S23" s="50" t="n"/>
      <c r="T23" s="50" t="inlineStr">
        <is>
          <t>R0085571_1540_Altura_Blvd.pdf</t>
        </is>
      </c>
      <c r="U23" s="51" t="inlineStr">
        <is>
          <t>No unit-level report in package; FY2024 net rental income $383,166 (see Income-Expense Detail)</t>
        </is>
      </c>
    </row>
    <row r="24">
      <c r="A24" s="50" t="inlineStr">
        <is>
          <t>R0086010</t>
        </is>
      </c>
      <c r="B24" s="51" t="inlineStr">
        <is>
          <t>15413 E 18th Ave</t>
        </is>
      </c>
      <c r="C24" s="51" t="inlineStr">
        <is>
          <t>15413 E 18th Ave</t>
        </is>
      </c>
      <c r="D24" s="50" t="inlineStr">
        <is>
          <t>Aurora</t>
        </is>
      </c>
      <c r="E24" s="50" t="inlineStr">
        <is>
          <t>Aurora</t>
        </is>
      </c>
      <c r="F24" s="51" t="inlineStr">
        <is>
          <t>Self Storage</t>
        </is>
      </c>
      <c r="G24" s="50" t="inlineStr">
        <is>
          <t>478 units / 57,742 SF</t>
        </is>
      </c>
      <c r="H24" s="51" t="inlineStr">
        <is>
          <t>Self-storage customers (CubeSmart #6730)</t>
        </is>
      </c>
      <c r="I24" s="50" t="inlineStr">
        <is>
          <t>Storage unit-mix</t>
        </is>
      </c>
      <c r="J24" s="50" t="inlineStr">
        <is>
          <t>Yes</t>
        </is>
      </c>
      <c r="K24" s="51" t="inlineStr">
        <is>
          <t>Storage MTM</t>
        </is>
      </c>
      <c r="L24" s="52" t="n">
        <v>57742</v>
      </c>
      <c r="M24" s="53" t="n">
        <v>62425.7</v>
      </c>
      <c r="N24" s="53" t="n"/>
      <c r="O24" s="54" t="n"/>
      <c r="P24" s="54" t="n"/>
      <c r="Q24" s="54" t="n"/>
      <c r="R24" s="50" t="n"/>
      <c r="S24" s="50" t="n"/>
      <c r="T24" s="50" t="inlineStr">
        <is>
          <t>R0086010_15413_E_18th_Avenue.pdf</t>
        </is>
      </c>
      <c r="U24" s="51" t="inlineStr">
        <is>
          <t>storEDGE Consolidated Occupancy 12/31/2024: 395 occupied / 72 vacant / 6 reserved / 5 unrentable; 50,433 SF occupied (87.3% of SF; 82.6% of units); scheduled std rent $54,314/mo; occupied actual $62,425.70/mo ($1.24/SF/mo). Per-size detail in source PDF.</t>
        </is>
      </c>
    </row>
    <row r="25">
      <c r="A25" s="50" t="inlineStr">
        <is>
          <t>R0040829</t>
        </is>
      </c>
      <c r="B25" s="51" t="inlineStr">
        <is>
          <t>10350 Washington St</t>
        </is>
      </c>
      <c r="C25" s="51" t="inlineStr">
        <is>
          <t>10350 Washington St</t>
        </is>
      </c>
      <c r="D25" s="50" t="inlineStr">
        <is>
          <t>Thornton</t>
        </is>
      </c>
      <c r="E25" s="50" t="inlineStr">
        <is>
          <t>Thornton</t>
        </is>
      </c>
      <c r="F25" s="51" t="inlineStr">
        <is>
          <t>Self Storage</t>
        </is>
      </c>
      <c r="G25" s="50" t="inlineStr">
        <is>
          <t>471 units / 48,250 SF</t>
        </is>
      </c>
      <c r="H25" s="51" t="inlineStr">
        <is>
          <t>Self-storage customers (Mini U Storage)</t>
        </is>
      </c>
      <c r="I25" s="50" t="inlineStr">
        <is>
          <t>Storage unit-mix</t>
        </is>
      </c>
      <c r="J25" s="50" t="inlineStr">
        <is>
          <t>Yes</t>
        </is>
      </c>
      <c r="K25" s="51" t="inlineStr">
        <is>
          <t>Storage MTM</t>
        </is>
      </c>
      <c r="L25" s="52" t="n">
        <v>48250</v>
      </c>
      <c r="M25" s="53" t="n"/>
      <c r="N25" s="53" t="n"/>
      <c r="O25" s="54" t="n"/>
      <c r="P25" s="54" t="n"/>
      <c r="Q25" s="54" t="n"/>
      <c r="R25" s="50" t="n"/>
      <c r="S25" s="50" t="n"/>
      <c r="T25" s="50" t="inlineStr">
        <is>
          <t>R0040829_self_storage.pdf</t>
        </is>
      </c>
      <c r="U25" s="51" t="inlineStr">
        <is>
          <t>SiteLink Rental Activity 12/31/2024 (drive-up units): 395 rented / 76 vacant; 41,130 SF rented (83.9% of SF); gross potential $65,937/mo; rented avg $1.53/SF/mo. Unit-mix below.</t>
        </is>
      </c>
    </row>
    <row r="26">
      <c r="A26" s="50" t="inlineStr">
        <is>
          <t>R0040829</t>
        </is>
      </c>
      <c r="B26" s="51" t="inlineStr">
        <is>
          <t>10350 Washington St</t>
        </is>
      </c>
      <c r="C26" s="51" t="inlineStr">
        <is>
          <t>10350 Washington St</t>
        </is>
      </c>
      <c r="D26" s="50" t="inlineStr">
        <is>
          <t>Thornton</t>
        </is>
      </c>
      <c r="E26" s="50" t="inlineStr">
        <is>
          <t>Thornton</t>
        </is>
      </c>
      <c r="F26" s="51" t="inlineStr">
        <is>
          <t>Self Storage</t>
        </is>
      </c>
      <c r="G26" s="50" t="inlineStr">
        <is>
          <t>5x5 (25 SF)</t>
        </is>
      </c>
      <c r="H26" s="51" t="inlineStr">
        <is>
          <t>30 units / 18 rented</t>
        </is>
      </c>
      <c r="I26" s="50" t="inlineStr">
        <is>
          <t>Storage unit-mix</t>
        </is>
      </c>
      <c r="J26" s="50" t="inlineStr">
        <is>
          <t>Yes</t>
        </is>
      </c>
      <c r="K26" s="51" t="inlineStr">
        <is>
          <t>Storage MTM</t>
        </is>
      </c>
      <c r="L26" s="52" t="n">
        <v>450</v>
      </c>
      <c r="M26" s="53" t="n">
        <v>1950</v>
      </c>
      <c r="N26" s="53" t="n"/>
      <c r="O26" s="54" t="n"/>
      <c r="P26" s="54" t="n"/>
      <c r="Q26" s="54" t="n"/>
      <c r="R26" s="50" t="n"/>
      <c r="S26" s="50" t="n"/>
      <c r="T26" s="50" t="inlineStr">
        <is>
          <t>R0040829_self_storage.pdf</t>
        </is>
      </c>
      <c r="U26" s="51" t="inlineStr">
        <is>
          <t>Std rate $65/unit/mo; 450 SF rented of 750 SF</t>
        </is>
      </c>
    </row>
    <row r="27">
      <c r="A27" s="50" t="inlineStr">
        <is>
          <t>R0040829</t>
        </is>
      </c>
      <c r="B27" s="51" t="inlineStr">
        <is>
          <t>10350 Washington St</t>
        </is>
      </c>
      <c r="C27" s="51" t="inlineStr">
        <is>
          <t>10350 Washington St</t>
        </is>
      </c>
      <c r="D27" s="50" t="inlineStr">
        <is>
          <t>Thornton</t>
        </is>
      </c>
      <c r="E27" s="50" t="inlineStr">
        <is>
          <t>Thornton</t>
        </is>
      </c>
      <c r="F27" s="51" t="inlineStr">
        <is>
          <t>Self Storage</t>
        </is>
      </c>
      <c r="G27" s="50" t="inlineStr">
        <is>
          <t>5x10 (50 SF)</t>
        </is>
      </c>
      <c r="H27" s="51" t="inlineStr">
        <is>
          <t>137 units / 120 rented</t>
        </is>
      </c>
      <c r="I27" s="50" t="inlineStr">
        <is>
          <t>Storage unit-mix</t>
        </is>
      </c>
      <c r="J27" s="50" t="inlineStr">
        <is>
          <t>Yes</t>
        </is>
      </c>
      <c r="K27" s="51" t="inlineStr">
        <is>
          <t>Storage MTM</t>
        </is>
      </c>
      <c r="L27" s="52" t="n">
        <v>6000</v>
      </c>
      <c r="M27" s="53" t="n">
        <v>11645</v>
      </c>
      <c r="N27" s="53" t="n"/>
      <c r="O27" s="54" t="n"/>
      <c r="P27" s="54" t="n"/>
      <c r="Q27" s="54" t="n"/>
      <c r="R27" s="50" t="n"/>
      <c r="S27" s="50" t="n"/>
      <c r="T27" s="50" t="inlineStr">
        <is>
          <t>R0040829_self_storage.pdf</t>
        </is>
      </c>
      <c r="U27" s="51" t="inlineStr">
        <is>
          <t>Std rate $85/unit/mo; 6,000 SF rented of 6,850 SF</t>
        </is>
      </c>
    </row>
    <row r="28">
      <c r="A28" s="50" t="inlineStr">
        <is>
          <t>R0040829</t>
        </is>
      </c>
      <c r="B28" s="51" t="inlineStr">
        <is>
          <t>10350 Washington St</t>
        </is>
      </c>
      <c r="C28" s="51" t="inlineStr">
        <is>
          <t>10350 Washington St</t>
        </is>
      </c>
      <c r="D28" s="50" t="inlineStr">
        <is>
          <t>Thornton</t>
        </is>
      </c>
      <c r="E28" s="50" t="inlineStr">
        <is>
          <t>Thornton</t>
        </is>
      </c>
      <c r="F28" s="51" t="inlineStr">
        <is>
          <t>Self Storage</t>
        </is>
      </c>
      <c r="G28" s="50" t="inlineStr">
        <is>
          <t>7x10 (70 SF)</t>
        </is>
      </c>
      <c r="H28" s="51" t="inlineStr">
        <is>
          <t>58 units / 49 rented</t>
        </is>
      </c>
      <c r="I28" s="50" t="inlineStr">
        <is>
          <t>Storage unit-mix</t>
        </is>
      </c>
      <c r="J28" s="50" t="inlineStr">
        <is>
          <t>Yes</t>
        </is>
      </c>
      <c r="K28" s="51" t="inlineStr">
        <is>
          <t>Storage MTM</t>
        </is>
      </c>
      <c r="L28" s="52" t="n">
        <v>3430</v>
      </c>
      <c r="M28" s="53" t="n">
        <v>6670</v>
      </c>
      <c r="N28" s="53" t="n"/>
      <c r="O28" s="54" t="n"/>
      <c r="P28" s="54" t="n"/>
      <c r="Q28" s="54" t="n"/>
      <c r="R28" s="50" t="n"/>
      <c r="S28" s="50" t="n"/>
      <c r="T28" s="50" t="inlineStr">
        <is>
          <t>R0040829_self_storage.pdf</t>
        </is>
      </c>
      <c r="U28" s="51" t="inlineStr">
        <is>
          <t>Std rate $115/unit/mo; 3,430 SF rented of 4,060 SF</t>
        </is>
      </c>
    </row>
    <row r="29">
      <c r="A29" s="50" t="inlineStr">
        <is>
          <t>R0040829</t>
        </is>
      </c>
      <c r="B29" s="51" t="inlineStr">
        <is>
          <t>10350 Washington St</t>
        </is>
      </c>
      <c r="C29" s="51" t="inlineStr">
        <is>
          <t>10350 Washington St</t>
        </is>
      </c>
      <c r="D29" s="50" t="inlineStr">
        <is>
          <t>Thornton</t>
        </is>
      </c>
      <c r="E29" s="50" t="inlineStr">
        <is>
          <t>Thornton</t>
        </is>
      </c>
      <c r="F29" s="51" t="inlineStr">
        <is>
          <t>Self Storage</t>
        </is>
      </c>
      <c r="G29" s="50" t="inlineStr">
        <is>
          <t>5x15 (75 SF)</t>
        </is>
      </c>
      <c r="H29" s="51" t="inlineStr">
        <is>
          <t>30 units / 22 rented</t>
        </is>
      </c>
      <c r="I29" s="50" t="inlineStr">
        <is>
          <t>Storage unit-mix</t>
        </is>
      </c>
      <c r="J29" s="50" t="inlineStr">
        <is>
          <t>Yes</t>
        </is>
      </c>
      <c r="K29" s="51" t="inlineStr">
        <is>
          <t>Storage MTM</t>
        </is>
      </c>
      <c r="L29" s="52" t="n">
        <v>1650</v>
      </c>
      <c r="M29" s="53" t="n">
        <v>3570</v>
      </c>
      <c r="N29" s="53" t="n"/>
      <c r="O29" s="54" t="n"/>
      <c r="P29" s="54" t="n"/>
      <c r="Q29" s="54" t="n"/>
      <c r="R29" s="50" t="n"/>
      <c r="S29" s="50" t="n"/>
      <c r="T29" s="50" t="inlineStr">
        <is>
          <t>R0040829_self_storage.pdf</t>
        </is>
      </c>
      <c r="U29" s="51" t="inlineStr">
        <is>
          <t>Std rate $119/unit/mo; 1,650 SF rented of 2,250 SF</t>
        </is>
      </c>
    </row>
    <row r="30">
      <c r="A30" s="50" t="inlineStr">
        <is>
          <t>R0040829</t>
        </is>
      </c>
      <c r="B30" s="51" t="inlineStr">
        <is>
          <t>10350 Washington St</t>
        </is>
      </c>
      <c r="C30" s="51" t="inlineStr">
        <is>
          <t>10350 Washington St</t>
        </is>
      </c>
      <c r="D30" s="50" t="inlineStr">
        <is>
          <t>Thornton</t>
        </is>
      </c>
      <c r="E30" s="50" t="inlineStr">
        <is>
          <t>Thornton</t>
        </is>
      </c>
      <c r="F30" s="51" t="inlineStr">
        <is>
          <t>Self Storage</t>
        </is>
      </c>
      <c r="G30" s="50" t="inlineStr">
        <is>
          <t>10x10 (100 SF)</t>
        </is>
      </c>
      <c r="H30" s="51" t="inlineStr">
        <is>
          <t>76 units / 66 rented</t>
        </is>
      </c>
      <c r="I30" s="50" t="inlineStr">
        <is>
          <t>Storage unit-mix</t>
        </is>
      </c>
      <c r="J30" s="50" t="inlineStr">
        <is>
          <t>Yes</t>
        </is>
      </c>
      <c r="K30" s="51" t="inlineStr">
        <is>
          <t>Storage MTM</t>
        </is>
      </c>
      <c r="L30" s="52" t="n">
        <v>6600</v>
      </c>
      <c r="M30" s="53" t="n">
        <v>11324</v>
      </c>
      <c r="N30" s="53" t="n"/>
      <c r="O30" s="54" t="n"/>
      <c r="P30" s="54" t="n"/>
      <c r="Q30" s="54" t="n"/>
      <c r="R30" s="50" t="n"/>
      <c r="S30" s="50" t="n"/>
      <c r="T30" s="50" t="inlineStr">
        <is>
          <t>R0040829_self_storage.pdf</t>
        </is>
      </c>
      <c r="U30" s="51" t="inlineStr">
        <is>
          <t>Std rate $149/unit/mo; 6,600 SF rented of 7,600 SF</t>
        </is>
      </c>
    </row>
    <row r="31">
      <c r="A31" s="50" t="inlineStr">
        <is>
          <t>R0040829</t>
        </is>
      </c>
      <c r="B31" s="51" t="inlineStr">
        <is>
          <t>10350 Washington St</t>
        </is>
      </c>
      <c r="C31" s="51" t="inlineStr">
        <is>
          <t>10350 Washington St</t>
        </is>
      </c>
      <c r="D31" s="50" t="inlineStr">
        <is>
          <t>Thornton</t>
        </is>
      </c>
      <c r="E31" s="50" t="inlineStr">
        <is>
          <t>Thornton</t>
        </is>
      </c>
      <c r="F31" s="51" t="inlineStr">
        <is>
          <t>Self Storage</t>
        </is>
      </c>
      <c r="G31" s="50" t="inlineStr">
        <is>
          <t>7x20 (140 SF)</t>
        </is>
      </c>
      <c r="H31" s="51" t="inlineStr">
        <is>
          <t>1 units / 0 rented</t>
        </is>
      </c>
      <c r="I31" s="50" t="inlineStr">
        <is>
          <t>Storage unit-mix</t>
        </is>
      </c>
      <c r="J31" s="50" t="inlineStr">
        <is>
          <t>Yes</t>
        </is>
      </c>
      <c r="K31" s="51" t="inlineStr">
        <is>
          <t>Storage MTM</t>
        </is>
      </c>
      <c r="L31" s="52" t="n">
        <v>0</v>
      </c>
      <c r="M31" s="53" t="n">
        <v>159</v>
      </c>
      <c r="N31" s="53" t="n"/>
      <c r="O31" s="54" t="n"/>
      <c r="P31" s="54" t="n"/>
      <c r="Q31" s="54" t="n"/>
      <c r="R31" s="50" t="n"/>
      <c r="S31" s="50" t="n"/>
      <c r="T31" s="50" t="inlineStr">
        <is>
          <t>R0040829_self_storage.pdf</t>
        </is>
      </c>
      <c r="U31" s="51" t="inlineStr">
        <is>
          <t>Std rate $159/unit/mo; 0 SF rented of 140 SF</t>
        </is>
      </c>
    </row>
    <row r="32">
      <c r="A32" s="50" t="inlineStr">
        <is>
          <t>R0040829</t>
        </is>
      </c>
      <c r="B32" s="51" t="inlineStr">
        <is>
          <t>10350 Washington St</t>
        </is>
      </c>
      <c r="C32" s="51" t="inlineStr">
        <is>
          <t>10350 Washington St</t>
        </is>
      </c>
      <c r="D32" s="50" t="inlineStr">
        <is>
          <t>Thornton</t>
        </is>
      </c>
      <c r="E32" s="50" t="inlineStr">
        <is>
          <t>Thornton</t>
        </is>
      </c>
      <c r="F32" s="51" t="inlineStr">
        <is>
          <t>Self Storage</t>
        </is>
      </c>
      <c r="G32" s="50" t="inlineStr">
        <is>
          <t>10x15 (150 SF)</t>
        </is>
      </c>
      <c r="H32" s="51" t="inlineStr">
        <is>
          <t>68 units / 58 rented</t>
        </is>
      </c>
      <c r="I32" s="50" t="inlineStr">
        <is>
          <t>Storage unit-mix</t>
        </is>
      </c>
      <c r="J32" s="50" t="inlineStr">
        <is>
          <t>Yes</t>
        </is>
      </c>
      <c r="K32" s="51" t="inlineStr">
        <is>
          <t>Storage MTM</t>
        </is>
      </c>
      <c r="L32" s="52" t="n">
        <v>8700</v>
      </c>
      <c r="M32" s="53" t="n">
        <v>11900</v>
      </c>
      <c r="N32" s="53" t="n"/>
      <c r="O32" s="54" t="n"/>
      <c r="P32" s="54" t="n"/>
      <c r="Q32" s="54" t="n"/>
      <c r="R32" s="50" t="n"/>
      <c r="S32" s="50" t="n"/>
      <c r="T32" s="50" t="inlineStr">
        <is>
          <t>R0040829_self_storage.pdf</t>
        </is>
      </c>
      <c r="U32" s="51" t="inlineStr">
        <is>
          <t>Std rate $175/unit/mo; 8,700 SF rented of 10,200 SF</t>
        </is>
      </c>
    </row>
    <row r="33">
      <c r="A33" s="50" t="inlineStr">
        <is>
          <t>R0040829</t>
        </is>
      </c>
      <c r="B33" s="51" t="inlineStr">
        <is>
          <t>10350 Washington St</t>
        </is>
      </c>
      <c r="C33" s="51" t="inlineStr">
        <is>
          <t>10350 Washington St</t>
        </is>
      </c>
      <c r="D33" s="50" t="inlineStr">
        <is>
          <t>Thornton</t>
        </is>
      </c>
      <c r="E33" s="50" t="inlineStr">
        <is>
          <t>Thornton</t>
        </is>
      </c>
      <c r="F33" s="51" t="inlineStr">
        <is>
          <t>Self Storage</t>
        </is>
      </c>
      <c r="G33" s="50" t="inlineStr">
        <is>
          <t>10x20 (200 SF)</t>
        </is>
      </c>
      <c r="H33" s="51" t="inlineStr">
        <is>
          <t>47 units / 43 rented</t>
        </is>
      </c>
      <c r="I33" s="50" t="inlineStr">
        <is>
          <t>Storage unit-mix</t>
        </is>
      </c>
      <c r="J33" s="50" t="inlineStr">
        <is>
          <t>Yes</t>
        </is>
      </c>
      <c r="K33" s="51" t="inlineStr">
        <is>
          <t>Storage MTM</t>
        </is>
      </c>
      <c r="L33" s="52" t="n">
        <v>8600</v>
      </c>
      <c r="M33" s="53" t="n">
        <v>11703</v>
      </c>
      <c r="N33" s="53" t="n"/>
      <c r="O33" s="54" t="n"/>
      <c r="P33" s="54" t="n"/>
      <c r="Q33" s="54" t="n"/>
      <c r="R33" s="50" t="n"/>
      <c r="S33" s="50" t="n"/>
      <c r="T33" s="50" t="inlineStr">
        <is>
          <t>R0040829_self_storage.pdf</t>
        </is>
      </c>
      <c r="U33" s="51" t="inlineStr">
        <is>
          <t>Std rate $249/unit/mo; 8,600 SF rented of 9,400 SF</t>
        </is>
      </c>
    </row>
    <row r="34">
      <c r="A34" s="50" t="inlineStr">
        <is>
          <t>R0040829</t>
        </is>
      </c>
      <c r="B34" s="51" t="inlineStr">
        <is>
          <t>10350 Washington St</t>
        </is>
      </c>
      <c r="C34" s="51" t="inlineStr">
        <is>
          <t>10350 Washington St</t>
        </is>
      </c>
      <c r="D34" s="50" t="inlineStr">
        <is>
          <t>Thornton</t>
        </is>
      </c>
      <c r="E34" s="50" t="inlineStr">
        <is>
          <t>Thornton</t>
        </is>
      </c>
      <c r="F34" s="51" t="inlineStr">
        <is>
          <t>Self Storage</t>
        </is>
      </c>
      <c r="G34" s="50" t="inlineStr">
        <is>
          <t>20x10 (200 SF)</t>
        </is>
      </c>
      <c r="H34" s="51" t="inlineStr">
        <is>
          <t>5 units / 3 rented</t>
        </is>
      </c>
      <c r="I34" s="50" t="inlineStr">
        <is>
          <t>Storage unit-mix</t>
        </is>
      </c>
      <c r="J34" s="50" t="inlineStr">
        <is>
          <t>Yes</t>
        </is>
      </c>
      <c r="K34" s="51" t="inlineStr">
        <is>
          <t>Storage MTM</t>
        </is>
      </c>
      <c r="L34" s="52" t="n">
        <v>600</v>
      </c>
      <c r="M34" s="53" t="n">
        <v>1125</v>
      </c>
      <c r="N34" s="53" t="n"/>
      <c r="O34" s="54" t="n"/>
      <c r="P34" s="54" t="n"/>
      <c r="Q34" s="54" t="n"/>
      <c r="R34" s="50" t="n"/>
      <c r="S34" s="50" t="n"/>
      <c r="T34" s="50" t="inlineStr">
        <is>
          <t>R0040829_self_storage.pdf</t>
        </is>
      </c>
      <c r="U34" s="51" t="inlineStr">
        <is>
          <t>Std rate $225/unit/mo; 600 SF rented of 1,000 SF</t>
        </is>
      </c>
    </row>
    <row r="35">
      <c r="A35" s="50" t="inlineStr">
        <is>
          <t>R0040829</t>
        </is>
      </c>
      <c r="B35" s="51" t="inlineStr">
        <is>
          <t>10350 Washington St</t>
        </is>
      </c>
      <c r="C35" s="51" t="inlineStr">
        <is>
          <t>10350 Washington St</t>
        </is>
      </c>
      <c r="D35" s="50" t="inlineStr">
        <is>
          <t>Thornton</t>
        </is>
      </c>
      <c r="E35" s="50" t="inlineStr">
        <is>
          <t>Thornton</t>
        </is>
      </c>
      <c r="F35" s="51" t="inlineStr">
        <is>
          <t>Self Storage</t>
        </is>
      </c>
      <c r="G35" s="50" t="inlineStr">
        <is>
          <t>10x30 (300 SF)</t>
        </is>
      </c>
      <c r="H35" s="51" t="inlineStr">
        <is>
          <t>17 units / 15 rented</t>
        </is>
      </c>
      <c r="I35" s="50" t="inlineStr">
        <is>
          <t>Storage unit-mix</t>
        </is>
      </c>
      <c r="J35" s="50" t="inlineStr">
        <is>
          <t>Yes</t>
        </is>
      </c>
      <c r="K35" s="51" t="inlineStr">
        <is>
          <t>Storage MTM</t>
        </is>
      </c>
      <c r="L35" s="52" t="n">
        <v>4500</v>
      </c>
      <c r="M35" s="53" t="n">
        <v>5083</v>
      </c>
      <c r="N35" s="53" t="n"/>
      <c r="O35" s="54" t="n"/>
      <c r="P35" s="54" t="n"/>
      <c r="Q35" s="54" t="n"/>
      <c r="R35" s="50" t="n"/>
      <c r="S35" s="50" t="n"/>
      <c r="T35" s="50" t="inlineStr">
        <is>
          <t>R0040829_self_storage.pdf</t>
        </is>
      </c>
      <c r="U35" s="51" t="inlineStr">
        <is>
          <t>Std rate $299/unit/mo; 4,500 SF rented of 5,100 SF</t>
        </is>
      </c>
    </row>
    <row r="36">
      <c r="A36" s="50" t="inlineStr">
        <is>
          <t>R0040829</t>
        </is>
      </c>
      <c r="B36" s="51" t="inlineStr">
        <is>
          <t>10350 Washington St</t>
        </is>
      </c>
      <c r="C36" s="51" t="inlineStr">
        <is>
          <t>10350 Washington St</t>
        </is>
      </c>
      <c r="D36" s="50" t="inlineStr">
        <is>
          <t>Thornton</t>
        </is>
      </c>
      <c r="E36" s="50" t="inlineStr">
        <is>
          <t>Thornton</t>
        </is>
      </c>
      <c r="F36" s="51" t="inlineStr">
        <is>
          <t>Self Storage</t>
        </is>
      </c>
      <c r="G36" s="50" t="inlineStr">
        <is>
          <t>15x20 (300 SF)</t>
        </is>
      </c>
      <c r="H36" s="51" t="inlineStr">
        <is>
          <t>1 units / 0 rented</t>
        </is>
      </c>
      <c r="I36" s="50" t="inlineStr">
        <is>
          <t>Storage unit-mix</t>
        </is>
      </c>
      <c r="J36" s="50" t="inlineStr">
        <is>
          <t>Yes</t>
        </is>
      </c>
      <c r="K36" s="51" t="inlineStr">
        <is>
          <t>Storage MTM</t>
        </is>
      </c>
      <c r="L36" s="52" t="n">
        <v>0</v>
      </c>
      <c r="M36" s="53" t="n">
        <v>299</v>
      </c>
      <c r="N36" s="53" t="n"/>
      <c r="O36" s="54" t="n"/>
      <c r="P36" s="54" t="n"/>
      <c r="Q36" s="54" t="n"/>
      <c r="R36" s="50" t="n"/>
      <c r="S36" s="50" t="n"/>
      <c r="T36" s="50" t="inlineStr">
        <is>
          <t>R0040829_self_storage.pdf</t>
        </is>
      </c>
      <c r="U36" s="51" t="inlineStr">
        <is>
          <t>Std rate $299/unit/mo; 0 SF rented of 300 SF</t>
        </is>
      </c>
    </row>
    <row r="37">
      <c r="A37" s="50" t="inlineStr">
        <is>
          <t>R0040829</t>
        </is>
      </c>
      <c r="B37" s="51" t="inlineStr">
        <is>
          <t>10350 Washington St</t>
        </is>
      </c>
      <c r="C37" s="51" t="inlineStr">
        <is>
          <t>10350 Washington St</t>
        </is>
      </c>
      <c r="D37" s="50" t="inlineStr">
        <is>
          <t>Thornton</t>
        </is>
      </c>
      <c r="E37" s="50" t="inlineStr">
        <is>
          <t>Thornton</t>
        </is>
      </c>
      <c r="F37" s="51" t="inlineStr">
        <is>
          <t>Self Storage</t>
        </is>
      </c>
      <c r="G37" s="50" t="inlineStr">
        <is>
          <t>20x30 (600 SF)</t>
        </is>
      </c>
      <c r="H37" s="51" t="inlineStr">
        <is>
          <t>1 units / 1 rented</t>
        </is>
      </c>
      <c r="I37" s="50" t="inlineStr">
        <is>
          <t>Storage unit-mix</t>
        </is>
      </c>
      <c r="J37" s="50" t="inlineStr">
        <is>
          <t>Yes</t>
        </is>
      </c>
      <c r="K37" s="51" t="inlineStr">
        <is>
          <t>Storage MTM</t>
        </is>
      </c>
      <c r="L37" s="52" t="n">
        <v>600</v>
      </c>
      <c r="M37" s="53" t="n">
        <v>509</v>
      </c>
      <c r="N37" s="53" t="n"/>
      <c r="O37" s="54" t="n"/>
      <c r="P37" s="54" t="n"/>
      <c r="Q37" s="54" t="n"/>
      <c r="R37" s="50" t="n"/>
      <c r="S37" s="50" t="n"/>
      <c r="T37" s="50" t="inlineStr">
        <is>
          <t>R0040829_self_storage.pdf</t>
        </is>
      </c>
      <c r="U37" s="51" t="inlineStr">
        <is>
          <t>Std rate $509/unit/mo; 600 SF rented of 600 SF</t>
        </is>
      </c>
    </row>
    <row r="38">
      <c r="A38" s="44" t="inlineStr">
        <is>
          <t>R0091907</t>
        </is>
      </c>
      <c r="B38" s="37" t="inlineStr">
        <is>
          <t>5720 Holly St</t>
        </is>
      </c>
      <c r="C38" s="37" t="inlineStr">
        <is>
          <t>5720 Holly St</t>
        </is>
      </c>
      <c r="D38" s="44" t="inlineStr">
        <is>
          <t>Commerce City</t>
        </is>
      </c>
      <c r="E38" s="44" t="inlineStr">
        <is>
          <t>East I-70/270 (Commerce City)</t>
        </is>
      </c>
      <c r="F38" s="37" t="inlineStr">
        <is>
          <t>Industrial - Warehouse</t>
        </is>
      </c>
      <c r="G38" s="44" t="inlineStr">
        <is>
          <t>A</t>
        </is>
      </c>
      <c r="H38" s="37" t="inlineStr">
        <is>
          <t>Mallory Safety &amp; Supply</t>
        </is>
      </c>
      <c r="I38" s="44" t="inlineStr">
        <is>
          <t>Actual lease</t>
        </is>
      </c>
      <c r="J38" s="44" t="inlineStr">
        <is>
          <t>Yes</t>
        </is>
      </c>
      <c r="K38" s="37" t="inlineStr">
        <is>
          <t>NNN</t>
        </is>
      </c>
      <c r="L38" s="48" t="n">
        <v>23520</v>
      </c>
      <c r="M38" s="49" t="n">
        <v>17578.75</v>
      </c>
      <c r="N38" s="49" t="n">
        <v>210945</v>
      </c>
      <c r="O38" s="42" t="n">
        <v>8.970000000000001</v>
      </c>
      <c r="P38" s="42" t="n">
        <v>3.59</v>
      </c>
      <c r="Q38" s="42" t="n">
        <v>12.56</v>
      </c>
      <c r="R38" s="44" t="inlineStr">
        <is>
          <t>9/1/2012</t>
        </is>
      </c>
      <c r="S38" s="44" t="inlineStr">
        <is>
          <t>8/31/2029</t>
        </is>
      </c>
      <c r="T38" s="44" t="inlineStr">
        <is>
          <t>R0091907.pdf</t>
        </is>
      </c>
      <c r="U38" s="37" t="inlineStr">
        <is>
          <t>23,520 SF (43.31%); CAM $84,536.52/yr ($3.59/SF); rent start 12/7/2011</t>
        </is>
      </c>
    </row>
    <row r="39">
      <c r="A39" s="44" t="inlineStr">
        <is>
          <t>R0091907</t>
        </is>
      </c>
      <c r="B39" s="37" t="inlineStr">
        <is>
          <t>5720 Holly St</t>
        </is>
      </c>
      <c r="C39" s="37" t="inlineStr">
        <is>
          <t>5720 Holly St</t>
        </is>
      </c>
      <c r="D39" s="44" t="inlineStr">
        <is>
          <t>Commerce City</t>
        </is>
      </c>
      <c r="E39" s="44" t="inlineStr">
        <is>
          <t>East I-70/270 (Commerce City)</t>
        </is>
      </c>
      <c r="F39" s="37" t="inlineStr">
        <is>
          <t>Industrial - Warehouse</t>
        </is>
      </c>
      <c r="G39" s="44" t="inlineStr">
        <is>
          <t>B-E</t>
        </is>
      </c>
      <c r="H39" s="37" t="inlineStr">
        <is>
          <t>Suncor Energy</t>
        </is>
      </c>
      <c r="I39" s="44" t="inlineStr">
        <is>
          <t>Actual lease</t>
        </is>
      </c>
      <c r="J39" s="44" t="inlineStr">
        <is>
          <t>Yes</t>
        </is>
      </c>
      <c r="K39" s="37" t="inlineStr">
        <is>
          <t>NNN</t>
        </is>
      </c>
      <c r="L39" s="48" t="n">
        <v>15980</v>
      </c>
      <c r="M39" s="49" t="n">
        <v>12687.46</v>
      </c>
      <c r="N39" s="49" t="n">
        <v>152249.52</v>
      </c>
      <c r="O39" s="42" t="n">
        <v>9.529999999999999</v>
      </c>
      <c r="P39" s="42" t="n">
        <v>3.59</v>
      </c>
      <c r="Q39" s="42" t="n">
        <v>13.12</v>
      </c>
      <c r="R39" s="44" t="inlineStr">
        <is>
          <t>8/15/2022</t>
        </is>
      </c>
      <c r="S39" s="44" t="inlineStr">
        <is>
          <t>9/14/2025</t>
        </is>
      </c>
      <c r="T39" s="44" t="inlineStr">
        <is>
          <t>R0091907.pdf</t>
        </is>
      </c>
      <c r="U39" s="37" t="inlineStr">
        <is>
          <t>15,980 SF (29.43%); CAM $57,435.96/yr ($3.59/SF); rent start 6/1/2024; units D &amp; E carried as vacant/0 SF on the Yardi roll; balance due $9,023.14</t>
        </is>
      </c>
    </row>
    <row r="40">
      <c r="A40" s="44" t="inlineStr">
        <is>
          <t>R0091907</t>
        </is>
      </c>
      <c r="B40" s="37" t="inlineStr">
        <is>
          <t>5720 Holly St</t>
        </is>
      </c>
      <c r="C40" s="37" t="inlineStr">
        <is>
          <t>5720 Holly St</t>
        </is>
      </c>
      <c r="D40" s="44" t="inlineStr">
        <is>
          <t>Commerce City</t>
        </is>
      </c>
      <c r="E40" s="44" t="inlineStr">
        <is>
          <t>East I-70/270 (Commerce City)</t>
        </is>
      </c>
      <c r="F40" s="37" t="inlineStr">
        <is>
          <t>Industrial - Warehouse</t>
        </is>
      </c>
      <c r="G40" s="44" t="inlineStr">
        <is>
          <t>F</t>
        </is>
      </c>
      <c r="H40" s="37" t="inlineStr">
        <is>
          <t>Colorado Wassall CO</t>
        </is>
      </c>
      <c r="I40" s="44" t="inlineStr">
        <is>
          <t>Actual lease</t>
        </is>
      </c>
      <c r="J40" s="44" t="inlineStr">
        <is>
          <t>Yes</t>
        </is>
      </c>
      <c r="K40" s="37" t="inlineStr">
        <is>
          <t>NNN</t>
        </is>
      </c>
      <c r="L40" s="48" t="n">
        <v>4000</v>
      </c>
      <c r="M40" s="49" t="n">
        <v>2730</v>
      </c>
      <c r="N40" s="49" t="n">
        <v>32760</v>
      </c>
      <c r="O40" s="42" t="n">
        <v>8.19</v>
      </c>
      <c r="P40" s="42" t="n">
        <v>3.59</v>
      </c>
      <c r="Q40" s="42" t="n">
        <v>11.78</v>
      </c>
      <c r="R40" s="44" t="inlineStr">
        <is>
          <t>6/15/2021</t>
        </is>
      </c>
      <c r="S40" s="44" t="inlineStr">
        <is>
          <t>6/30/2029</t>
        </is>
      </c>
      <c r="T40" s="44" t="inlineStr">
        <is>
          <t>R0091907.pdf</t>
        </is>
      </c>
      <c r="U40" s="37" t="inlineStr">
        <is>
          <t>4,000 SF (7.37%); CAM $14,376.96/yr ($3.59/SF); rent start 11/3/2011; balance due $2,083.35</t>
        </is>
      </c>
    </row>
    <row r="41">
      <c r="A41" s="44" t="inlineStr">
        <is>
          <t>R0091907</t>
        </is>
      </c>
      <c r="B41" s="37" t="inlineStr">
        <is>
          <t>5720 Holly St</t>
        </is>
      </c>
      <c r="C41" s="37" t="inlineStr">
        <is>
          <t>5720 Holly St</t>
        </is>
      </c>
      <c r="D41" s="44" t="inlineStr">
        <is>
          <t>Commerce City</t>
        </is>
      </c>
      <c r="E41" s="44" t="inlineStr">
        <is>
          <t>East I-70/270 (Commerce City)</t>
        </is>
      </c>
      <c r="F41" s="37" t="inlineStr">
        <is>
          <t>Industrial - Warehouse</t>
        </is>
      </c>
      <c r="G41" s="44" t="inlineStr">
        <is>
          <t>G</t>
        </is>
      </c>
      <c r="H41" s="37" t="inlineStr">
        <is>
          <t>Ginzel Enterprises</t>
        </is>
      </c>
      <c r="I41" s="44" t="inlineStr">
        <is>
          <t>Actual lease</t>
        </is>
      </c>
      <c r="J41" s="44" t="inlineStr">
        <is>
          <t>Yes</t>
        </is>
      </c>
      <c r="K41" s="37" t="inlineStr">
        <is>
          <t>NNN</t>
        </is>
      </c>
      <c r="L41" s="48" t="n">
        <v>10800</v>
      </c>
      <c r="M41" s="49" t="n">
        <v>7371</v>
      </c>
      <c r="N41" s="49" t="n">
        <v>88452</v>
      </c>
      <c r="O41" s="42" t="n">
        <v>8.19</v>
      </c>
      <c r="P41" s="42" t="n">
        <v>3.59</v>
      </c>
      <c r="Q41" s="42" t="n">
        <v>11.78</v>
      </c>
      <c r="R41" s="44" t="inlineStr">
        <is>
          <t>10/1/2023</t>
        </is>
      </c>
      <c r="S41" s="44" t="inlineStr">
        <is>
          <t>6/30/2026</t>
        </is>
      </c>
      <c r="T41" s="44" t="inlineStr">
        <is>
          <t>R0091907.pdf</t>
        </is>
      </c>
      <c r="U41" s="37" t="inlineStr">
        <is>
          <t>10,800 SF (19.89%); CAM $38,817.84/yr ($3.59/SF); rent start 11/3/2011; owner summary shows lease end 11/30/2026 vs 6/30/2026 on the Yardi roll — both as printed; balance due $1,459.87</t>
        </is>
      </c>
    </row>
    <row r="42">
      <c r="A42" s="44" t="inlineStr">
        <is>
          <t>R0091909</t>
        </is>
      </c>
      <c r="B42" s="37" t="inlineStr">
        <is>
          <t>6125 E. 56th Ave</t>
        </is>
      </c>
      <c r="C42" s="37" t="inlineStr">
        <is>
          <t>6125 E. 56th Ave</t>
        </is>
      </c>
      <c r="D42" s="44" t="inlineStr">
        <is>
          <t>Commerce City</t>
        </is>
      </c>
      <c r="E42" s="44" t="inlineStr">
        <is>
          <t>East I-70/270 (Commerce City)</t>
        </is>
      </c>
      <c r="F42" s="37" t="inlineStr">
        <is>
          <t>Industrial / Flex (multi-tenant)</t>
        </is>
      </c>
      <c r="G42" s="44" t="inlineStr">
        <is>
          <t>6125A</t>
        </is>
      </c>
      <c r="H42" s="37" t="inlineStr">
        <is>
          <t>Colorado Overhead Door</t>
        </is>
      </c>
      <c r="I42" s="44" t="inlineStr">
        <is>
          <t>Actual lease</t>
        </is>
      </c>
      <c r="J42" s="44" t="inlineStr">
        <is>
          <t>Yes</t>
        </is>
      </c>
      <c r="K42" s="37" t="inlineStr">
        <is>
          <t>NNN</t>
        </is>
      </c>
      <c r="L42" s="48" t="n">
        <v>5000</v>
      </c>
      <c r="M42" s="49" t="n"/>
      <c r="N42" s="49" t="n">
        <v>47850</v>
      </c>
      <c r="O42" s="42" t="n">
        <v>9.57</v>
      </c>
      <c r="P42" s="42" t="n">
        <v>4.63</v>
      </c>
      <c r="Q42" s="42" t="n">
        <v>14.2</v>
      </c>
      <c r="R42" s="44" t="inlineStr">
        <is>
          <t>6/2020</t>
        </is>
      </c>
      <c r="S42" s="44" t="inlineStr">
        <is>
          <t>7/2025</t>
        </is>
      </c>
      <c r="T42" s="44" t="inlineStr">
        <is>
          <t>R0091909.pdf</t>
        </is>
      </c>
      <c r="U42" s="37" t="inlineStr">
        <is>
          <t>5,000 SF; recoveries $23,150 ($4.63/SF); gross rent $14.20/SF</t>
        </is>
      </c>
    </row>
    <row r="43">
      <c r="A43" s="44" t="inlineStr">
        <is>
          <t>R0091909</t>
        </is>
      </c>
      <c r="B43" s="37" t="inlineStr">
        <is>
          <t>6125 E. 56th Ave</t>
        </is>
      </c>
      <c r="C43" s="37" t="inlineStr">
        <is>
          <t>6125 E. 56th Ave</t>
        </is>
      </c>
      <c r="D43" s="44" t="inlineStr">
        <is>
          <t>Commerce City</t>
        </is>
      </c>
      <c r="E43" s="44" t="inlineStr">
        <is>
          <t>East I-70/270 (Commerce City)</t>
        </is>
      </c>
      <c r="F43" s="37" t="inlineStr">
        <is>
          <t>Industrial / Flex (multi-tenant)</t>
        </is>
      </c>
      <c r="G43" s="44" t="inlineStr">
        <is>
          <t>6125B</t>
        </is>
      </c>
      <c r="H43" s="37" t="inlineStr">
        <is>
          <t>Comlink Solutions</t>
        </is>
      </c>
      <c r="I43" s="44" t="inlineStr">
        <is>
          <t>Actual lease</t>
        </is>
      </c>
      <c r="J43" s="44" t="inlineStr">
        <is>
          <t>Yes</t>
        </is>
      </c>
      <c r="K43" s="37" t="inlineStr">
        <is>
          <t>NNN</t>
        </is>
      </c>
      <c r="L43" s="48" t="n">
        <v>5000</v>
      </c>
      <c r="M43" s="49" t="n"/>
      <c r="N43" s="49" t="n">
        <v>46900</v>
      </c>
      <c r="O43" s="42" t="n">
        <v>9.380000000000001</v>
      </c>
      <c r="P43" s="42" t="n">
        <v>4.63</v>
      </c>
      <c r="Q43" s="42" t="n">
        <v>14.01</v>
      </c>
      <c r="R43" s="44" t="inlineStr">
        <is>
          <t>9/2021</t>
        </is>
      </c>
      <c r="S43" s="44" t="inlineStr">
        <is>
          <t>9/2027</t>
        </is>
      </c>
      <c r="T43" s="44" t="inlineStr">
        <is>
          <t>R0091909.pdf</t>
        </is>
      </c>
      <c r="U43" s="37" t="inlineStr">
        <is>
          <t>5,000 SF; recoveries $23,150 ($4.63/SF); gross rent $14.01/SF</t>
        </is>
      </c>
    </row>
    <row r="44">
      <c r="A44" s="44" t="inlineStr">
        <is>
          <t>R0091909</t>
        </is>
      </c>
      <c r="B44" s="37" t="inlineStr">
        <is>
          <t>6125 E. 56th Ave</t>
        </is>
      </c>
      <c r="C44" s="37" t="inlineStr">
        <is>
          <t>6125 E. 56th Ave</t>
        </is>
      </c>
      <c r="D44" s="44" t="inlineStr">
        <is>
          <t>Commerce City</t>
        </is>
      </c>
      <c r="E44" s="44" t="inlineStr">
        <is>
          <t>East I-70/270 (Commerce City)</t>
        </is>
      </c>
      <c r="F44" s="37" t="inlineStr">
        <is>
          <t>Industrial / Flex (multi-tenant)</t>
        </is>
      </c>
      <c r="G44" s="44" t="inlineStr">
        <is>
          <t>6125F</t>
        </is>
      </c>
      <c r="H44" s="37" t="inlineStr">
        <is>
          <t>Kerr Panel Manufacturing LLC</t>
        </is>
      </c>
      <c r="I44" s="44" t="inlineStr">
        <is>
          <t>Actual lease</t>
        </is>
      </c>
      <c r="J44" s="44" t="inlineStr">
        <is>
          <t>Yes</t>
        </is>
      </c>
      <c r="K44" s="37" t="inlineStr">
        <is>
          <t>NNN</t>
        </is>
      </c>
      <c r="L44" s="48" t="n">
        <v>20000</v>
      </c>
      <c r="M44" s="49" t="n"/>
      <c r="N44" s="49" t="n">
        <v>155000</v>
      </c>
      <c r="O44" s="42" t="n">
        <v>7.75</v>
      </c>
      <c r="P44" s="42" t="n">
        <v>4.63</v>
      </c>
      <c r="Q44" s="42" t="n">
        <v>12.38</v>
      </c>
      <c r="R44" s="44" t="inlineStr">
        <is>
          <t>5/2021</t>
        </is>
      </c>
      <c r="S44" s="44" t="inlineStr">
        <is>
          <t>4/2026</t>
        </is>
      </c>
      <c r="T44" s="44" t="inlineStr">
        <is>
          <t>R0091909.pdf</t>
        </is>
      </c>
      <c r="U44" s="37" t="inlineStr">
        <is>
          <t>20,000 SF; recoveries $92,600 ($4.63/SF); gross rent $12.38/SF</t>
        </is>
      </c>
    </row>
    <row r="45">
      <c r="A45" s="44" t="inlineStr">
        <is>
          <t>R0091909</t>
        </is>
      </c>
      <c r="B45" s="37" t="inlineStr">
        <is>
          <t>6125 E. 56th Ave</t>
        </is>
      </c>
      <c r="C45" s="37" t="inlineStr">
        <is>
          <t>6125 E. 56th Ave</t>
        </is>
      </c>
      <c r="D45" s="44" t="inlineStr">
        <is>
          <t>Commerce City</t>
        </is>
      </c>
      <c r="E45" s="44" t="inlineStr">
        <is>
          <t>East I-70/270 (Commerce City)</t>
        </is>
      </c>
      <c r="F45" s="37" t="inlineStr">
        <is>
          <t>Industrial / Flex (multi-tenant)</t>
        </is>
      </c>
      <c r="G45" s="44" t="inlineStr">
        <is>
          <t>6125G</t>
        </is>
      </c>
      <c r="H45" s="37" t="inlineStr">
        <is>
          <t>Summit Lighting Inc</t>
        </is>
      </c>
      <c r="I45" s="44" t="inlineStr">
        <is>
          <t>Actual lease</t>
        </is>
      </c>
      <c r="J45" s="44" t="inlineStr">
        <is>
          <t>Yes</t>
        </is>
      </c>
      <c r="K45" s="37" t="inlineStr">
        <is>
          <t>NNN</t>
        </is>
      </c>
      <c r="L45" s="48" t="n">
        <v>5000</v>
      </c>
      <c r="M45" s="49" t="n"/>
      <c r="N45" s="49" t="n">
        <v>46250</v>
      </c>
      <c r="O45" s="42" t="n">
        <v>9.25</v>
      </c>
      <c r="P45" s="42" t="n">
        <v>4.63</v>
      </c>
      <c r="Q45" s="42" t="n">
        <v>13.88</v>
      </c>
      <c r="R45" s="44" t="inlineStr">
        <is>
          <t>5/2021</t>
        </is>
      </c>
      <c r="S45" s="44" t="inlineStr">
        <is>
          <t>4/2026</t>
        </is>
      </c>
      <c r="T45" s="44" t="inlineStr">
        <is>
          <t>R0091909.pdf</t>
        </is>
      </c>
      <c r="U45" s="37" t="inlineStr">
        <is>
          <t>5,000 SF; recoveries $23,150 ($4.63/SF); gross rent $13.88/SF</t>
        </is>
      </c>
    </row>
    <row r="46">
      <c r="A46" s="50" t="inlineStr">
        <is>
          <t>R0091909</t>
        </is>
      </c>
      <c r="B46" s="51" t="inlineStr">
        <is>
          <t>6125 E. 56th Ave</t>
        </is>
      </c>
      <c r="C46" s="51" t="inlineStr">
        <is>
          <t>6125 E. 56th Ave</t>
        </is>
      </c>
      <c r="D46" s="50" t="inlineStr">
        <is>
          <t>Commerce City</t>
        </is>
      </c>
      <c r="E46" s="50" t="inlineStr">
        <is>
          <t>East I-70/270 (Commerce City)</t>
        </is>
      </c>
      <c r="F46" s="51" t="inlineStr">
        <is>
          <t>Industrial / Flex (multi-tenant)</t>
        </is>
      </c>
      <c r="G46" s="50" t="inlineStr">
        <is>
          <t>6125H</t>
        </is>
      </c>
      <c r="H46" s="51" t="inlineStr">
        <is>
          <t>VACANT</t>
        </is>
      </c>
      <c r="I46" s="50" t="inlineStr">
        <is>
          <t>Vacant unit</t>
        </is>
      </c>
      <c r="J46" s="50" t="inlineStr">
        <is>
          <t>Yes</t>
        </is>
      </c>
      <c r="K46" s="51" t="inlineStr">
        <is>
          <t>—</t>
        </is>
      </c>
      <c r="L46" s="52" t="n">
        <v>5000</v>
      </c>
      <c r="M46" s="53" t="n"/>
      <c r="N46" s="53" t="n"/>
      <c r="O46" s="54" t="n"/>
      <c r="P46" s="54" t="n"/>
      <c r="Q46" s="54" t="n"/>
      <c r="R46" s="50" t="inlineStr">
        <is>
          <t>—</t>
        </is>
      </c>
      <c r="S46" s="50" t="inlineStr">
        <is>
          <t>—</t>
        </is>
      </c>
      <c r="T46" s="50" t="inlineStr">
        <is>
          <t>R0091909.pdf</t>
        </is>
      </c>
      <c r="U46" s="51" t="inlineStr">
        <is>
          <t>5,000 SF vacant at 6/30/2024 (13% of building); market rent forecast $10.00/SF net + $4.75/SF recoveries = $14.75/SF; prior tenant ZB Express Inc (modified gross) on the 6/30/2023 roll</t>
        </is>
      </c>
    </row>
    <row r="47">
      <c r="A47" s="44" t="inlineStr">
        <is>
          <t>R0091931</t>
        </is>
      </c>
      <c r="B47" s="37" t="inlineStr">
        <is>
          <t>6300 E. 58th Ave</t>
        </is>
      </c>
      <c r="C47" s="37" t="inlineStr">
        <is>
          <t>6300 E. 58th Ave</t>
        </is>
      </c>
      <c r="D47" s="44" t="inlineStr">
        <is>
          <t>Commerce City</t>
        </is>
      </c>
      <c r="E47" s="44" t="inlineStr">
        <is>
          <t>East I-70/270 (Commerce City)</t>
        </is>
      </c>
      <c r="F47" s="37" t="inlineStr">
        <is>
          <t>Industrial / Flex (multi-tenant)</t>
        </is>
      </c>
      <c r="G47" s="44" t="inlineStr">
        <is>
          <t>6300A</t>
        </is>
      </c>
      <c r="H47" s="37" t="inlineStr">
        <is>
          <t>Daniel J Sewolt Inc (dba Danny's Meat Service)</t>
        </is>
      </c>
      <c r="I47" s="44" t="inlineStr">
        <is>
          <t>Actual lease</t>
        </is>
      </c>
      <c r="J47" s="44" t="inlineStr">
        <is>
          <t>Yes</t>
        </is>
      </c>
      <c r="K47" s="37" t="inlineStr">
        <is>
          <t>Modified Gross</t>
        </is>
      </c>
      <c r="L47" s="48" t="n">
        <v>7500</v>
      </c>
      <c r="M47" s="49" t="n"/>
      <c r="N47" s="49" t="n">
        <v>82500</v>
      </c>
      <c r="O47" s="42" t="n">
        <v>11</v>
      </c>
      <c r="P47" s="42" t="n">
        <v>2.71</v>
      </c>
      <c r="Q47" s="42" t="n">
        <v>13.71</v>
      </c>
      <c r="R47" s="44" t="inlineStr">
        <is>
          <t>8/2018</t>
        </is>
      </c>
      <c r="S47" s="44" t="inlineStr">
        <is>
          <t>11/2028</t>
        </is>
      </c>
      <c r="T47" s="44" t="inlineStr">
        <is>
          <t>R0091931.pdf</t>
        </is>
      </c>
      <c r="U47" s="37" t="inlineStr">
        <is>
          <t>7,500 SF; recoveries $20,325 ($2.71/SF); gross rent $13.71/SF</t>
        </is>
      </c>
    </row>
    <row r="48">
      <c r="A48" s="44" t="inlineStr">
        <is>
          <t>R0091931</t>
        </is>
      </c>
      <c r="B48" s="37" t="inlineStr">
        <is>
          <t>6300 E. 58th Ave</t>
        </is>
      </c>
      <c r="C48" s="37" t="inlineStr">
        <is>
          <t>6300 E. 58th Ave</t>
        </is>
      </c>
      <c r="D48" s="44" t="inlineStr">
        <is>
          <t>Commerce City</t>
        </is>
      </c>
      <c r="E48" s="44" t="inlineStr">
        <is>
          <t>East I-70/270 (Commerce City)</t>
        </is>
      </c>
      <c r="F48" s="37" t="inlineStr">
        <is>
          <t>Industrial / Flex (multi-tenant)</t>
        </is>
      </c>
      <c r="G48" s="44" t="inlineStr">
        <is>
          <t>6300D</t>
        </is>
      </c>
      <c r="H48" s="37" t="inlineStr">
        <is>
          <t>Concrete Conservation LLC</t>
        </is>
      </c>
      <c r="I48" s="44" t="inlineStr">
        <is>
          <t>Actual lease</t>
        </is>
      </c>
      <c r="J48" s="44" t="inlineStr">
        <is>
          <t>Yes</t>
        </is>
      </c>
      <c r="K48" s="37" t="inlineStr">
        <is>
          <t>Modified Gross</t>
        </is>
      </c>
      <c r="L48" s="48" t="n">
        <v>7500</v>
      </c>
      <c r="M48" s="49" t="n"/>
      <c r="N48" s="49" t="n">
        <v>90540</v>
      </c>
      <c r="O48" s="42" t="n">
        <v>12.07</v>
      </c>
      <c r="P48" s="42" t="n">
        <v>2.71</v>
      </c>
      <c r="Q48" s="42" t="n">
        <v>14.78</v>
      </c>
      <c r="R48" s="44" t="inlineStr">
        <is>
          <t>4/2018</t>
        </is>
      </c>
      <c r="S48" s="44" t="inlineStr">
        <is>
          <t>8/2028</t>
        </is>
      </c>
      <c r="T48" s="44" t="inlineStr">
        <is>
          <t>R0091931.pdf</t>
        </is>
      </c>
      <c r="U48" s="37" t="inlineStr">
        <is>
          <t>7,500 SF; recoveries $20,325 ($2.71/SF); gross rent $14.78/SF</t>
        </is>
      </c>
    </row>
    <row r="49">
      <c r="A49" s="44" t="inlineStr">
        <is>
          <t>R0091931</t>
        </is>
      </c>
      <c r="B49" s="37" t="inlineStr">
        <is>
          <t>6300 E. 58th Ave</t>
        </is>
      </c>
      <c r="C49" s="37" t="inlineStr">
        <is>
          <t>6300 E. 58th Ave</t>
        </is>
      </c>
      <c r="D49" s="44" t="inlineStr">
        <is>
          <t>Commerce City</t>
        </is>
      </c>
      <c r="E49" s="44" t="inlineStr">
        <is>
          <t>East I-70/270 (Commerce City)</t>
        </is>
      </c>
      <c r="F49" s="37" t="inlineStr">
        <is>
          <t>Industrial / Flex (multi-tenant)</t>
        </is>
      </c>
      <c r="G49" s="44" t="inlineStr">
        <is>
          <t>6300G</t>
        </is>
      </c>
      <c r="H49" s="37" t="inlineStr">
        <is>
          <t>Trac Distribution Inc</t>
        </is>
      </c>
      <c r="I49" s="44" t="inlineStr">
        <is>
          <t>Actual lease</t>
        </is>
      </c>
      <c r="J49" s="44" t="inlineStr">
        <is>
          <t>Yes</t>
        </is>
      </c>
      <c r="K49" s="37" t="inlineStr">
        <is>
          <t>NNN</t>
        </is>
      </c>
      <c r="L49" s="48" t="n">
        <v>5000</v>
      </c>
      <c r="M49" s="49" t="n"/>
      <c r="N49" s="49" t="n">
        <v>50000</v>
      </c>
      <c r="O49" s="42" t="n">
        <v>10</v>
      </c>
      <c r="P49" s="42" t="n">
        <v>5.17</v>
      </c>
      <c r="Q49" s="42" t="n">
        <v>15.17</v>
      </c>
      <c r="R49" s="44" t="inlineStr">
        <is>
          <t>12/2022</t>
        </is>
      </c>
      <c r="S49" s="44" t="inlineStr">
        <is>
          <t>11/2027</t>
        </is>
      </c>
      <c r="T49" s="44" t="inlineStr">
        <is>
          <t>R0091931.pdf</t>
        </is>
      </c>
      <c r="U49" s="37" t="inlineStr">
        <is>
          <t>5,000 SF; recoveries $25,850 ($5.17/SF); gross rent $15.17/SF</t>
        </is>
      </c>
    </row>
    <row r="50">
      <c r="A50" s="44" t="inlineStr">
        <is>
          <t>R0091931</t>
        </is>
      </c>
      <c r="B50" s="37" t="inlineStr">
        <is>
          <t>6300 E. 58th Ave</t>
        </is>
      </c>
      <c r="C50" s="37" t="inlineStr">
        <is>
          <t>6300 E. 58th Ave</t>
        </is>
      </c>
      <c r="D50" s="44" t="inlineStr">
        <is>
          <t>Commerce City</t>
        </is>
      </c>
      <c r="E50" s="44" t="inlineStr">
        <is>
          <t>East I-70/270 (Commerce City)</t>
        </is>
      </c>
      <c r="F50" s="37" t="inlineStr">
        <is>
          <t>Industrial / Flex (multi-tenant)</t>
        </is>
      </c>
      <c r="G50" s="44" t="inlineStr">
        <is>
          <t>6300I</t>
        </is>
      </c>
      <c r="H50" s="37" t="inlineStr">
        <is>
          <t>Proximo Distillers LLC</t>
        </is>
      </c>
      <c r="I50" s="44" t="inlineStr">
        <is>
          <t>Actual lease</t>
        </is>
      </c>
      <c r="J50" s="44" t="inlineStr">
        <is>
          <t>Yes</t>
        </is>
      </c>
      <c r="K50" s="37" t="inlineStr">
        <is>
          <t>NNN</t>
        </is>
      </c>
      <c r="L50" s="48" t="n">
        <v>10000</v>
      </c>
      <c r="M50" s="49" t="n"/>
      <c r="N50" s="49" t="n">
        <v>100000</v>
      </c>
      <c r="O50" s="42" t="n">
        <v>10</v>
      </c>
      <c r="P50" s="42" t="n">
        <v>5.16</v>
      </c>
      <c r="Q50" s="42" t="n">
        <v>15.16</v>
      </c>
      <c r="R50" s="44" t="inlineStr">
        <is>
          <t>6/2019</t>
        </is>
      </c>
      <c r="S50" s="44" t="inlineStr">
        <is>
          <t>7/2029</t>
        </is>
      </c>
      <c r="T50" s="44" t="inlineStr">
        <is>
          <t>R0091931.pdf</t>
        </is>
      </c>
      <c r="U50" s="37" t="inlineStr">
        <is>
          <t>10,000 SF; recoveries $51,600 ($5.16/SF); gross rent $15.16/SF</t>
        </is>
      </c>
    </row>
    <row r="51">
      <c r="A51" s="44" t="inlineStr">
        <is>
          <t>R0091931</t>
        </is>
      </c>
      <c r="B51" s="37" t="inlineStr">
        <is>
          <t>6300 E. 58th Ave</t>
        </is>
      </c>
      <c r="C51" s="37" t="inlineStr">
        <is>
          <t>6300 E. 58th Ave</t>
        </is>
      </c>
      <c r="D51" s="44" t="inlineStr">
        <is>
          <t>Commerce City</t>
        </is>
      </c>
      <c r="E51" s="44" t="inlineStr">
        <is>
          <t>East I-70/270 (Commerce City)</t>
        </is>
      </c>
      <c r="F51" s="37" t="inlineStr">
        <is>
          <t>Industrial / Flex (multi-tenant)</t>
        </is>
      </c>
      <c r="G51" s="44" t="inlineStr">
        <is>
          <t>6340A</t>
        </is>
      </c>
      <c r="H51" s="37" t="inlineStr">
        <is>
          <t>Backlash Inc</t>
        </is>
      </c>
      <c r="I51" s="44" t="inlineStr">
        <is>
          <t>Actual lease</t>
        </is>
      </c>
      <c r="J51" s="44" t="inlineStr">
        <is>
          <t>Yes</t>
        </is>
      </c>
      <c r="K51" s="37" t="inlineStr">
        <is>
          <t>Modified Gross</t>
        </is>
      </c>
      <c r="L51" s="48" t="n">
        <v>10000</v>
      </c>
      <c r="M51" s="49" t="n"/>
      <c r="N51" s="49" t="n">
        <v>99000</v>
      </c>
      <c r="O51" s="42" t="n">
        <v>9.9</v>
      </c>
      <c r="P51" s="42" t="n">
        <v>3.2</v>
      </c>
      <c r="Q51" s="42" t="n">
        <v>13.1</v>
      </c>
      <c r="R51" s="44" t="inlineStr">
        <is>
          <t>12/2007</t>
        </is>
      </c>
      <c r="S51" s="44" t="inlineStr">
        <is>
          <t>6/2025</t>
        </is>
      </c>
      <c r="T51" s="44" t="inlineStr">
        <is>
          <t>R0091931.pdf</t>
        </is>
      </c>
      <c r="U51" s="37" t="inlineStr">
        <is>
          <t>10,000 SF; recoveries $32,000 ($3.20/SF); gross rent $13.10/SF</t>
        </is>
      </c>
    </row>
    <row r="52">
      <c r="A52" s="44" t="inlineStr">
        <is>
          <t>R0091931</t>
        </is>
      </c>
      <c r="B52" s="37" t="inlineStr">
        <is>
          <t>6300 E. 58th Ave</t>
        </is>
      </c>
      <c r="C52" s="37" t="inlineStr">
        <is>
          <t>6300 E. 58th Ave</t>
        </is>
      </c>
      <c r="D52" s="44" t="inlineStr">
        <is>
          <t>Commerce City</t>
        </is>
      </c>
      <c r="E52" s="44" t="inlineStr">
        <is>
          <t>East I-70/270 (Commerce City)</t>
        </is>
      </c>
      <c r="F52" s="37" t="inlineStr">
        <is>
          <t>Industrial / Flex (multi-tenant)</t>
        </is>
      </c>
      <c r="G52" s="44" t="inlineStr">
        <is>
          <t>6340C</t>
        </is>
      </c>
      <c r="H52" s="37" t="inlineStr">
        <is>
          <t>Nevada Tap Master</t>
        </is>
      </c>
      <c r="I52" s="44" t="inlineStr">
        <is>
          <t>Actual lease</t>
        </is>
      </c>
      <c r="J52" s="44" t="inlineStr">
        <is>
          <t>Yes</t>
        </is>
      </c>
      <c r="K52" s="37" t="inlineStr">
        <is>
          <t>NNN</t>
        </is>
      </c>
      <c r="L52" s="48" t="n">
        <v>5000</v>
      </c>
      <c r="M52" s="49" t="n"/>
      <c r="N52" s="49" t="n">
        <v>50000</v>
      </c>
      <c r="O52" s="42" t="n">
        <v>10</v>
      </c>
      <c r="P52" s="42" t="n">
        <v>4.89</v>
      </c>
      <c r="Q52" s="42" t="n">
        <v>14.89</v>
      </c>
      <c r="R52" s="44" t="inlineStr">
        <is>
          <t>5/2024</t>
        </is>
      </c>
      <c r="S52" s="44" t="inlineStr">
        <is>
          <t>7/2029</t>
        </is>
      </c>
      <c r="T52" s="44" t="inlineStr">
        <is>
          <t>R0091931.pdf</t>
        </is>
      </c>
      <c r="U52" s="37" t="inlineStr">
        <is>
          <t>5,000 SF; recoveries $24,450 ($4.89/SF); gross rent $14.89/SF; replaced All American Records Management (modified gross) from the 6/30/2023 roll</t>
        </is>
      </c>
    </row>
    <row r="53">
      <c r="A53" s="44" t="inlineStr">
        <is>
          <t>R0091931</t>
        </is>
      </c>
      <c r="B53" s="37" t="inlineStr">
        <is>
          <t>6300 E. 58th Ave</t>
        </is>
      </c>
      <c r="C53" s="37" t="inlineStr">
        <is>
          <t>6300 E. 58th Ave</t>
        </is>
      </c>
      <c r="D53" s="44" t="inlineStr">
        <is>
          <t>Commerce City</t>
        </is>
      </c>
      <c r="E53" s="44" t="inlineStr">
        <is>
          <t>East I-70/270 (Commerce City)</t>
        </is>
      </c>
      <c r="F53" s="37" t="inlineStr">
        <is>
          <t>Industrial / Flex (multi-tenant)</t>
        </is>
      </c>
      <c r="G53" s="44" t="inlineStr">
        <is>
          <t>6340G</t>
        </is>
      </c>
      <c r="H53" s="37" t="inlineStr">
        <is>
          <t>Biotrans LLC</t>
        </is>
      </c>
      <c r="I53" s="44" t="inlineStr">
        <is>
          <t>Actual lease</t>
        </is>
      </c>
      <c r="J53" s="44" t="inlineStr">
        <is>
          <t>Yes</t>
        </is>
      </c>
      <c r="K53" s="37" t="inlineStr">
        <is>
          <t>NNN</t>
        </is>
      </c>
      <c r="L53" s="48" t="n">
        <v>5000</v>
      </c>
      <c r="M53" s="49" t="n"/>
      <c r="N53" s="49" t="n">
        <v>50000</v>
      </c>
      <c r="O53" s="42" t="n">
        <v>10</v>
      </c>
      <c r="P53" s="42" t="n">
        <v>4.96</v>
      </c>
      <c r="Q53" s="42" t="n">
        <v>14.96</v>
      </c>
      <c r="R53" s="44" t="inlineStr">
        <is>
          <t>5/2022</t>
        </is>
      </c>
      <c r="S53" s="44" t="inlineStr">
        <is>
          <t>5/2027</t>
        </is>
      </c>
      <c r="T53" s="44" t="inlineStr">
        <is>
          <t>R0091931.pdf</t>
        </is>
      </c>
      <c r="U53" s="37" t="inlineStr">
        <is>
          <t>5,000 SF; recoveries $24,800 ($4.96/SF); gross rent $14.96/SF</t>
        </is>
      </c>
    </row>
    <row r="54">
      <c r="A54" s="44" t="inlineStr">
        <is>
          <t>R0091931</t>
        </is>
      </c>
      <c r="B54" s="37" t="inlineStr">
        <is>
          <t>6300 E. 58th Ave</t>
        </is>
      </c>
      <c r="C54" s="37" t="inlineStr">
        <is>
          <t>6300 E. 58th Ave</t>
        </is>
      </c>
      <c r="D54" s="44" t="inlineStr">
        <is>
          <t>Commerce City</t>
        </is>
      </c>
      <c r="E54" s="44" t="inlineStr">
        <is>
          <t>East I-70/270 (Commerce City)</t>
        </is>
      </c>
      <c r="F54" s="37" t="inlineStr">
        <is>
          <t>Industrial / Flex (multi-tenant)</t>
        </is>
      </c>
      <c r="G54" s="44" t="inlineStr">
        <is>
          <t>6340I</t>
        </is>
      </c>
      <c r="H54" s="37" t="inlineStr">
        <is>
          <t>The Whiskey Cartel Inc</t>
        </is>
      </c>
      <c r="I54" s="44" t="inlineStr">
        <is>
          <t>Actual lease</t>
        </is>
      </c>
      <c r="J54" s="44" t="inlineStr">
        <is>
          <t>Yes</t>
        </is>
      </c>
      <c r="K54" s="37" t="inlineStr">
        <is>
          <t>NNN</t>
        </is>
      </c>
      <c r="L54" s="48" t="n">
        <v>2500</v>
      </c>
      <c r="M54" s="49" t="n"/>
      <c r="N54" s="49" t="n">
        <v>25000</v>
      </c>
      <c r="O54" s="42" t="n">
        <v>10</v>
      </c>
      <c r="P54" s="42" t="n">
        <v>4.89</v>
      </c>
      <c r="Q54" s="42" t="n">
        <v>14.89</v>
      </c>
      <c r="R54" s="44" t="inlineStr">
        <is>
          <t>5/2024</t>
        </is>
      </c>
      <c r="S54" s="44" t="inlineStr">
        <is>
          <t>4/2027</t>
        </is>
      </c>
      <c r="T54" s="44" t="inlineStr">
        <is>
          <t>R0091931.pdf</t>
        </is>
      </c>
      <c r="U54" s="37" t="inlineStr">
        <is>
          <t>2,500 SF; recoveries $12,225 ($4.89/SF); gross rent $14.89/SF</t>
        </is>
      </c>
    </row>
    <row r="55">
      <c r="A55" s="44" t="inlineStr">
        <is>
          <t>R0091931</t>
        </is>
      </c>
      <c r="B55" s="37" t="inlineStr">
        <is>
          <t>6300 E. 58th Ave</t>
        </is>
      </c>
      <c r="C55" s="37" t="inlineStr">
        <is>
          <t>6300 E. 58th Ave</t>
        </is>
      </c>
      <c r="D55" s="44" t="inlineStr">
        <is>
          <t>Commerce City</t>
        </is>
      </c>
      <c r="E55" s="44" t="inlineStr">
        <is>
          <t>East I-70/270 (Commerce City)</t>
        </is>
      </c>
      <c r="F55" s="37" t="inlineStr">
        <is>
          <t>Industrial / Flex (multi-tenant)</t>
        </is>
      </c>
      <c r="G55" s="44" t="inlineStr">
        <is>
          <t>6340J</t>
        </is>
      </c>
      <c r="H55" s="37" t="inlineStr">
        <is>
          <t>Anders Beverage LLC</t>
        </is>
      </c>
      <c r="I55" s="44" t="inlineStr">
        <is>
          <t>Actual lease</t>
        </is>
      </c>
      <c r="J55" s="44" t="inlineStr">
        <is>
          <t>Yes</t>
        </is>
      </c>
      <c r="K55" s="37" t="inlineStr">
        <is>
          <t>NNN</t>
        </is>
      </c>
      <c r="L55" s="48" t="n">
        <v>2500</v>
      </c>
      <c r="M55" s="49" t="n"/>
      <c r="N55" s="49" t="n">
        <v>25500</v>
      </c>
      <c r="O55" s="42" t="n">
        <v>10.2</v>
      </c>
      <c r="P55" s="42" t="n">
        <v>4.96</v>
      </c>
      <c r="Q55" s="42" t="n">
        <v>15.16</v>
      </c>
      <c r="R55" s="44" t="inlineStr">
        <is>
          <t>6/2020</t>
        </is>
      </c>
      <c r="S55" s="44" t="inlineStr">
        <is>
          <t>6/2025</t>
        </is>
      </c>
      <c r="T55" s="44" t="inlineStr">
        <is>
          <t>R0091931.pdf</t>
        </is>
      </c>
      <c r="U55" s="37" t="inlineStr">
        <is>
          <t>2,500 SF; recoveries $12,400 ($4.96/SF); gross rent $15.16/SF</t>
        </is>
      </c>
    </row>
    <row r="56">
      <c r="A56" s="44" t="inlineStr">
        <is>
          <t>R0091931</t>
        </is>
      </c>
      <c r="B56" s="37" t="inlineStr">
        <is>
          <t>6300 E. 58th Ave</t>
        </is>
      </c>
      <c r="C56" s="37" t="inlineStr">
        <is>
          <t>6300 E. 58th Ave</t>
        </is>
      </c>
      <c r="D56" s="44" t="inlineStr">
        <is>
          <t>Commerce City</t>
        </is>
      </c>
      <c r="E56" s="44" t="inlineStr">
        <is>
          <t>East I-70/270 (Commerce City)</t>
        </is>
      </c>
      <c r="F56" s="37" t="inlineStr">
        <is>
          <t>Industrial / Flex (multi-tenant)</t>
        </is>
      </c>
      <c r="G56" s="44" t="inlineStr">
        <is>
          <t>6340K</t>
        </is>
      </c>
      <c r="H56" s="37" t="inlineStr">
        <is>
          <t>Automotive Transmission Engineering Corp</t>
        </is>
      </c>
      <c r="I56" s="44" t="inlineStr">
        <is>
          <t>Actual lease</t>
        </is>
      </c>
      <c r="J56" s="44" t="inlineStr">
        <is>
          <t>Yes</t>
        </is>
      </c>
      <c r="K56" s="37" t="inlineStr">
        <is>
          <t>NNN</t>
        </is>
      </c>
      <c r="L56" s="48" t="n">
        <v>5000</v>
      </c>
      <c r="M56" s="49" t="n"/>
      <c r="N56" s="49" t="n">
        <v>50000</v>
      </c>
      <c r="O56" s="42" t="n">
        <v>10</v>
      </c>
      <c r="P56" s="42" t="n">
        <v>2.13</v>
      </c>
      <c r="Q56" s="42" t="n">
        <v>12.13</v>
      </c>
      <c r="R56" s="44" t="inlineStr">
        <is>
          <t>1/2023</t>
        </is>
      </c>
      <c r="S56" s="44" t="inlineStr">
        <is>
          <t>1/2026</t>
        </is>
      </c>
      <c r="T56" s="44" t="inlineStr">
        <is>
          <t>R0091931.pdf</t>
        </is>
      </c>
      <c r="U56" s="37" t="inlineStr">
        <is>
          <t>5,000 SF; recoveries $10,650 ($2.13/SF); gross rent $12.13/SF</t>
        </is>
      </c>
    </row>
    <row r="57">
      <c r="A57" s="44" t="inlineStr">
        <is>
          <t>R0091931</t>
        </is>
      </c>
      <c r="B57" s="37" t="inlineStr">
        <is>
          <t>6300 E. 58th Ave</t>
        </is>
      </c>
      <c r="C57" s="37" t="inlineStr">
        <is>
          <t>6300 E. 58th Ave</t>
        </is>
      </c>
      <c r="D57" s="44" t="inlineStr">
        <is>
          <t>Commerce City</t>
        </is>
      </c>
      <c r="E57" s="44" t="inlineStr">
        <is>
          <t>East I-70/270 (Commerce City)</t>
        </is>
      </c>
      <c r="F57" s="37" t="inlineStr">
        <is>
          <t>Industrial / Flex (multi-tenant)</t>
        </is>
      </c>
      <c r="G57" s="44" t="inlineStr">
        <is>
          <t>6360C</t>
        </is>
      </c>
      <c r="H57" s="37" t="inlineStr">
        <is>
          <t>5071 Inc</t>
        </is>
      </c>
      <c r="I57" s="44" t="inlineStr">
        <is>
          <t>Actual lease</t>
        </is>
      </c>
      <c r="J57" s="44" t="inlineStr">
        <is>
          <t>Yes</t>
        </is>
      </c>
      <c r="K57" s="37" t="inlineStr">
        <is>
          <t>Modified Gross</t>
        </is>
      </c>
      <c r="L57" s="48" t="n">
        <v>10000</v>
      </c>
      <c r="M57" s="49" t="n"/>
      <c r="N57" s="49" t="n">
        <v>120714</v>
      </c>
      <c r="O57" s="42" t="n">
        <v>12.07</v>
      </c>
      <c r="P57" s="42" t="n">
        <v>2.69</v>
      </c>
      <c r="Q57" s="42" t="n">
        <v>14.76</v>
      </c>
      <c r="R57" s="44" t="inlineStr">
        <is>
          <t>8/2018</t>
        </is>
      </c>
      <c r="S57" s="44" t="inlineStr">
        <is>
          <t>10/2026</t>
        </is>
      </c>
      <c r="T57" s="44" t="inlineStr">
        <is>
          <t>R0091931.pdf</t>
        </is>
      </c>
      <c r="U57" s="37" t="inlineStr">
        <is>
          <t>10,000 SF; recoveries $26,900 ($2.69/SF); gross rent $14.76/SF</t>
        </is>
      </c>
    </row>
    <row r="58">
      <c r="A58" s="44" t="inlineStr">
        <is>
          <t>R0091931</t>
        </is>
      </c>
      <c r="B58" s="37" t="inlineStr">
        <is>
          <t>6300 E. 58th Ave</t>
        </is>
      </c>
      <c r="C58" s="37" t="inlineStr">
        <is>
          <t>6300 E. 58th Ave</t>
        </is>
      </c>
      <c r="D58" s="44" t="inlineStr">
        <is>
          <t>Commerce City</t>
        </is>
      </c>
      <c r="E58" s="44" t="inlineStr">
        <is>
          <t>East I-70/270 (Commerce City)</t>
        </is>
      </c>
      <c r="F58" s="37" t="inlineStr">
        <is>
          <t>Industrial / Flex (multi-tenant)</t>
        </is>
      </c>
      <c r="G58" s="44" t="inlineStr">
        <is>
          <t>6360E</t>
        </is>
      </c>
      <c r="H58" s="37" t="inlineStr">
        <is>
          <t>Elite Custom Exteriors LLC</t>
        </is>
      </c>
      <c r="I58" s="44" t="inlineStr">
        <is>
          <t>Actual lease</t>
        </is>
      </c>
      <c r="J58" s="44" t="inlineStr">
        <is>
          <t>Yes</t>
        </is>
      </c>
      <c r="K58" s="37" t="inlineStr">
        <is>
          <t>Modified Gross</t>
        </is>
      </c>
      <c r="L58" s="48" t="n">
        <v>7500</v>
      </c>
      <c r="M58" s="49" t="n"/>
      <c r="N58" s="49" t="n">
        <v>97500</v>
      </c>
      <c r="O58" s="42" t="n">
        <v>13</v>
      </c>
      <c r="P58" s="42" t="n">
        <v>3.07</v>
      </c>
      <c r="Q58" s="42" t="n">
        <v>16.07</v>
      </c>
      <c r="R58" s="44" t="inlineStr">
        <is>
          <t>6/2014</t>
        </is>
      </c>
      <c r="S58" s="44" t="inlineStr">
        <is>
          <t>9/2024</t>
        </is>
      </c>
      <c r="T58" s="44" t="inlineStr">
        <is>
          <t>R0091931.pdf</t>
        </is>
      </c>
      <c r="U58" s="37" t="inlineStr">
        <is>
          <t>7,500 SF; recoveries $23,025 ($3.07/SF); gross rent $16.07/SF; above-market older lease</t>
        </is>
      </c>
    </row>
    <row r="59">
      <c r="A59" s="44" t="inlineStr">
        <is>
          <t>R0091931</t>
        </is>
      </c>
      <c r="B59" s="37" t="inlineStr">
        <is>
          <t>6300 E. 58th Ave</t>
        </is>
      </c>
      <c r="C59" s="37" t="inlineStr">
        <is>
          <t>6300 E. 58th Ave</t>
        </is>
      </c>
      <c r="D59" s="44" t="inlineStr">
        <is>
          <t>Commerce City</t>
        </is>
      </c>
      <c r="E59" s="44" t="inlineStr">
        <is>
          <t>East I-70/270 (Commerce City)</t>
        </is>
      </c>
      <c r="F59" s="37" t="inlineStr">
        <is>
          <t>Industrial / Flex (multi-tenant)</t>
        </is>
      </c>
      <c r="G59" s="44" t="inlineStr">
        <is>
          <t>6360H</t>
        </is>
      </c>
      <c r="H59" s="37" t="inlineStr">
        <is>
          <t>Whole Harvest LLC</t>
        </is>
      </c>
      <c r="I59" s="44" t="inlineStr">
        <is>
          <t>Actual lease</t>
        </is>
      </c>
      <c r="J59" s="44" t="inlineStr">
        <is>
          <t>Yes</t>
        </is>
      </c>
      <c r="K59" s="37" t="inlineStr">
        <is>
          <t>NNN</t>
        </is>
      </c>
      <c r="L59" s="48" t="n">
        <v>12820</v>
      </c>
      <c r="M59" s="49" t="n"/>
      <c r="N59" s="49" t="n">
        <v>134610</v>
      </c>
      <c r="O59" s="42" t="n">
        <v>10.5</v>
      </c>
      <c r="P59" s="42" t="n">
        <v>5.26</v>
      </c>
      <c r="Q59" s="42" t="n">
        <v>15.76</v>
      </c>
      <c r="R59" s="44" t="inlineStr">
        <is>
          <t>11/2022</t>
        </is>
      </c>
      <c r="S59" s="44" t="inlineStr">
        <is>
          <t>12/2025</t>
        </is>
      </c>
      <c r="T59" s="44" t="inlineStr">
        <is>
          <t>R0091931.pdf</t>
        </is>
      </c>
      <c r="U59" s="37" t="inlineStr">
        <is>
          <t>12,820 SF; recoveries $67,433 ($5.26/SF); gross rent $15.76/SF</t>
        </is>
      </c>
    </row>
    <row r="60">
      <c r="A60" s="44" t="inlineStr">
        <is>
          <t>R0091933</t>
        </is>
      </c>
      <c r="B60" s="37" t="inlineStr">
        <is>
          <t>5800 E. 58th Ave</t>
        </is>
      </c>
      <c r="C60" s="37" t="inlineStr">
        <is>
          <t>5800 E. 58th Ave</t>
        </is>
      </c>
      <c r="D60" s="44" t="inlineStr">
        <is>
          <t>Commerce City</t>
        </is>
      </c>
      <c r="E60" s="44" t="inlineStr">
        <is>
          <t>East I-70/270 (Commerce City)</t>
        </is>
      </c>
      <c r="F60" s="37" t="inlineStr">
        <is>
          <t>Industrial / Flex (multi-tenant)</t>
        </is>
      </c>
      <c r="G60" s="44" t="inlineStr">
        <is>
          <t>5800A</t>
        </is>
      </c>
      <c r="H60" s="37" t="inlineStr">
        <is>
          <t>Solabev LLC</t>
        </is>
      </c>
      <c r="I60" s="44" t="inlineStr">
        <is>
          <t>Actual lease</t>
        </is>
      </c>
      <c r="J60" s="44" t="inlineStr">
        <is>
          <t>Yes</t>
        </is>
      </c>
      <c r="K60" s="37" t="inlineStr">
        <is>
          <t>Modified Gross</t>
        </is>
      </c>
      <c r="L60" s="48" t="n">
        <v>7500</v>
      </c>
      <c r="M60" s="49" t="n"/>
      <c r="N60" s="49" t="n">
        <v>99375</v>
      </c>
      <c r="O60" s="42" t="n">
        <v>13.25</v>
      </c>
      <c r="P60" s="42" t="n">
        <v>2.26</v>
      </c>
      <c r="Q60" s="42" t="n">
        <v>15.51</v>
      </c>
      <c r="R60" s="44" t="inlineStr">
        <is>
          <t>10/2014</t>
        </is>
      </c>
      <c r="S60" s="44" t="inlineStr">
        <is>
          <t>12/2025</t>
        </is>
      </c>
      <c r="T60" s="44" t="inlineStr">
        <is>
          <t>R0091933.pdf</t>
        </is>
      </c>
      <c r="U60" s="37" t="inlineStr">
        <is>
          <t>7,500 SF; recoveries $16,950 ($2.26/SF); gross rent $15.51/SF</t>
        </is>
      </c>
    </row>
    <row r="61">
      <c r="A61" s="44" t="inlineStr">
        <is>
          <t>R0091933</t>
        </is>
      </c>
      <c r="B61" s="37" t="inlineStr">
        <is>
          <t>5800 E. 58th Ave</t>
        </is>
      </c>
      <c r="C61" s="37" t="inlineStr">
        <is>
          <t>5800 E. 58th Ave</t>
        </is>
      </c>
      <c r="D61" s="44" t="inlineStr">
        <is>
          <t>Commerce City</t>
        </is>
      </c>
      <c r="E61" s="44" t="inlineStr">
        <is>
          <t>East I-70/270 (Commerce City)</t>
        </is>
      </c>
      <c r="F61" s="37" t="inlineStr">
        <is>
          <t>Industrial / Flex (multi-tenant)</t>
        </is>
      </c>
      <c r="G61" s="44" t="inlineStr">
        <is>
          <t>5800E</t>
        </is>
      </c>
      <c r="H61" s="37" t="inlineStr">
        <is>
          <t>Industrial Resources Inc</t>
        </is>
      </c>
      <c r="I61" s="44" t="inlineStr">
        <is>
          <t>Actual lease</t>
        </is>
      </c>
      <c r="J61" s="44" t="inlineStr">
        <is>
          <t>Yes</t>
        </is>
      </c>
      <c r="K61" s="37" t="inlineStr">
        <is>
          <t>Modified Gross</t>
        </is>
      </c>
      <c r="L61" s="48" t="n">
        <v>7500</v>
      </c>
      <c r="M61" s="49" t="n"/>
      <c r="N61" s="49" t="n">
        <v>86250</v>
      </c>
      <c r="O61" s="42" t="n">
        <v>11.5</v>
      </c>
      <c r="P61" s="42" t="n">
        <v>2.42</v>
      </c>
      <c r="Q61" s="42" t="n">
        <v>13.92</v>
      </c>
      <c r="R61" s="44" t="inlineStr">
        <is>
          <t>5/2018</t>
        </is>
      </c>
      <c r="S61" s="44" t="inlineStr">
        <is>
          <t>5/2028</t>
        </is>
      </c>
      <c r="T61" s="44" t="inlineStr">
        <is>
          <t>R0091933.pdf</t>
        </is>
      </c>
      <c r="U61" s="37" t="inlineStr">
        <is>
          <t>7,500 SF; recoveries $18,150 ($2.42/SF); gross rent $13.92/SF</t>
        </is>
      </c>
    </row>
    <row r="62">
      <c r="A62" s="44" t="inlineStr">
        <is>
          <t>R0091933</t>
        </is>
      </c>
      <c r="B62" s="37" t="inlineStr">
        <is>
          <t>5800 E. 58th Ave</t>
        </is>
      </c>
      <c r="C62" s="37" t="inlineStr">
        <is>
          <t>5800 E. 58th Ave</t>
        </is>
      </c>
      <c r="D62" s="44" t="inlineStr">
        <is>
          <t>Commerce City</t>
        </is>
      </c>
      <c r="E62" s="44" t="inlineStr">
        <is>
          <t>East I-70/270 (Commerce City)</t>
        </is>
      </c>
      <c r="F62" s="37" t="inlineStr">
        <is>
          <t>Industrial / Flex (multi-tenant)</t>
        </is>
      </c>
      <c r="G62" s="44" t="inlineStr">
        <is>
          <t>5800K</t>
        </is>
      </c>
      <c r="H62" s="37" t="inlineStr">
        <is>
          <t>Heritage Window Restoration LLC</t>
        </is>
      </c>
      <c r="I62" s="44" t="inlineStr">
        <is>
          <t>Actual lease</t>
        </is>
      </c>
      <c r="J62" s="44" t="inlineStr">
        <is>
          <t>Yes</t>
        </is>
      </c>
      <c r="K62" s="37" t="inlineStr">
        <is>
          <t>Modified Gross</t>
        </is>
      </c>
      <c r="L62" s="48" t="n">
        <v>11500</v>
      </c>
      <c r="M62" s="49" t="n"/>
      <c r="N62" s="49" t="n">
        <v>135125</v>
      </c>
      <c r="O62" s="42" t="n">
        <v>11.75</v>
      </c>
      <c r="P62" s="42" t="n">
        <v>2.85</v>
      </c>
      <c r="Q62" s="42" t="n">
        <v>14.6</v>
      </c>
      <c r="R62" s="44" t="inlineStr">
        <is>
          <t>9/2016</t>
        </is>
      </c>
      <c r="S62" s="44" t="inlineStr">
        <is>
          <t>10/2025</t>
        </is>
      </c>
      <c r="T62" s="44" t="inlineStr">
        <is>
          <t>R0091933.pdf</t>
        </is>
      </c>
      <c r="U62" s="37" t="inlineStr">
        <is>
          <t>11,500 SF; recoveries $32,775 ($2.85/SF); gross rent $14.60/SF</t>
        </is>
      </c>
    </row>
    <row r="63">
      <c r="A63" s="50" t="inlineStr">
        <is>
          <t>R0091933</t>
        </is>
      </c>
      <c r="B63" s="51" t="inlineStr">
        <is>
          <t>5800 E. 58th Ave</t>
        </is>
      </c>
      <c r="C63" s="51" t="inlineStr">
        <is>
          <t>5800 E. 58th Ave</t>
        </is>
      </c>
      <c r="D63" s="50" t="inlineStr">
        <is>
          <t>Commerce City</t>
        </is>
      </c>
      <c r="E63" s="50" t="inlineStr">
        <is>
          <t>East I-70/270 (Commerce City)</t>
        </is>
      </c>
      <c r="F63" s="51" t="inlineStr">
        <is>
          <t>Industrial / Flex (multi-tenant)</t>
        </is>
      </c>
      <c r="G63" s="50" t="inlineStr">
        <is>
          <t>5880G</t>
        </is>
      </c>
      <c r="H63" s="51" t="inlineStr">
        <is>
          <t>VACANT</t>
        </is>
      </c>
      <c r="I63" s="50" t="inlineStr">
        <is>
          <t>Vacant unit</t>
        </is>
      </c>
      <c r="J63" s="50" t="inlineStr">
        <is>
          <t>Yes</t>
        </is>
      </c>
      <c r="K63" s="51" t="inlineStr">
        <is>
          <t>—</t>
        </is>
      </c>
      <c r="L63" s="52" t="n">
        <v>2500</v>
      </c>
      <c r="M63" s="53" t="n"/>
      <c r="N63" s="53" t="n"/>
      <c r="O63" s="54" t="n"/>
      <c r="P63" s="54" t="n"/>
      <c r="Q63" s="54" t="n"/>
      <c r="R63" s="50" t="inlineStr">
        <is>
          <t>—</t>
        </is>
      </c>
      <c r="S63" s="50" t="inlineStr">
        <is>
          <t>—</t>
        </is>
      </c>
      <c r="T63" s="50" t="inlineStr">
        <is>
          <t>R0091933.pdf</t>
        </is>
      </c>
      <c r="U63" s="51" t="inlineStr">
        <is>
          <t>2,500 SF vacant (9% of 29,000 SF total); market rent forecast $11.00/SF net + $5.00/SF expenses = $16.00/SF; prior tenant Unloading Services Inc (NNN) on the 6/30/2023 roll</t>
        </is>
      </c>
    </row>
    <row r="64">
      <c r="A64" s="44" t="inlineStr">
        <is>
          <t>R0092711 (+ R0181935)</t>
        </is>
      </c>
      <c r="B64" s="37" t="inlineStr">
        <is>
          <t>6701 E. 50th Ave</t>
        </is>
      </c>
      <c r="C64" s="37" t="inlineStr">
        <is>
          <t>6701 E. 50th Ave</t>
        </is>
      </c>
      <c r="D64" s="44" t="inlineStr">
        <is>
          <t>Commerce City</t>
        </is>
      </c>
      <c r="E64" s="44" t="inlineStr">
        <is>
          <t>East I-70/270 (Commerce City)</t>
        </is>
      </c>
      <c r="F64" s="37" t="inlineStr">
        <is>
          <t>Industrial - Warehouse (multi-tenant)</t>
        </is>
      </c>
      <c r="G64" s="44" t="inlineStr">
        <is>
          <t>496-6701AB-CU</t>
        </is>
      </c>
      <c r="H64" s="37" t="inlineStr">
        <is>
          <t>Environmental Materials</t>
        </is>
      </c>
      <c r="I64" s="44" t="inlineStr">
        <is>
          <t>Actual lease</t>
        </is>
      </c>
      <c r="J64" s="44" t="inlineStr">
        <is>
          <t>Yes</t>
        </is>
      </c>
      <c r="K64" s="37" t="inlineStr">
        <is>
          <t>NNN (base + recoveries)</t>
        </is>
      </c>
      <c r="L64" s="48" t="n">
        <v>6127</v>
      </c>
      <c r="M64" s="49" t="n">
        <v>4339.96</v>
      </c>
      <c r="N64" s="49" t="n">
        <v>52079.52</v>
      </c>
      <c r="O64" s="42" t="n">
        <v>8.5</v>
      </c>
      <c r="P64" s="42" t="n">
        <v>4.27</v>
      </c>
      <c r="Q64" s="42" t="n">
        <v>12.77</v>
      </c>
      <c r="R64" s="44" t="inlineStr">
        <is>
          <t>4/1/2020</t>
        </is>
      </c>
      <c r="S64" s="44" t="inlineStr">
        <is>
          <t>2/28/2025</t>
        </is>
      </c>
      <c r="T64" s="44" t="inlineStr">
        <is>
          <t>R0092711.pdf</t>
        </is>
      </c>
      <c r="U64" s="37" t="inlineStr">
        <is>
          <t>6,127 SF; recoveries/mo: op-exp $847.00 ($1.66/SF), RE tax $1,242.00 ($2.43/SF), other $90.00 ($0.18/SF); gross $6,518.96/mo ($12.77/SF)</t>
        </is>
      </c>
    </row>
    <row r="65">
      <c r="A65" s="44" t="inlineStr">
        <is>
          <t>R0092711 (+ R0181935)</t>
        </is>
      </c>
      <c r="B65" s="37" t="inlineStr">
        <is>
          <t>6701 E. 50th Ave</t>
        </is>
      </c>
      <c r="C65" s="37" t="inlineStr">
        <is>
          <t>6701 E. 50th Ave</t>
        </is>
      </c>
      <c r="D65" s="44" t="inlineStr">
        <is>
          <t>Commerce City</t>
        </is>
      </c>
      <c r="E65" s="44" t="inlineStr">
        <is>
          <t>East I-70/270 (Commerce City)</t>
        </is>
      </c>
      <c r="F65" s="37" t="inlineStr">
        <is>
          <t>Industrial - Warehouse (multi-tenant)</t>
        </is>
      </c>
      <c r="G65" s="44" t="inlineStr">
        <is>
          <t>496-6707-CU</t>
        </is>
      </c>
      <c r="H65" s="37" t="inlineStr">
        <is>
          <t>Environmental Materials LLC</t>
        </is>
      </c>
      <c r="I65" s="44" t="inlineStr">
        <is>
          <t>Actual lease</t>
        </is>
      </c>
      <c r="J65" s="44" t="inlineStr">
        <is>
          <t>Yes</t>
        </is>
      </c>
      <c r="K65" s="37" t="inlineStr">
        <is>
          <t>NNN (base + recoveries)</t>
        </is>
      </c>
      <c r="L65" s="48" t="n">
        <v>16049</v>
      </c>
      <c r="M65" s="49" t="n">
        <v>9442.16</v>
      </c>
      <c r="N65" s="49" t="n">
        <v>113305.92</v>
      </c>
      <c r="O65" s="42" t="n">
        <v>7.06</v>
      </c>
      <c r="P65" s="42" t="n">
        <v>4.27</v>
      </c>
      <c r="Q65" s="42" t="n">
        <v>11.33</v>
      </c>
      <c r="R65" s="44" t="inlineStr">
        <is>
          <t>1/1/2017</t>
        </is>
      </c>
      <c r="S65" s="44" t="inlineStr">
        <is>
          <t>2/28/2025</t>
        </is>
      </c>
      <c r="T65" s="44" t="inlineStr">
        <is>
          <t>R0092711.pdf</t>
        </is>
      </c>
      <c r="U65" s="37" t="inlineStr">
        <is>
          <t>16,049 SF; recoveries/mo: op-exp $2,218.00 ($1.66/SF), RE tax $3,253.00 ($2.43/SF), other $235.00 ($0.18/SF); gross $15,148.16/mo ($11.33/SF)</t>
        </is>
      </c>
    </row>
    <row r="66">
      <c r="A66" s="44" t="inlineStr">
        <is>
          <t>R0092711 (+ R0181935)</t>
        </is>
      </c>
      <c r="B66" s="37" t="inlineStr">
        <is>
          <t>6701 E. 50th Ave</t>
        </is>
      </c>
      <c r="C66" s="37" t="inlineStr">
        <is>
          <t>6701 E. 50th Ave</t>
        </is>
      </c>
      <c r="D66" s="44" t="inlineStr">
        <is>
          <t>Commerce City</t>
        </is>
      </c>
      <c r="E66" s="44" t="inlineStr">
        <is>
          <t>East I-70/270 (Commerce City)</t>
        </is>
      </c>
      <c r="F66" s="37" t="inlineStr">
        <is>
          <t>Industrial - Warehouse (multi-tenant)</t>
        </is>
      </c>
      <c r="G66" s="44" t="inlineStr">
        <is>
          <t>496-6717-CU</t>
        </is>
      </c>
      <c r="H66" s="37" t="inlineStr">
        <is>
          <t>Comunidad Latina LLC</t>
        </is>
      </c>
      <c r="I66" s="44" t="inlineStr">
        <is>
          <t>Actual lease</t>
        </is>
      </c>
      <c r="J66" s="44" t="inlineStr">
        <is>
          <t>Yes</t>
        </is>
      </c>
      <c r="K66" s="37" t="inlineStr">
        <is>
          <t>NNN (base + recoveries)</t>
        </is>
      </c>
      <c r="L66" s="48" t="n">
        <v>12816</v>
      </c>
      <c r="M66" s="49" t="n">
        <v>8277</v>
      </c>
      <c r="N66" s="49" t="n">
        <v>99324</v>
      </c>
      <c r="O66" s="42" t="n">
        <v>7.75</v>
      </c>
      <c r="P66" s="42" t="n">
        <v>4.27</v>
      </c>
      <c r="Q66" s="42" t="n">
        <v>12.02</v>
      </c>
      <c r="R66" s="44" t="inlineStr">
        <is>
          <t>5/3/2024</t>
        </is>
      </c>
      <c r="S66" s="44" t="inlineStr">
        <is>
          <t>4/30/2029</t>
        </is>
      </c>
      <c r="T66" s="44" t="inlineStr">
        <is>
          <t>R0092711.pdf</t>
        </is>
      </c>
      <c r="U66" s="37" t="inlineStr">
        <is>
          <t>12,816 SF; recoveries/mo: op-exp $1,772.88 ($1.66/SF), RE tax $2,595.24 ($2.43/SF), other $192.24 ($0.18/SF); gross $12,837.36/mo ($12.02/SF)</t>
        </is>
      </c>
    </row>
    <row r="67">
      <c r="A67" s="44" t="inlineStr">
        <is>
          <t>R0092711 (+ R0181935)</t>
        </is>
      </c>
      <c r="B67" s="37" t="inlineStr">
        <is>
          <t>6701 E. 50th Ave</t>
        </is>
      </c>
      <c r="C67" s="37" t="inlineStr">
        <is>
          <t>6701 E. 50th Ave</t>
        </is>
      </c>
      <c r="D67" s="44" t="inlineStr">
        <is>
          <t>Commerce City</t>
        </is>
      </c>
      <c r="E67" s="44" t="inlineStr">
        <is>
          <t>East I-70/270 (Commerce City)</t>
        </is>
      </c>
      <c r="F67" s="37" t="inlineStr">
        <is>
          <t>Industrial - Warehouse (multi-tenant)</t>
        </is>
      </c>
      <c r="G67" s="44" t="inlineStr">
        <is>
          <t>496-6723-CU</t>
        </is>
      </c>
      <c r="H67" s="37" t="inlineStr">
        <is>
          <t>Lockwood Facades Inc</t>
        </is>
      </c>
      <c r="I67" s="44" t="inlineStr">
        <is>
          <t>Actual lease</t>
        </is>
      </c>
      <c r="J67" s="44" t="inlineStr">
        <is>
          <t>Yes</t>
        </is>
      </c>
      <c r="K67" s="37" t="inlineStr">
        <is>
          <t>NNN (base + recoveries)</t>
        </is>
      </c>
      <c r="L67" s="48" t="n">
        <v>11884</v>
      </c>
      <c r="M67" s="49" t="n">
        <v>7625.57</v>
      </c>
      <c r="N67" s="49" t="n">
        <v>91506.84</v>
      </c>
      <c r="O67" s="42" t="n">
        <v>7.7</v>
      </c>
      <c r="P67" s="42" t="n">
        <v>4.27</v>
      </c>
      <c r="Q67" s="42" t="n">
        <v>11.97</v>
      </c>
      <c r="R67" s="44" t="inlineStr">
        <is>
          <t>5/1/2018</t>
        </is>
      </c>
      <c r="S67" s="44" t="inlineStr">
        <is>
          <t>4/30/2026</t>
        </is>
      </c>
      <c r="T67" s="44" t="inlineStr">
        <is>
          <t>R0092711.pdf</t>
        </is>
      </c>
      <c r="U67" s="37" t="inlineStr">
        <is>
          <t>11,884 SF; recoveries/mo: op-exp $1,643.00 ($1.66/SF), RE tax $2,409.00 ($2.43/SF), other $174.00 ($0.18/SF); gross $11,851.57/mo ($11.97/SF)</t>
        </is>
      </c>
    </row>
    <row r="68">
      <c r="A68" s="44" t="inlineStr">
        <is>
          <t>R0092711 (+ R0181935)</t>
        </is>
      </c>
      <c r="B68" s="37" t="inlineStr">
        <is>
          <t>6701 E. 50th Ave</t>
        </is>
      </c>
      <c r="C68" s="37" t="inlineStr">
        <is>
          <t>6701 E. 50th Ave</t>
        </is>
      </c>
      <c r="D68" s="44" t="inlineStr">
        <is>
          <t>Commerce City</t>
        </is>
      </c>
      <c r="E68" s="44" t="inlineStr">
        <is>
          <t>East I-70/270 (Commerce City)</t>
        </is>
      </c>
      <c r="F68" s="37" t="inlineStr">
        <is>
          <t>Industrial - Warehouse (multi-tenant)</t>
        </is>
      </c>
      <c r="G68" s="44" t="inlineStr">
        <is>
          <t>496-6727-CU</t>
        </is>
      </c>
      <c r="H68" s="37" t="inlineStr">
        <is>
          <t>True World Foods</t>
        </is>
      </c>
      <c r="I68" s="44" t="inlineStr">
        <is>
          <t>Actual lease</t>
        </is>
      </c>
      <c r="J68" s="44" t="inlineStr">
        <is>
          <t>Yes</t>
        </is>
      </c>
      <c r="K68" s="37" t="inlineStr">
        <is>
          <t>NNN (base + recoveries)</t>
        </is>
      </c>
      <c r="L68" s="48" t="n">
        <v>11128</v>
      </c>
      <c r="M68" s="49" t="n">
        <v>8288.040000000001</v>
      </c>
      <c r="N68" s="49" t="n">
        <v>79565.16</v>
      </c>
      <c r="O68" s="42" t="n">
        <v>7.15</v>
      </c>
      <c r="P68" s="42" t="n">
        <v>4.27</v>
      </c>
      <c r="Q68" s="42" t="n">
        <v>11.42</v>
      </c>
      <c r="R68" s="44" t="inlineStr">
        <is>
          <t>5/1/2016</t>
        </is>
      </c>
      <c r="S68" s="44" t="inlineStr">
        <is>
          <t>4/30/2024</t>
        </is>
      </c>
      <c r="T68" s="44" t="inlineStr">
        <is>
          <t>R0092711.pdf</t>
        </is>
      </c>
      <c r="U68" s="37" t="inlineStr">
        <is>
          <t>11,128 SF; recoveries/mo: op-exp $1,538.00 ($1.66/SF), RE tax $2,256.00 ($2.43/SF), other $163.00 ($0.18/SF); gross $10,587.43/mo ($11.42/SF); lease expired 4/30/2024 — holdover; prorated annual reflects the 5/1/2023 step to $6,630.43/mo</t>
        </is>
      </c>
    </row>
    <row r="69">
      <c r="A69" s="44" t="inlineStr">
        <is>
          <t>R0092711 (+ R0181935)</t>
        </is>
      </c>
      <c r="B69" s="37" t="inlineStr">
        <is>
          <t>6701 E. 50th Ave</t>
        </is>
      </c>
      <c r="C69" s="37" t="inlineStr">
        <is>
          <t>6701 E. 50th Ave</t>
        </is>
      </c>
      <c r="D69" s="44" t="inlineStr">
        <is>
          <t>Commerce City</t>
        </is>
      </c>
      <c r="E69" s="44" t="inlineStr">
        <is>
          <t>East I-70/270 (Commerce City)</t>
        </is>
      </c>
      <c r="F69" s="37" t="inlineStr">
        <is>
          <t>Industrial - Warehouse (multi-tenant)</t>
        </is>
      </c>
      <c r="G69" s="44" t="inlineStr">
        <is>
          <t>496-6731A-CU</t>
        </is>
      </c>
      <c r="H69" s="37" t="inlineStr">
        <is>
          <t>1-800 Hansons LLC</t>
        </is>
      </c>
      <c r="I69" s="44" t="inlineStr">
        <is>
          <t>Actual lease</t>
        </is>
      </c>
      <c r="J69" s="44" t="inlineStr">
        <is>
          <t>Yes</t>
        </is>
      </c>
      <c r="K69" s="37" t="inlineStr">
        <is>
          <t>NNN (base + recoveries)</t>
        </is>
      </c>
      <c r="L69" s="48" t="n">
        <v>7200</v>
      </c>
      <c r="M69" s="49" t="n">
        <v>4944</v>
      </c>
      <c r="N69" s="49" t="n">
        <v>59328</v>
      </c>
      <c r="O69" s="42" t="n">
        <v>8.24</v>
      </c>
      <c r="P69" s="42" t="n">
        <v>4.27</v>
      </c>
      <c r="Q69" s="42" t="n">
        <v>12.51</v>
      </c>
      <c r="R69" s="44" t="inlineStr">
        <is>
          <t>7/1/2023</t>
        </is>
      </c>
      <c r="S69" s="44" t="inlineStr">
        <is>
          <t>6/30/2026</t>
        </is>
      </c>
      <c r="T69" s="44" t="inlineStr">
        <is>
          <t>R0092711.pdf</t>
        </is>
      </c>
      <c r="U69" s="37" t="inlineStr">
        <is>
          <t>7,200 SF; recoveries/mo: op-exp $995.00 ($1.66/SF), RE tax $1,459.00 ($2.43/SF), other $105.00 ($0.18/SF); gross $7,503.00/mo ($12.51/SF)</t>
        </is>
      </c>
    </row>
    <row r="70">
      <c r="A70" s="44" t="inlineStr">
        <is>
          <t>R0092711 (+ R0181935)</t>
        </is>
      </c>
      <c r="B70" s="37" t="inlineStr">
        <is>
          <t>6701 E. 50th Ave</t>
        </is>
      </c>
      <c r="C70" s="37" t="inlineStr">
        <is>
          <t>6701 E. 50th Ave</t>
        </is>
      </c>
      <c r="D70" s="44" t="inlineStr">
        <is>
          <t>Commerce City</t>
        </is>
      </c>
      <c r="E70" s="44" t="inlineStr">
        <is>
          <t>East I-70/270 (Commerce City)</t>
        </is>
      </c>
      <c r="F70" s="37" t="inlineStr">
        <is>
          <t>Industrial - Warehouse (multi-tenant)</t>
        </is>
      </c>
      <c r="G70" s="44" t="inlineStr">
        <is>
          <t>496-6731B-CU</t>
        </is>
      </c>
      <c r="H70" s="37" t="inlineStr">
        <is>
          <t>One Clear Choice</t>
        </is>
      </c>
      <c r="I70" s="44" t="inlineStr">
        <is>
          <t>Actual lease</t>
        </is>
      </c>
      <c r="J70" s="44" t="inlineStr">
        <is>
          <t>Yes</t>
        </is>
      </c>
      <c r="K70" s="37" t="inlineStr">
        <is>
          <t>NNN (base + recoveries)</t>
        </is>
      </c>
      <c r="L70" s="48" t="n">
        <v>8217</v>
      </c>
      <c r="M70" s="49" t="n">
        <v>5478</v>
      </c>
      <c r="N70" s="49" t="n">
        <v>65736</v>
      </c>
      <c r="O70" s="42" t="n">
        <v>8</v>
      </c>
      <c r="P70" s="42" t="n">
        <v>4.27</v>
      </c>
      <c r="Q70" s="42" t="n">
        <v>12.27</v>
      </c>
      <c r="R70" s="44" t="inlineStr">
        <is>
          <t>4/1/2022</t>
        </is>
      </c>
      <c r="S70" s="44" t="inlineStr">
        <is>
          <t>3/31/2026</t>
        </is>
      </c>
      <c r="T70" s="44" t="inlineStr">
        <is>
          <t>R0092711.pdf</t>
        </is>
      </c>
      <c r="U70" s="37" t="inlineStr">
        <is>
          <t>8,217 SF; recoveries/mo: op-exp $1,136.00 ($1.66/SF), RE tax $1,666.00 ($2.43/SF), other $120.00 ($0.18/SF); gross $8,400.00/mo ($12.27/SF)</t>
        </is>
      </c>
    </row>
    <row r="71">
      <c r="A71" s="44" t="inlineStr">
        <is>
          <t>R0092711 (+ R0181935)</t>
        </is>
      </c>
      <c r="B71" s="37" t="inlineStr">
        <is>
          <t>6701 E. 50th Ave</t>
        </is>
      </c>
      <c r="C71" s="37" t="inlineStr">
        <is>
          <t>6701 E. 50th Ave</t>
        </is>
      </c>
      <c r="D71" s="44" t="inlineStr">
        <is>
          <t>Commerce City</t>
        </is>
      </c>
      <c r="E71" s="44" t="inlineStr">
        <is>
          <t>East I-70/270 (Commerce City)</t>
        </is>
      </c>
      <c r="F71" s="37" t="inlineStr">
        <is>
          <t>Industrial - Warehouse (multi-tenant)</t>
        </is>
      </c>
      <c r="G71" s="44" t="inlineStr">
        <is>
          <t>496-6735-CU</t>
        </is>
      </c>
      <c r="H71" s="37" t="inlineStr">
        <is>
          <t>Squeezed Colorado LLC</t>
        </is>
      </c>
      <c r="I71" s="44" t="inlineStr">
        <is>
          <t>Actual lease</t>
        </is>
      </c>
      <c r="J71" s="44" t="inlineStr">
        <is>
          <t>Yes</t>
        </is>
      </c>
      <c r="K71" s="37" t="inlineStr">
        <is>
          <t>NNN (base + recoveries)</t>
        </is>
      </c>
      <c r="L71" s="48" t="n">
        <v>3583</v>
      </c>
      <c r="M71" s="49" t="n">
        <v>2335.6</v>
      </c>
      <c r="N71" s="49" t="n">
        <v>28027.2</v>
      </c>
      <c r="O71" s="42" t="n">
        <v>7.82</v>
      </c>
      <c r="P71" s="42" t="n">
        <v>4.27</v>
      </c>
      <c r="Q71" s="42" t="n">
        <v>12.1</v>
      </c>
      <c r="R71" s="44" t="inlineStr">
        <is>
          <t>9/1/2020</t>
        </is>
      </c>
      <c r="S71" s="44" t="inlineStr">
        <is>
          <t>10/31/2025</t>
        </is>
      </c>
      <c r="T71" s="44" t="inlineStr">
        <is>
          <t>R0092711.pdf</t>
        </is>
      </c>
      <c r="U71" s="37" t="inlineStr">
        <is>
          <t>3,583 SF; recoveries/mo: op-exp $495.00 ($1.66/SF), RE tax $726.00 ($2.43/SF), other $55.00 ($0.18/SF); gross $3,611.60/mo ($12.1/SF)</t>
        </is>
      </c>
    </row>
    <row r="72">
      <c r="A72" s="44" t="inlineStr">
        <is>
          <t>R0092711 (+ R0181935)</t>
        </is>
      </c>
      <c r="B72" s="37" t="inlineStr">
        <is>
          <t>6701 E. 50th Ave</t>
        </is>
      </c>
      <c r="C72" s="37" t="inlineStr">
        <is>
          <t>6701 E. 50th Ave</t>
        </is>
      </c>
      <c r="D72" s="44" t="inlineStr">
        <is>
          <t>Commerce City</t>
        </is>
      </c>
      <c r="E72" s="44" t="inlineStr">
        <is>
          <t>East I-70/270 (Commerce City)</t>
        </is>
      </c>
      <c r="F72" s="37" t="inlineStr">
        <is>
          <t>Industrial - Warehouse (multi-tenant)</t>
        </is>
      </c>
      <c r="G72" s="44" t="inlineStr">
        <is>
          <t>496-6741-CU</t>
        </is>
      </c>
      <c r="H72" s="37" t="inlineStr">
        <is>
          <t>Wizbang Solutions</t>
        </is>
      </c>
      <c r="I72" s="44" t="inlineStr">
        <is>
          <t>Actual lease</t>
        </is>
      </c>
      <c r="J72" s="44" t="inlineStr">
        <is>
          <t>Yes</t>
        </is>
      </c>
      <c r="K72" s="37" t="inlineStr">
        <is>
          <t>NNN (base + recoveries)</t>
        </is>
      </c>
      <c r="L72" s="48" t="n">
        <v>5008</v>
      </c>
      <c r="M72" s="49" t="n">
        <v>3025.67</v>
      </c>
      <c r="N72" s="49" t="n">
        <v>36308.04</v>
      </c>
      <c r="O72" s="42" t="n">
        <v>7.25</v>
      </c>
      <c r="P72" s="42" t="n">
        <v>4.27</v>
      </c>
      <c r="Q72" s="42" t="n">
        <v>11.52</v>
      </c>
      <c r="R72" s="44" t="inlineStr">
        <is>
          <t>3/1/2022</t>
        </is>
      </c>
      <c r="S72" s="44" t="inlineStr">
        <is>
          <t>4/30/2028</t>
        </is>
      </c>
      <c r="T72" s="44" t="inlineStr">
        <is>
          <t>R0092711.pdf</t>
        </is>
      </c>
      <c r="U72" s="37" t="inlineStr">
        <is>
          <t>5,008 SF; recoveries/mo: op-exp $692.00 ($1.66/SF), RE tax $1,015.00 ($2.43/SF), other $77.00 ($0.18/SF); gross $4,809.67/mo ($11.52/SF)</t>
        </is>
      </c>
    </row>
    <row r="73">
      <c r="A73" s="44" t="inlineStr">
        <is>
          <t>R0092711 (+ R0181935)</t>
        </is>
      </c>
      <c r="B73" s="37" t="inlineStr">
        <is>
          <t>6701 E. 50th Ave</t>
        </is>
      </c>
      <c r="C73" s="37" t="inlineStr">
        <is>
          <t>6701 E. 50th Ave</t>
        </is>
      </c>
      <c r="D73" s="44" t="inlineStr">
        <is>
          <t>Commerce City</t>
        </is>
      </c>
      <c r="E73" s="44" t="inlineStr">
        <is>
          <t>East I-70/270 (Commerce City)</t>
        </is>
      </c>
      <c r="F73" s="37" t="inlineStr">
        <is>
          <t>Industrial - Warehouse (multi-tenant)</t>
        </is>
      </c>
      <c r="G73" s="44" t="inlineStr">
        <is>
          <t>496-6747-CU</t>
        </is>
      </c>
      <c r="H73" s="37" t="inlineStr">
        <is>
          <t>Wiz Bang Solutions</t>
        </is>
      </c>
      <c r="I73" s="44" t="inlineStr">
        <is>
          <t>Actual lease</t>
        </is>
      </c>
      <c r="J73" s="44" t="inlineStr">
        <is>
          <t>Yes</t>
        </is>
      </c>
      <c r="K73" s="37" t="inlineStr">
        <is>
          <t>NNN (base + recoveries)</t>
        </is>
      </c>
      <c r="L73" s="48" t="n">
        <v>11187</v>
      </c>
      <c r="M73" s="49" t="n">
        <v>6758.81</v>
      </c>
      <c r="N73" s="49" t="n">
        <v>81105.72</v>
      </c>
      <c r="O73" s="42" t="n">
        <v>7.25</v>
      </c>
      <c r="P73" s="42" t="n">
        <v>4.27</v>
      </c>
      <c r="Q73" s="42" t="n">
        <v>11.52</v>
      </c>
      <c r="R73" s="44" t="inlineStr">
        <is>
          <t>1/1/2018</t>
        </is>
      </c>
      <c r="S73" s="44" t="inlineStr">
        <is>
          <t>4/30/2028</t>
        </is>
      </c>
      <c r="T73" s="44" t="inlineStr">
        <is>
          <t>R0092711.pdf</t>
        </is>
      </c>
      <c r="U73" s="37" t="inlineStr">
        <is>
          <t>11,187 SF; recoveries/mo: op-exp $1,546.00 ($1.66/SF), RE tax $2,268.00 ($2.43/SF), other $164.00 ($0.18/SF); gross $10,736.81/mo ($11.52/SF)</t>
        </is>
      </c>
    </row>
    <row r="74">
      <c r="A74" s="50" t="inlineStr">
        <is>
          <t>R0092711 (+ R0181935)</t>
        </is>
      </c>
      <c r="B74" s="51" t="inlineStr">
        <is>
          <t>6701 E. 50th Ave</t>
        </is>
      </c>
      <c r="C74" s="51" t="inlineStr">
        <is>
          <t>6701 E. 50th Ave</t>
        </is>
      </c>
      <c r="D74" s="50" t="inlineStr">
        <is>
          <t>Commerce City</t>
        </is>
      </c>
      <c r="E74" s="50" t="inlineStr">
        <is>
          <t>East I-70/270 (Commerce City)</t>
        </is>
      </c>
      <c r="F74" s="51" t="inlineStr">
        <is>
          <t>Industrial - Warehouse (multi-tenant)</t>
        </is>
      </c>
      <c r="G74" s="50" t="inlineStr">
        <is>
          <t>496-YARD1-CU</t>
        </is>
      </c>
      <c r="H74" s="51" t="inlineStr">
        <is>
          <t>VACANT (yard)</t>
        </is>
      </c>
      <c r="I74" s="50" t="inlineStr">
        <is>
          <t>Vacant unit</t>
        </is>
      </c>
      <c r="J74" s="50" t="inlineStr">
        <is>
          <t>Yes</t>
        </is>
      </c>
      <c r="K74" s="51" t="inlineStr">
        <is>
          <t>NNN (base + recoveries)</t>
        </is>
      </c>
      <c r="L74" s="52" t="n">
        <v>0</v>
      </c>
      <c r="M74" s="53" t="n">
        <v>750</v>
      </c>
      <c r="N74" s="53" t="n">
        <v>0</v>
      </c>
      <c r="O74" s="54" t="n">
        <v>0</v>
      </c>
      <c r="P74" s="54" t="n">
        <v>4.27</v>
      </c>
      <c r="Q74" s="54" t="n">
        <v>0</v>
      </c>
      <c r="R74" s="50" t="inlineStr">
        <is>
          <t>—</t>
        </is>
      </c>
      <c r="S74" s="50" t="inlineStr">
        <is>
          <t>—</t>
        </is>
      </c>
      <c r="T74" s="50" t="inlineStr">
        <is>
          <t>R0092711.pdf</t>
        </is>
      </c>
      <c r="U74" s="51" t="inlineStr">
        <is>
          <t>0 SF; recoveries/mo: op-exp $0.00 ($1.66/SF), RE tax $0.00 ($2.43/SF), other $0.00 ($0.18/SF); gross $0.00/mo ($0.0/SF); carried at 0 SF with $750.00/mo yard rent</t>
        </is>
      </c>
    </row>
    <row r="75">
      <c r="A75" s="44" t="inlineStr">
        <is>
          <t>R0091912</t>
        </is>
      </c>
      <c r="B75" s="37" t="inlineStr">
        <is>
          <t>6475 E. 56th Ave</t>
        </is>
      </c>
      <c r="C75" s="37" t="inlineStr">
        <is>
          <t>6475 E. 56th Ave (56th Ave @ Monaco St)</t>
        </is>
      </c>
      <c r="D75" s="44" t="inlineStr">
        <is>
          <t>Commerce City</t>
        </is>
      </c>
      <c r="E75" s="44" t="inlineStr">
        <is>
          <t>East I-70/270 (Commerce City)</t>
        </is>
      </c>
      <c r="F75" s="37" t="inlineStr">
        <is>
          <t>Industrial - retail/wholesale roofing distribution</t>
        </is>
      </c>
      <c r="G75" s="44" t="inlineStr">
        <is>
          <t>Base term</t>
        </is>
      </c>
      <c r="H75" s="37" t="inlineStr">
        <is>
          <t>McElroy Metal Mill Inc. dba Metal Mart</t>
        </is>
      </c>
      <c r="I75" s="44" t="inlineStr">
        <is>
          <t>Actual lease</t>
        </is>
      </c>
      <c r="J75" s="44" t="inlineStr">
        <is>
          <t>No (superseded)</t>
        </is>
      </c>
      <c r="K75" s="37" t="inlineStr">
        <is>
          <t>Gross (taxes &amp; insurance included)</t>
        </is>
      </c>
      <c r="L75" s="48" t="n">
        <v>12540</v>
      </c>
      <c r="M75" s="49" t="n">
        <v>9125</v>
      </c>
      <c r="N75" s="49" t="n">
        <v>109500</v>
      </c>
      <c r="O75" s="42" t="n">
        <v>8.73</v>
      </c>
      <c r="P75" s="42" t="n"/>
      <c r="Q75" s="42" t="n"/>
      <c r="R75" s="44" t="inlineStr">
        <is>
          <t>2/1/2017</t>
        </is>
      </c>
      <c r="S75" s="44" t="inlineStr">
        <is>
          <t>1/31/2018</t>
        </is>
      </c>
      <c r="T75" s="44" t="inlineStr">
        <is>
          <t>R0091912.pdf</t>
        </is>
      </c>
      <c r="U75" s="37" t="inlineStr">
        <is>
          <t>Original Short Form Lease dated 10/11/2016; taxes &amp; insurance included in rent | 12,540 SF building on ~2 acres</t>
        </is>
      </c>
    </row>
    <row r="76">
      <c r="A76" s="44" t="inlineStr">
        <is>
          <t>R0091912</t>
        </is>
      </c>
      <c r="B76" s="37" t="inlineStr">
        <is>
          <t>6475 E. 56th Ave</t>
        </is>
      </c>
      <c r="C76" s="37" t="inlineStr">
        <is>
          <t>6475 E. 56th Ave (56th Ave @ Monaco St)</t>
        </is>
      </c>
      <c r="D76" s="44" t="inlineStr">
        <is>
          <t>Commerce City</t>
        </is>
      </c>
      <c r="E76" s="44" t="inlineStr">
        <is>
          <t>East I-70/270 (Commerce City)</t>
        </is>
      </c>
      <c r="F76" s="37" t="inlineStr">
        <is>
          <t>Industrial - retail/wholesale roofing distribution</t>
        </is>
      </c>
      <c r="G76" s="44" t="inlineStr">
        <is>
          <t>Option 1</t>
        </is>
      </c>
      <c r="H76" s="37" t="inlineStr">
        <is>
          <t>McElroy Metal Mill Inc. dba Metal Mart</t>
        </is>
      </c>
      <c r="I76" s="44" t="inlineStr">
        <is>
          <t>Actual lease</t>
        </is>
      </c>
      <c r="J76" s="44" t="inlineStr">
        <is>
          <t>No (superseded)</t>
        </is>
      </c>
      <c r="K76" s="37" t="inlineStr">
        <is>
          <t>Gross (taxes &amp; insurance included)</t>
        </is>
      </c>
      <c r="L76" s="48" t="n"/>
      <c r="M76" s="49" t="n">
        <v>9125</v>
      </c>
      <c r="N76" s="49" t="n">
        <v>109500</v>
      </c>
      <c r="O76" s="42" t="n">
        <v>8.73</v>
      </c>
      <c r="P76" s="42" t="n"/>
      <c r="Q76" s="42" t="n"/>
      <c r="R76" s="44" t="inlineStr">
        <is>
          <t>2/1/2018</t>
        </is>
      </c>
      <c r="S76" s="44" t="inlineStr">
        <is>
          <t>1/31/2019</t>
        </is>
      </c>
      <c r="T76" s="44" t="inlineStr">
        <is>
          <t>R0091912.pdf</t>
        </is>
      </c>
      <c r="U76" s="37" t="inlineStr">
        <is>
          <t>First of four 1-yr options under the original lease</t>
        </is>
      </c>
    </row>
    <row r="77">
      <c r="A77" s="44" t="inlineStr">
        <is>
          <t>R0091912</t>
        </is>
      </c>
      <c r="B77" s="37" t="inlineStr">
        <is>
          <t>6475 E. 56th Ave</t>
        </is>
      </c>
      <c r="C77" s="37" t="inlineStr">
        <is>
          <t>6475 E. 56th Ave (56th Ave @ Monaco St)</t>
        </is>
      </c>
      <c r="D77" s="44" t="inlineStr">
        <is>
          <t>Commerce City</t>
        </is>
      </c>
      <c r="E77" s="44" t="inlineStr">
        <is>
          <t>East I-70/270 (Commerce City)</t>
        </is>
      </c>
      <c r="F77" s="37" t="inlineStr">
        <is>
          <t>Industrial - retail/wholesale roofing distribution</t>
        </is>
      </c>
      <c r="G77" s="44" t="inlineStr">
        <is>
          <t>Option 2</t>
        </is>
      </c>
      <c r="H77" s="37" t="inlineStr">
        <is>
          <t>McElroy Metal Mill Inc. dba Metal Mart</t>
        </is>
      </c>
      <c r="I77" s="44" t="inlineStr">
        <is>
          <t>Actual lease</t>
        </is>
      </c>
      <c r="J77" s="44" t="inlineStr">
        <is>
          <t>No (superseded)</t>
        </is>
      </c>
      <c r="K77" s="37" t="inlineStr">
        <is>
          <t>Gross (taxes &amp; insurance included)</t>
        </is>
      </c>
      <c r="L77" s="48" t="n"/>
      <c r="M77" s="49" t="n">
        <v>9250</v>
      </c>
      <c r="N77" s="49" t="n">
        <v>111000</v>
      </c>
      <c r="O77" s="42" t="n">
        <v>8.85</v>
      </c>
      <c r="P77" s="42" t="n"/>
      <c r="Q77" s="42" t="n"/>
      <c r="R77" s="44" t="inlineStr">
        <is>
          <t>2/1/2019</t>
        </is>
      </c>
      <c r="S77" s="44" t="inlineStr">
        <is>
          <t>1/31/2020</t>
        </is>
      </c>
      <c r="T77" s="44" t="inlineStr">
        <is>
          <t>R0091912.pdf</t>
        </is>
      </c>
      <c r="U77" s="37" t="inlineStr"/>
    </row>
    <row r="78">
      <c r="A78" s="44" t="inlineStr">
        <is>
          <t>R0091912</t>
        </is>
      </c>
      <c r="B78" s="37" t="inlineStr">
        <is>
          <t>6475 E. 56th Ave</t>
        </is>
      </c>
      <c r="C78" s="37" t="inlineStr">
        <is>
          <t>6475 E. 56th Ave (56th Ave @ Monaco St)</t>
        </is>
      </c>
      <c r="D78" s="44" t="inlineStr">
        <is>
          <t>Commerce City</t>
        </is>
      </c>
      <c r="E78" s="44" t="inlineStr">
        <is>
          <t>East I-70/270 (Commerce City)</t>
        </is>
      </c>
      <c r="F78" s="37" t="inlineStr">
        <is>
          <t>Industrial - retail/wholesale roofing distribution</t>
        </is>
      </c>
      <c r="G78" s="44" t="inlineStr">
        <is>
          <t>Option 3</t>
        </is>
      </c>
      <c r="H78" s="37" t="inlineStr">
        <is>
          <t>McElroy Metal Mill Inc. dba Metal Mart</t>
        </is>
      </c>
      <c r="I78" s="44" t="inlineStr">
        <is>
          <t>Actual lease</t>
        </is>
      </c>
      <c r="J78" s="44" t="inlineStr">
        <is>
          <t>No (superseded)</t>
        </is>
      </c>
      <c r="K78" s="37" t="inlineStr">
        <is>
          <t>Gross (taxes &amp; insurance included)</t>
        </is>
      </c>
      <c r="L78" s="48" t="n"/>
      <c r="M78" s="49" t="n">
        <v>9375</v>
      </c>
      <c r="N78" s="49" t="n">
        <v>112500</v>
      </c>
      <c r="O78" s="42" t="n">
        <v>8.970000000000001</v>
      </c>
      <c r="P78" s="42" t="n"/>
      <c r="Q78" s="42" t="n"/>
      <c r="R78" s="44" t="inlineStr">
        <is>
          <t>2/1/2020</t>
        </is>
      </c>
      <c r="S78" s="44" t="inlineStr">
        <is>
          <t>1/31/2021</t>
        </is>
      </c>
      <c r="T78" s="44" t="inlineStr">
        <is>
          <t>R0091912.pdf</t>
        </is>
      </c>
      <c r="U78" s="37" t="inlineStr"/>
    </row>
    <row r="79">
      <c r="A79" s="44" t="inlineStr">
        <is>
          <t>R0091912</t>
        </is>
      </c>
      <c r="B79" s="37" t="inlineStr">
        <is>
          <t>6475 E. 56th Ave</t>
        </is>
      </c>
      <c r="C79" s="37" t="inlineStr">
        <is>
          <t>6475 E. 56th Ave (56th Ave @ Monaco St)</t>
        </is>
      </c>
      <c r="D79" s="44" t="inlineStr">
        <is>
          <t>Commerce City</t>
        </is>
      </c>
      <c r="E79" s="44" t="inlineStr">
        <is>
          <t>East I-70/270 (Commerce City)</t>
        </is>
      </c>
      <c r="F79" s="37" t="inlineStr">
        <is>
          <t>Industrial - retail/wholesale roofing distribution</t>
        </is>
      </c>
      <c r="G79" s="44" t="inlineStr">
        <is>
          <t>Option 4</t>
        </is>
      </c>
      <c r="H79" s="37" t="inlineStr">
        <is>
          <t>McElroy Metal Mill Inc. dba Metal Mart</t>
        </is>
      </c>
      <c r="I79" s="44" t="inlineStr">
        <is>
          <t>Actual lease</t>
        </is>
      </c>
      <c r="J79" s="44" t="inlineStr">
        <is>
          <t>No (superseded)</t>
        </is>
      </c>
      <c r="K79" s="37" t="inlineStr">
        <is>
          <t>Gross (taxes &amp; insurance included)</t>
        </is>
      </c>
      <c r="L79" s="48" t="n"/>
      <c r="M79" s="49" t="n">
        <v>9500</v>
      </c>
      <c r="N79" s="49" t="n">
        <v>114000</v>
      </c>
      <c r="O79" s="42" t="n">
        <v>9.09</v>
      </c>
      <c r="P79" s="42" t="n"/>
      <c r="Q79" s="42" t="n"/>
      <c r="R79" s="44" t="inlineStr">
        <is>
          <t>2/1/2021</t>
        </is>
      </c>
      <c r="S79" s="44" t="inlineStr">
        <is>
          <t>1/31/2022</t>
        </is>
      </c>
      <c r="T79" s="44" t="inlineStr">
        <is>
          <t>R0091912.pdf</t>
        </is>
      </c>
      <c r="U79" s="37" t="inlineStr"/>
    </row>
    <row r="80">
      <c r="A80" s="44" t="inlineStr">
        <is>
          <t>R0091912</t>
        </is>
      </c>
      <c r="B80" s="37" t="inlineStr">
        <is>
          <t>6475 E. 56th Ave</t>
        </is>
      </c>
      <c r="C80" s="37" t="inlineStr">
        <is>
          <t>6475 E. 56th Ave (56th Ave @ Monaco St)</t>
        </is>
      </c>
      <c r="D80" s="44" t="inlineStr">
        <is>
          <t>Commerce City</t>
        </is>
      </c>
      <c r="E80" s="44" t="inlineStr">
        <is>
          <t>East I-70/270 (Commerce City)</t>
        </is>
      </c>
      <c r="F80" s="37" t="inlineStr">
        <is>
          <t>Industrial - retail/wholesale roofing distribution</t>
        </is>
      </c>
      <c r="G80" s="44" t="inlineStr">
        <is>
          <t>Extension</t>
        </is>
      </c>
      <c r="H80" s="37" t="inlineStr">
        <is>
          <t>McElroy Metal Mill Inc. dba Metal Mart</t>
        </is>
      </c>
      <c r="I80" s="44" t="inlineStr">
        <is>
          <t>Actual lease</t>
        </is>
      </c>
      <c r="J80" s="44" t="inlineStr">
        <is>
          <t>No (superseded)</t>
        </is>
      </c>
      <c r="K80" s="37" t="inlineStr">
        <is>
          <t>Gross (taxes &amp; insurance included)</t>
        </is>
      </c>
      <c r="L80" s="48" t="n"/>
      <c r="M80" s="49" t="n">
        <v>13750</v>
      </c>
      <c r="N80" s="49" t="n">
        <v>165000</v>
      </c>
      <c r="O80" s="42" t="n">
        <v>13.16</v>
      </c>
      <c r="P80" s="42" t="n"/>
      <c r="Q80" s="42" t="n"/>
      <c r="R80" s="44" t="inlineStr">
        <is>
          <t>2/1/2022</t>
        </is>
      </c>
      <c r="S80" s="44" t="inlineStr">
        <is>
          <t>1/31/2025</t>
        </is>
      </c>
      <c r="T80" s="44" t="inlineStr">
        <is>
          <t>R0091912.pdf</t>
        </is>
      </c>
      <c r="U80" s="37" t="inlineStr">
        <is>
          <t>Lease Extension Agreement dated 10/25/2021; three further 1-yr options at +$250/mo each</t>
        </is>
      </c>
    </row>
    <row r="81">
      <c r="A81" s="44" t="inlineStr">
        <is>
          <t>R0091912</t>
        </is>
      </c>
      <c r="B81" s="37" t="inlineStr">
        <is>
          <t>6475 E. 56th Ave</t>
        </is>
      </c>
      <c r="C81" s="37" t="inlineStr">
        <is>
          <t>6475 E. 56th Ave (56th Ave @ Monaco St)</t>
        </is>
      </c>
      <c r="D81" s="44" t="inlineStr">
        <is>
          <t>Commerce City</t>
        </is>
      </c>
      <c r="E81" s="44" t="inlineStr">
        <is>
          <t>East I-70/270 (Commerce City)</t>
        </is>
      </c>
      <c r="F81" s="37" t="inlineStr">
        <is>
          <t>Industrial - retail/wholesale roofing distribution</t>
        </is>
      </c>
      <c r="G81" s="44" t="inlineStr">
        <is>
          <t>Ext. option 1</t>
        </is>
      </c>
      <c r="H81" s="37" t="inlineStr">
        <is>
          <t>McElroy Metal Mill Inc. dba Metal Mart</t>
        </is>
      </c>
      <c r="I81" s="44" t="inlineStr">
        <is>
          <t>Actual lease</t>
        </is>
      </c>
      <c r="J81" s="44" t="inlineStr">
        <is>
          <t>No (superseded)</t>
        </is>
      </c>
      <c r="K81" s="37" t="inlineStr">
        <is>
          <t>Gross (taxes &amp; insurance included)</t>
        </is>
      </c>
      <c r="L81" s="48" t="n"/>
      <c r="M81" s="49" t="n">
        <v>14000</v>
      </c>
      <c r="N81" s="49" t="n">
        <v>168000</v>
      </c>
      <c r="O81" s="42" t="n">
        <v>13.4</v>
      </c>
      <c r="P81" s="42" t="n"/>
      <c r="Q81" s="42" t="n"/>
      <c r="R81" s="44" t="inlineStr">
        <is>
          <t>2/1/2025</t>
        </is>
      </c>
      <c r="S81" s="44" t="inlineStr">
        <is>
          <t>1/31/2026</t>
        </is>
      </c>
      <c r="T81" s="44" t="inlineStr">
        <is>
          <t>R0091912.pdf</t>
        </is>
      </c>
      <c r="U81" s="37" t="inlineStr">
        <is>
          <t>Exercised by McElroy letter dated 10/22/2024</t>
        </is>
      </c>
    </row>
    <row r="82">
      <c r="A82" s="44" t="inlineStr">
        <is>
          <t>R0091912</t>
        </is>
      </c>
      <c r="B82" s="37" t="inlineStr">
        <is>
          <t>6475 E. 56th Ave</t>
        </is>
      </c>
      <c r="C82" s="37" t="inlineStr">
        <is>
          <t>6475 E. 56th Ave (56th Ave @ Monaco St)</t>
        </is>
      </c>
      <c r="D82" s="44" t="inlineStr">
        <is>
          <t>Commerce City</t>
        </is>
      </c>
      <c r="E82" s="44" t="inlineStr">
        <is>
          <t>East I-70/270 (Commerce City)</t>
        </is>
      </c>
      <c r="F82" s="37" t="inlineStr">
        <is>
          <t>Industrial - retail/wholesale roofing distribution</t>
        </is>
      </c>
      <c r="G82" s="44" t="inlineStr">
        <is>
          <t>Ext. option 2</t>
        </is>
      </c>
      <c r="H82" s="37" t="inlineStr">
        <is>
          <t>McElroy Metal Mill Inc. dba Metal Mart</t>
        </is>
      </c>
      <c r="I82" s="44" t="inlineStr">
        <is>
          <t>Actual lease</t>
        </is>
      </c>
      <c r="J82" s="44" t="inlineStr">
        <is>
          <t>Yes</t>
        </is>
      </c>
      <c r="K82" s="37" t="inlineStr">
        <is>
          <t>Gross (taxes &amp; insurance included)</t>
        </is>
      </c>
      <c r="L82" s="48" t="n"/>
      <c r="M82" s="49" t="n">
        <v>14250</v>
      </c>
      <c r="N82" s="49" t="n">
        <v>171000</v>
      </c>
      <c r="O82" s="42" t="n">
        <v>13.64</v>
      </c>
      <c r="P82" s="42" t="n"/>
      <c r="Q82" s="42" t="n"/>
      <c r="R82" s="44" t="inlineStr">
        <is>
          <t>2/1/2026</t>
        </is>
      </c>
      <c r="S82" s="44" t="inlineStr">
        <is>
          <t>1/31/2027</t>
        </is>
      </c>
      <c r="T82" s="44" t="inlineStr">
        <is>
          <t>R0091912.pdf</t>
        </is>
      </c>
      <c r="U82" s="37" t="inlineStr">
        <is>
          <t>Exercised by McElroy letter dated 10/10/2025</t>
        </is>
      </c>
    </row>
  </sheetData>
  <autoFilter ref="A4:U82"/>
  <mergeCells count="2">
    <mergeCell ref="A1:U1"/>
    <mergeCell ref="A2:U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7"/>
  <sheetViews>
    <sheetView showGridLines="1"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tax-appeal proforma assumptions, and self-storage occupancy/unit-mix snapshots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10" t="inlineStr">
        <is>
          <t>Self-storage facilities — occupancy &amp; unit-mix snapshots as of 12/31/2024 (month-to-month unit rentals; no individual tenant leases)</t>
        </is>
      </c>
      <c r="B27" s="20" t="n"/>
      <c r="C27" s="20" t="n"/>
      <c r="D27" s="20" t="n"/>
      <c r="E27" s="20" t="n"/>
      <c r="F27" s="20" t="n"/>
      <c r="G27" s="20" t="n"/>
      <c r="H27" s="20" t="n"/>
      <c r="I27" s="20" t="n"/>
      <c r="J27" s="20" t="n"/>
      <c r="K27" s="20" t="n"/>
      <c r="L27" s="20" t="n"/>
      <c r="M27" s="21" t="n"/>
    </row>
    <row r="28">
      <c r="A28" s="6" t="inlineStr">
        <is>
          <t>1540 Altura Blvd</t>
        </is>
      </c>
      <c r="B28" s="6" t="inlineStr">
        <is>
          <t>27,139 SF NLA</t>
        </is>
      </c>
      <c r="C28" s="6" t="inlineStr">
        <is>
          <t>Self-storage customers (CubeSmart #6731)</t>
        </is>
      </c>
      <c r="D28" s="6" t="inlineStr">
        <is>
          <t>Storage MTM</t>
        </is>
      </c>
      <c r="E28" s="9" t="n"/>
      <c r="F28" s="6" t="n"/>
      <c r="G28" s="6" t="n"/>
      <c r="H28" s="5" t="n"/>
      <c r="I28" s="5" t="n"/>
      <c r="J28" s="5" t="n"/>
      <c r="K28" s="9" t="n"/>
      <c r="L28" s="6" t="n"/>
      <c r="M28" s="6" t="inlineStr">
        <is>
          <t>No unit-level report in package; FY2024 net rental income $383,166 (see Income-Expense Detail)</t>
        </is>
      </c>
    </row>
    <row r="29">
      <c r="A29" s="6" t="inlineStr">
        <is>
          <t>15413 E 18th Ave</t>
        </is>
      </c>
      <c r="B29" s="6" t="inlineStr">
        <is>
          <t>478 units / 57,742 SF</t>
        </is>
      </c>
      <c r="C29" s="6" t="inlineStr">
        <is>
          <t>Self-storage customers (CubeSmart #6730)</t>
        </is>
      </c>
      <c r="D29" s="6" t="inlineStr">
        <is>
          <t>Storage MTM</t>
        </is>
      </c>
      <c r="E29" s="9" t="n">
        <v>62425.7</v>
      </c>
      <c r="F29" s="6" t="n"/>
      <c r="G29" s="6" t="n"/>
      <c r="H29" s="5" t="n"/>
      <c r="I29" s="5" t="n"/>
      <c r="J29" s="5" t="n"/>
      <c r="K29" s="9" t="n"/>
      <c r="L29" s="6" t="n"/>
      <c r="M29" s="6" t="inlineStr">
        <is>
          <t>storEDGE Consolidated Occupancy 12/31/2024: 395 occupied / 72 vacant / 6 reserved / 5 unrentable; 50,433 SF occupied (87.3% of SF; 82.6% of units); scheduled std rent $54,314/mo; occupied actual $62,425.70/mo ($1.24/SF/mo). Per-size detail in source PDF.</t>
        </is>
      </c>
    </row>
    <row r="30">
      <c r="A30" s="6" t="inlineStr">
        <is>
          <t>10350 Washington St</t>
        </is>
      </c>
      <c r="B30" s="6" t="inlineStr">
        <is>
          <t>471 units / 48,250 SF</t>
        </is>
      </c>
      <c r="C30" s="6" t="inlineStr">
        <is>
          <t>Self-storage customers (Mini U Storage)</t>
        </is>
      </c>
      <c r="D30" s="6" t="inlineStr">
        <is>
          <t>Storage MTM</t>
        </is>
      </c>
      <c r="E30" s="9" t="n"/>
      <c r="F30" s="6" t="n"/>
      <c r="G30" s="6" t="n"/>
      <c r="H30" s="5" t="n"/>
      <c r="I30" s="5" t="n"/>
      <c r="J30" s="5" t="n"/>
      <c r="K30" s="9" t="n"/>
      <c r="L30" s="6" t="n"/>
      <c r="M30" s="6" t="inlineStr">
        <is>
          <t>SiteLink Rental Activity 12/31/2024 (drive-up units): 395 rented / 76 vacant; 41,130 SF rented (83.9% of SF); gross potential $65,937/mo; rented avg $1.53/SF/mo. Unit-mix below.</t>
        </is>
      </c>
    </row>
    <row r="31">
      <c r="A31" s="6" t="inlineStr">
        <is>
          <t>10350 Washington St</t>
        </is>
      </c>
      <c r="B31" s="6" t="inlineStr">
        <is>
          <t>5x5 (25 SF)</t>
        </is>
      </c>
      <c r="C31" s="6" t="inlineStr">
        <is>
          <t>30 units / 18 rented</t>
        </is>
      </c>
      <c r="D31" s="6" t="inlineStr">
        <is>
          <t>Storage MTM</t>
        </is>
      </c>
      <c r="E31" s="9" t="n">
        <v>1950</v>
      </c>
      <c r="F31" s="6" t="n"/>
      <c r="G31" s="6" t="n"/>
      <c r="H31" s="5" t="n"/>
      <c r="I31" s="5" t="n"/>
      <c r="J31" s="5" t="n"/>
      <c r="K31" s="9" t="n"/>
      <c r="L31" s="6" t="n"/>
      <c r="M31" s="6" t="inlineStr">
        <is>
          <t>Std rate $65/unit/mo; 450 SF rented of 750 SF</t>
        </is>
      </c>
    </row>
    <row r="32">
      <c r="A32" s="6" t="inlineStr">
        <is>
          <t>10350 Washington St</t>
        </is>
      </c>
      <c r="B32" s="6" t="inlineStr">
        <is>
          <t>5x10 (50 SF)</t>
        </is>
      </c>
      <c r="C32" s="6" t="inlineStr">
        <is>
          <t>137 units / 120 rented</t>
        </is>
      </c>
      <c r="D32" s="6" t="inlineStr">
        <is>
          <t>Storage MTM</t>
        </is>
      </c>
      <c r="E32" s="9" t="n">
        <v>11645</v>
      </c>
      <c r="F32" s="6" t="n"/>
      <c r="G32" s="6" t="n"/>
      <c r="H32" s="5" t="n"/>
      <c r="I32" s="5" t="n"/>
      <c r="J32" s="5" t="n"/>
      <c r="K32" s="9" t="n"/>
      <c r="L32" s="6" t="n"/>
      <c r="M32" s="6" t="inlineStr">
        <is>
          <t>Std rate $85/unit/mo; 6,000 SF rented of 6,850 SF</t>
        </is>
      </c>
    </row>
    <row r="33">
      <c r="A33" s="6" t="inlineStr">
        <is>
          <t>10350 Washington St</t>
        </is>
      </c>
      <c r="B33" s="6" t="inlineStr">
        <is>
          <t>7x10 (70 SF)</t>
        </is>
      </c>
      <c r="C33" s="6" t="inlineStr">
        <is>
          <t>58 units / 49 rented</t>
        </is>
      </c>
      <c r="D33" s="6" t="inlineStr">
        <is>
          <t>Storage MTM</t>
        </is>
      </c>
      <c r="E33" s="9" t="n">
        <v>6670</v>
      </c>
      <c r="F33" s="6" t="n"/>
      <c r="G33" s="6" t="n"/>
      <c r="H33" s="5" t="n"/>
      <c r="I33" s="5" t="n"/>
      <c r="J33" s="5" t="n"/>
      <c r="K33" s="9" t="n"/>
      <c r="L33" s="6" t="n"/>
      <c r="M33" s="6" t="inlineStr">
        <is>
          <t>Std rate $115/unit/mo; 3,430 SF rented of 4,060 SF</t>
        </is>
      </c>
    </row>
    <row r="34">
      <c r="A34" s="6" t="inlineStr">
        <is>
          <t>10350 Washington St</t>
        </is>
      </c>
      <c r="B34" s="6" t="inlineStr">
        <is>
          <t>5x15 (75 SF)</t>
        </is>
      </c>
      <c r="C34" s="6" t="inlineStr">
        <is>
          <t>30 units / 22 rented</t>
        </is>
      </c>
      <c r="D34" s="6" t="inlineStr">
        <is>
          <t>Storage MTM</t>
        </is>
      </c>
      <c r="E34" s="9" t="n">
        <v>3570</v>
      </c>
      <c r="F34" s="6" t="n"/>
      <c r="G34" s="6" t="n"/>
      <c r="H34" s="5" t="n"/>
      <c r="I34" s="5" t="n"/>
      <c r="J34" s="5" t="n"/>
      <c r="K34" s="9" t="n"/>
      <c r="L34" s="6" t="n"/>
      <c r="M34" s="6" t="inlineStr">
        <is>
          <t>Std rate $119/unit/mo; 1,650 SF rented of 2,250 SF</t>
        </is>
      </c>
    </row>
    <row r="35">
      <c r="A35" s="6" t="inlineStr">
        <is>
          <t>10350 Washington St</t>
        </is>
      </c>
      <c r="B35" s="6" t="inlineStr">
        <is>
          <t>10x10 (100 SF)</t>
        </is>
      </c>
      <c r="C35" s="6" t="inlineStr">
        <is>
          <t>76 units / 66 rented</t>
        </is>
      </c>
      <c r="D35" s="6" t="inlineStr">
        <is>
          <t>Storage MTM</t>
        </is>
      </c>
      <c r="E35" s="9" t="n">
        <v>11324</v>
      </c>
      <c r="F35" s="6" t="n"/>
      <c r="G35" s="6" t="n"/>
      <c r="H35" s="5" t="n"/>
      <c r="I35" s="5" t="n"/>
      <c r="J35" s="5" t="n"/>
      <c r="K35" s="9" t="n"/>
      <c r="L35" s="6" t="n"/>
      <c r="M35" s="6" t="inlineStr">
        <is>
          <t>Std rate $149/unit/mo; 6,600 SF rented of 7,600 SF</t>
        </is>
      </c>
    </row>
    <row r="36">
      <c r="A36" s="6" t="inlineStr">
        <is>
          <t>10350 Washington St</t>
        </is>
      </c>
      <c r="B36" s="6" t="inlineStr">
        <is>
          <t>7x20 (140 SF)</t>
        </is>
      </c>
      <c r="C36" s="6" t="inlineStr">
        <is>
          <t>1 units / 0 rented</t>
        </is>
      </c>
      <c r="D36" s="6" t="inlineStr">
        <is>
          <t>Storage MTM</t>
        </is>
      </c>
      <c r="E36" s="9" t="n">
        <v>159</v>
      </c>
      <c r="F36" s="6" t="n"/>
      <c r="G36" s="6" t="n"/>
      <c r="H36" s="5" t="n"/>
      <c r="I36" s="5" t="n"/>
      <c r="J36" s="5" t="n"/>
      <c r="K36" s="9" t="n"/>
      <c r="L36" s="6" t="n"/>
      <c r="M36" s="6" t="inlineStr">
        <is>
          <t>Std rate $159/unit/mo; 0 SF rented of 140 SF</t>
        </is>
      </c>
    </row>
    <row r="37">
      <c r="A37" s="6" t="inlineStr">
        <is>
          <t>10350 Washington St</t>
        </is>
      </c>
      <c r="B37" s="6" t="inlineStr">
        <is>
          <t>10x15 (150 SF)</t>
        </is>
      </c>
      <c r="C37" s="6" t="inlineStr">
        <is>
          <t>68 units / 58 rented</t>
        </is>
      </c>
      <c r="D37" s="6" t="inlineStr">
        <is>
          <t>Storage MTM</t>
        </is>
      </c>
      <c r="E37" s="9" t="n">
        <v>11900</v>
      </c>
      <c r="F37" s="6" t="n"/>
      <c r="G37" s="6" t="n"/>
      <c r="H37" s="5" t="n"/>
      <c r="I37" s="5" t="n"/>
      <c r="J37" s="5" t="n"/>
      <c r="K37" s="9" t="n"/>
      <c r="L37" s="6" t="n"/>
      <c r="M37" s="6" t="inlineStr">
        <is>
          <t>Std rate $175/unit/mo; 8,700 SF rented of 10,200 SF</t>
        </is>
      </c>
    </row>
    <row r="38">
      <c r="A38" s="6" t="inlineStr">
        <is>
          <t>10350 Washington St</t>
        </is>
      </c>
      <c r="B38" s="6" t="inlineStr">
        <is>
          <t>10x20 (200 SF)</t>
        </is>
      </c>
      <c r="C38" s="6" t="inlineStr">
        <is>
          <t>47 units / 43 rented</t>
        </is>
      </c>
      <c r="D38" s="6" t="inlineStr">
        <is>
          <t>Storage MTM</t>
        </is>
      </c>
      <c r="E38" s="9" t="n">
        <v>11703</v>
      </c>
      <c r="F38" s="6" t="n"/>
      <c r="G38" s="6" t="n"/>
      <c r="H38" s="5" t="n"/>
      <c r="I38" s="5" t="n"/>
      <c r="J38" s="5" t="n"/>
      <c r="K38" s="9" t="n"/>
      <c r="L38" s="6" t="n"/>
      <c r="M38" s="6" t="inlineStr">
        <is>
          <t>Std rate $249/unit/mo; 8,600 SF rented of 9,400 SF</t>
        </is>
      </c>
    </row>
    <row r="39">
      <c r="A39" s="6" t="inlineStr">
        <is>
          <t>10350 Washington St</t>
        </is>
      </c>
      <c r="B39" s="6" t="inlineStr">
        <is>
          <t>20x10 (200 SF)</t>
        </is>
      </c>
      <c r="C39" s="6" t="inlineStr">
        <is>
          <t>5 units / 3 rented</t>
        </is>
      </c>
      <c r="D39" s="6" t="inlineStr">
        <is>
          <t>Storage MTM</t>
        </is>
      </c>
      <c r="E39" s="9" t="n">
        <v>1125</v>
      </c>
      <c r="F39" s="6" t="n"/>
      <c r="G39" s="6" t="n"/>
      <c r="H39" s="5" t="n"/>
      <c r="I39" s="5" t="n"/>
      <c r="J39" s="5" t="n"/>
      <c r="K39" s="9" t="n"/>
      <c r="L39" s="6" t="n"/>
      <c r="M39" s="6" t="inlineStr">
        <is>
          <t>Std rate $225/unit/mo; 600 SF rented of 1,000 SF</t>
        </is>
      </c>
    </row>
    <row r="40">
      <c r="A40" s="6" t="inlineStr">
        <is>
          <t>10350 Washington St</t>
        </is>
      </c>
      <c r="B40" s="6" t="inlineStr">
        <is>
          <t>10x30 (300 SF)</t>
        </is>
      </c>
      <c r="C40" s="6" t="inlineStr">
        <is>
          <t>17 units / 15 rented</t>
        </is>
      </c>
      <c r="D40" s="6" t="inlineStr">
        <is>
          <t>Storage MTM</t>
        </is>
      </c>
      <c r="E40" s="9" t="n">
        <v>5083</v>
      </c>
      <c r="F40" s="6" t="n"/>
      <c r="G40" s="6" t="n"/>
      <c r="H40" s="5" t="n"/>
      <c r="I40" s="5" t="n"/>
      <c r="J40" s="5" t="n"/>
      <c r="K40" s="9" t="n"/>
      <c r="L40" s="6" t="n"/>
      <c r="M40" s="6" t="inlineStr">
        <is>
          <t>Std rate $299/unit/mo; 4,500 SF rented of 5,100 SF</t>
        </is>
      </c>
    </row>
    <row r="41">
      <c r="A41" s="6" t="inlineStr">
        <is>
          <t>10350 Washington St</t>
        </is>
      </c>
      <c r="B41" s="6" t="inlineStr">
        <is>
          <t>15x20 (300 SF)</t>
        </is>
      </c>
      <c r="C41" s="6" t="inlineStr">
        <is>
          <t>1 units / 0 rented</t>
        </is>
      </c>
      <c r="D41" s="6" t="inlineStr">
        <is>
          <t>Storage MTM</t>
        </is>
      </c>
      <c r="E41" s="9" t="n">
        <v>299</v>
      </c>
      <c r="F41" s="6" t="n"/>
      <c r="G41" s="6" t="n"/>
      <c r="H41" s="5" t="n"/>
      <c r="I41" s="5" t="n"/>
      <c r="J41" s="5" t="n"/>
      <c r="K41" s="9" t="n"/>
      <c r="L41" s="6" t="n"/>
      <c r="M41" s="6" t="inlineStr">
        <is>
          <t>Std rate $299/unit/mo; 0 SF rented of 300 SF</t>
        </is>
      </c>
    </row>
    <row r="42">
      <c r="A42" s="6" t="inlineStr">
        <is>
          <t>10350 Washington St</t>
        </is>
      </c>
      <c r="B42" s="6" t="inlineStr">
        <is>
          <t>20x30 (600 SF)</t>
        </is>
      </c>
      <c r="C42" s="6" t="inlineStr">
        <is>
          <t>1 units / 1 rented</t>
        </is>
      </c>
      <c r="D42" s="6" t="inlineStr">
        <is>
          <t>Storage MTM</t>
        </is>
      </c>
      <c r="E42" s="9" t="n">
        <v>509</v>
      </c>
      <c r="F42" s="6" t="n"/>
      <c r="G42" s="6" t="n"/>
      <c r="H42" s="5" t="n"/>
      <c r="I42" s="5" t="n"/>
      <c r="J42" s="5" t="n"/>
      <c r="K42" s="9" t="n"/>
      <c r="L42" s="6" t="n"/>
      <c r="M42" s="6" t="inlineStr">
        <is>
          <t>Std rate $509/unit/mo; 600 SF rented of 600 SF</t>
        </is>
      </c>
    </row>
    <row r="43">
      <c r="A43" s="11" t="inlineStr">
        <is>
          <t>10350 Washington St</t>
        </is>
      </c>
      <c r="B43" s="12" t="inlineStr">
        <is>
          <t>TOTALS</t>
        </is>
      </c>
      <c r="C43" s="12" t="inlineStr">
        <is>
          <t>471 units / 395 rented</t>
        </is>
      </c>
      <c r="D43" s="13" t="n"/>
      <c r="E43" s="14">
        <f>SUM(E31:E42)</f>
        <v/>
      </c>
      <c r="F43" s="14" t="n"/>
      <c r="G43" s="13" t="n"/>
      <c r="H43" s="13" t="n"/>
      <c r="I43" s="13" t="n"/>
      <c r="J43" s="13" t="n"/>
      <c r="K43" s="14" t="n"/>
      <c r="L43" s="13" t="n"/>
      <c r="M43" s="15" t="inlineStr">
        <is>
          <t>Gross scheduled (potential) monthly rent; printed total $65,937 (SiteLink Rental Activity 12/31/2024)</t>
        </is>
      </c>
    </row>
    <row r="45">
      <c r="A45" s="10" t="inlineStr">
        <is>
          <t>Commerce City industrial/flex portfolio — actual rent rolls (5720 Holly St 7/1/2024; Sterling appeals 6/30/2024; 6701 E. 50th Ave 12/2024)</t>
        </is>
      </c>
      <c r="B45" s="20" t="n"/>
      <c r="C45" s="20" t="n"/>
      <c r="D45" s="20" t="n"/>
      <c r="E45" s="20" t="n"/>
      <c r="F45" s="20" t="n"/>
      <c r="G45" s="20" t="n"/>
      <c r="H45" s="20" t="n"/>
      <c r="I45" s="20" t="n"/>
      <c r="J45" s="20" t="n"/>
      <c r="K45" s="20" t="n"/>
      <c r="L45" s="20" t="n"/>
      <c r="M45" s="21" t="n"/>
    </row>
    <row r="46">
      <c r="A46" s="6" t="inlineStr">
        <is>
          <t>5720 Holly St</t>
        </is>
      </c>
      <c r="B46" s="6" t="inlineStr">
        <is>
          <t>A</t>
        </is>
      </c>
      <c r="C46" s="6" t="inlineStr">
        <is>
          <t>Mallory Safety &amp; Supply</t>
        </is>
      </c>
      <c r="D46" s="6" t="inlineStr">
        <is>
          <t>NNN</t>
        </is>
      </c>
      <c r="E46" s="9" t="n">
        <v>17578.75</v>
      </c>
      <c r="F46" s="6" t="n">
        <v>210945</v>
      </c>
      <c r="G46" s="6" t="n">
        <v>8.970000000000001</v>
      </c>
      <c r="H46" s="5" t="inlineStr">
        <is>
          <t>9/1/2012</t>
        </is>
      </c>
      <c r="I46" s="5" t="inlineStr">
        <is>
          <t>8/31/2029</t>
        </is>
      </c>
      <c r="J46" s="5" t="inlineStr">
        <is>
          <t>204-mo term</t>
        </is>
      </c>
      <c r="K46" s="9" t="n">
        <v>7044.71</v>
      </c>
      <c r="L46" s="6" t="n">
        <v>15000</v>
      </c>
      <c r="M46" s="6" t="inlineStr">
        <is>
          <t>23,520 SF (43.31%); CAM $84,536.52/yr ($3.59/SF); rent start 12/7/2011</t>
        </is>
      </c>
    </row>
    <row r="47">
      <c r="A47" s="6" t="inlineStr">
        <is>
          <t>5720 Holly St</t>
        </is>
      </c>
      <c r="B47" s="6" t="inlineStr">
        <is>
          <t>B-E</t>
        </is>
      </c>
      <c r="C47" s="6" t="inlineStr">
        <is>
          <t>Suncor Energy</t>
        </is>
      </c>
      <c r="D47" s="6" t="inlineStr">
        <is>
          <t>NNN</t>
        </is>
      </c>
      <c r="E47" s="9" t="n">
        <v>12687.46</v>
      </c>
      <c r="F47" s="6" t="n">
        <v>152249.52</v>
      </c>
      <c r="G47" s="6" t="n">
        <v>9.529999999999999</v>
      </c>
      <c r="H47" s="5" t="inlineStr">
        <is>
          <t>8/15/2022</t>
        </is>
      </c>
      <c r="I47" s="5" t="inlineStr">
        <is>
          <t>9/14/2025</t>
        </is>
      </c>
      <c r="J47" s="5" t="inlineStr">
        <is>
          <t>37-mo term</t>
        </is>
      </c>
      <c r="K47" s="9" t="n">
        <v>4786.33</v>
      </c>
      <c r="L47" s="6" t="n"/>
      <c r="M47" s="6" t="inlineStr">
        <is>
          <t>15,980 SF (29.43%); CAM $57,435.96/yr ($3.59/SF); rent start 6/1/2024; units D &amp; E carried as vacant/0 SF on the Yardi roll; balance due $9,023.14</t>
        </is>
      </c>
    </row>
    <row r="48">
      <c r="A48" s="6" t="inlineStr">
        <is>
          <t>5720 Holly St</t>
        </is>
      </c>
      <c r="B48" s="6" t="inlineStr">
        <is>
          <t>F</t>
        </is>
      </c>
      <c r="C48" s="6" t="inlineStr">
        <is>
          <t>Colorado Wassall CO</t>
        </is>
      </c>
      <c r="D48" s="6" t="inlineStr">
        <is>
          <t>NNN</t>
        </is>
      </c>
      <c r="E48" s="9" t="n">
        <v>2730</v>
      </c>
      <c r="F48" s="6" t="n">
        <v>32760</v>
      </c>
      <c r="G48" s="6" t="n">
        <v>8.19</v>
      </c>
      <c r="H48" s="5" t="inlineStr">
        <is>
          <t>6/15/2021</t>
        </is>
      </c>
      <c r="I48" s="5" t="inlineStr">
        <is>
          <t>6/30/2029</t>
        </is>
      </c>
      <c r="J48" s="5" t="inlineStr">
        <is>
          <t>97-mo term</t>
        </is>
      </c>
      <c r="K48" s="9" t="n">
        <v>1198.08</v>
      </c>
      <c r="L48" s="6" t="n">
        <v>3387.39</v>
      </c>
      <c r="M48" s="6" t="inlineStr">
        <is>
          <t>4,000 SF (7.37%); CAM $14,376.96/yr ($3.59/SF); rent start 11/3/2011; balance due $2,083.35</t>
        </is>
      </c>
    </row>
    <row r="49">
      <c r="A49" s="6" t="inlineStr">
        <is>
          <t>5720 Holly St</t>
        </is>
      </c>
      <c r="B49" s="6" t="inlineStr">
        <is>
          <t>G</t>
        </is>
      </c>
      <c r="C49" s="6" t="inlineStr">
        <is>
          <t>Ginzel Enterprises</t>
        </is>
      </c>
      <c r="D49" s="6" t="inlineStr">
        <is>
          <t>NNN</t>
        </is>
      </c>
      <c r="E49" s="9" t="n">
        <v>7371</v>
      </c>
      <c r="F49" s="6" t="n">
        <v>88452</v>
      </c>
      <c r="G49" s="6" t="n">
        <v>8.19</v>
      </c>
      <c r="H49" s="5" t="inlineStr">
        <is>
          <t>10/1/2023</t>
        </is>
      </c>
      <c r="I49" s="5" t="inlineStr">
        <is>
          <t>6/30/2026</t>
        </is>
      </c>
      <c r="J49" s="5" t="inlineStr">
        <is>
          <t>38-mo term</t>
        </is>
      </c>
      <c r="K49" s="9" t="n">
        <v>3234.82</v>
      </c>
      <c r="L49" s="6" t="n">
        <v>9145.950000000001</v>
      </c>
      <c r="M49" s="6" t="inlineStr">
        <is>
          <t>10,800 SF (19.89%); CAM $38,817.84/yr ($3.59/SF); rent start 11/3/2011; owner summary shows lease end 11/30/2026 vs 6/30/2026 on the Yardi roll — both as printed; balance due $1,459.87</t>
        </is>
      </c>
    </row>
    <row r="50">
      <c r="A50" s="11" t="inlineStr">
        <is>
          <t>5720 Holly St</t>
        </is>
      </c>
      <c r="B50" s="12" t="inlineStr">
        <is>
          <t>TOTALS</t>
        </is>
      </c>
      <c r="C50" s="12" t="inlineStr">
        <is>
          <t>4 line(s)</t>
        </is>
      </c>
      <c r="D50" s="13" t="n"/>
      <c r="E50" s="14" t="n"/>
      <c r="F50" s="14">
        <f>SUM(F46:F49)</f>
        <v/>
      </c>
      <c r="G50" s="13" t="n"/>
      <c r="H50" s="13" t="n"/>
      <c r="I50" s="13" t="n"/>
      <c r="J50" s="13" t="n"/>
      <c r="K50" s="14">
        <f>SUM(K46:K49)</f>
        <v/>
      </c>
      <c r="L50" s="13" t="n"/>
      <c r="M50" s="15" t="inlineStr">
        <is>
          <t>Printed totals: 54,300 SF; annual base rent $484,406.52; annual CAM $195,167.28; deposits $27,533.34. The Monthly CAM column annualizes to $195,167.28 ($16,263.94/mo x 12). Rent roll dated 7/1/2024.</t>
        </is>
      </c>
    </row>
    <row r="51">
      <c r="A51" s="6" t="inlineStr">
        <is>
          <t>6125 E. 56th Ave</t>
        </is>
      </c>
      <c r="B51" s="6" t="inlineStr">
        <is>
          <t>6125A</t>
        </is>
      </c>
      <c r="C51" s="6" t="inlineStr">
        <is>
          <t>Colorado Overhead Door</t>
        </is>
      </c>
      <c r="D51" s="6" t="inlineStr">
        <is>
          <t>NNN</t>
        </is>
      </c>
      <c r="E51" s="9" t="n"/>
      <c r="F51" s="6" t="n">
        <v>47850</v>
      </c>
      <c r="G51" s="6" t="n">
        <v>9.57</v>
      </c>
      <c r="H51" s="5" t="inlineStr">
        <is>
          <t>6/2020</t>
        </is>
      </c>
      <c r="I51" s="5" t="inlineStr">
        <is>
          <t>7/2025</t>
        </is>
      </c>
      <c r="J51" s="5" t="inlineStr">
        <is>
          <t>—</t>
        </is>
      </c>
      <c r="K51" s="9" t="n"/>
      <c r="L51" s="6" t="n"/>
      <c r="M51" s="6" t="inlineStr">
        <is>
          <t>5,000 SF; recoveries $23,150 ($4.63/SF); gross rent $14.20/SF</t>
        </is>
      </c>
    </row>
    <row r="52">
      <c r="A52" s="6" t="inlineStr">
        <is>
          <t>6125 E. 56th Ave</t>
        </is>
      </c>
      <c r="B52" s="6" t="inlineStr">
        <is>
          <t>6125B</t>
        </is>
      </c>
      <c r="C52" s="6" t="inlineStr">
        <is>
          <t>Comlink Solutions</t>
        </is>
      </c>
      <c r="D52" s="6" t="inlineStr">
        <is>
          <t>NNN</t>
        </is>
      </c>
      <c r="E52" s="9" t="n"/>
      <c r="F52" s="6" t="n">
        <v>46900</v>
      </c>
      <c r="G52" s="6" t="n">
        <v>9.380000000000001</v>
      </c>
      <c r="H52" s="5" t="inlineStr">
        <is>
          <t>9/2021</t>
        </is>
      </c>
      <c r="I52" s="5" t="inlineStr">
        <is>
          <t>9/2027</t>
        </is>
      </c>
      <c r="J52" s="5" t="inlineStr">
        <is>
          <t>—</t>
        </is>
      </c>
      <c r="K52" s="9" t="n"/>
      <c r="L52" s="6" t="n"/>
      <c r="M52" s="6" t="inlineStr">
        <is>
          <t>5,000 SF; recoveries $23,150 ($4.63/SF); gross rent $14.01/SF</t>
        </is>
      </c>
    </row>
    <row r="53">
      <c r="A53" s="6" t="inlineStr">
        <is>
          <t>6125 E. 56th Ave</t>
        </is>
      </c>
      <c r="B53" s="6" t="inlineStr">
        <is>
          <t>6125F</t>
        </is>
      </c>
      <c r="C53" s="6" t="inlineStr">
        <is>
          <t>Kerr Panel Manufacturing LLC</t>
        </is>
      </c>
      <c r="D53" s="6" t="inlineStr">
        <is>
          <t>NNN</t>
        </is>
      </c>
      <c r="E53" s="9" t="n"/>
      <c r="F53" s="6" t="n">
        <v>155000</v>
      </c>
      <c r="G53" s="6" t="n">
        <v>7.75</v>
      </c>
      <c r="H53" s="5" t="inlineStr">
        <is>
          <t>5/2021</t>
        </is>
      </c>
      <c r="I53" s="5" t="inlineStr">
        <is>
          <t>4/2026</t>
        </is>
      </c>
      <c r="J53" s="5" t="inlineStr">
        <is>
          <t>—</t>
        </is>
      </c>
      <c r="K53" s="9" t="n"/>
      <c r="L53" s="6" t="n"/>
      <c r="M53" s="6" t="inlineStr">
        <is>
          <t>20,000 SF; recoveries $92,600 ($4.63/SF); gross rent $12.38/SF</t>
        </is>
      </c>
    </row>
    <row r="54">
      <c r="A54" s="6" t="inlineStr">
        <is>
          <t>6125 E. 56th Ave</t>
        </is>
      </c>
      <c r="B54" s="6" t="inlineStr">
        <is>
          <t>6125G</t>
        </is>
      </c>
      <c r="C54" s="6" t="inlineStr">
        <is>
          <t>Summit Lighting Inc</t>
        </is>
      </c>
      <c r="D54" s="6" t="inlineStr">
        <is>
          <t>NNN</t>
        </is>
      </c>
      <c r="E54" s="9" t="n"/>
      <c r="F54" s="6" t="n">
        <v>46250</v>
      </c>
      <c r="G54" s="6" t="n">
        <v>9.25</v>
      </c>
      <c r="H54" s="5" t="inlineStr">
        <is>
          <t>5/2021</t>
        </is>
      </c>
      <c r="I54" s="5" t="inlineStr">
        <is>
          <t>4/2026</t>
        </is>
      </c>
      <c r="J54" s="5" t="inlineStr">
        <is>
          <t>—</t>
        </is>
      </c>
      <c r="K54" s="9" t="n"/>
      <c r="L54" s="6" t="n"/>
      <c r="M54" s="6" t="inlineStr">
        <is>
          <t>5,000 SF; recoveries $23,150 ($4.63/SF); gross rent $13.88/SF</t>
        </is>
      </c>
    </row>
    <row r="55">
      <c r="A55" s="6" t="inlineStr">
        <is>
          <t>6125 E. 56th Ave</t>
        </is>
      </c>
      <c r="B55" s="6" t="inlineStr">
        <is>
          <t>6125H</t>
        </is>
      </c>
      <c r="C55" s="6" t="inlineStr">
        <is>
          <t>VACANT</t>
        </is>
      </c>
      <c r="D55" s="6" t="inlineStr">
        <is>
          <t>—</t>
        </is>
      </c>
      <c r="E55" s="9" t="n"/>
      <c r="F55" s="6" t="n"/>
      <c r="G55" s="6" t="n"/>
      <c r="H55" s="5" t="inlineStr">
        <is>
          <t>—</t>
        </is>
      </c>
      <c r="I55" s="5" t="inlineStr">
        <is>
          <t>—</t>
        </is>
      </c>
      <c r="J55" s="5" t="inlineStr">
        <is>
          <t>—</t>
        </is>
      </c>
      <c r="K55" s="9" t="n"/>
      <c r="L55" s="6" t="n"/>
      <c r="M55" s="6" t="inlineStr">
        <is>
          <t>5,000 SF vacant at 6/30/2024 (13% of building); market rent forecast $10.00/SF net + $4.75/SF recoveries = $14.75/SF; prior tenant ZB Express Inc (modified gross) on the 6/30/2023 roll</t>
        </is>
      </c>
    </row>
    <row r="56">
      <c r="A56" s="11" t="inlineStr">
        <is>
          <t>6125 E. 56th Ave</t>
        </is>
      </c>
      <c r="B56" s="12" t="inlineStr">
        <is>
          <t>Total (occupied)</t>
        </is>
      </c>
      <c r="C56" s="12" t="inlineStr">
        <is>
          <t>5 line(s)</t>
        </is>
      </c>
      <c r="D56" s="13" t="n"/>
      <c r="E56" s="14" t="n"/>
      <c r="F56" s="14">
        <f>SUM(F51:F55)</f>
        <v/>
      </c>
      <c r="G56" s="13" t="n"/>
      <c r="H56" s="13" t="n"/>
      <c r="I56" s="13" t="n"/>
      <c r="J56" s="13" t="n"/>
      <c r="K56" s="14" t="n"/>
      <c r="L56" s="13" t="n"/>
      <c r="M56" s="15" t="inlineStr">
        <is>
          <t>Printed total: annual $296,000.00; expense recoveries $162,050; 35,000 SF.</t>
        </is>
      </c>
    </row>
    <row r="57">
      <c r="A57" s="6" t="inlineStr">
        <is>
          <t>6300 E. 58th Ave</t>
        </is>
      </c>
      <c r="B57" s="6" t="inlineStr">
        <is>
          <t>6300A</t>
        </is>
      </c>
      <c r="C57" s="6" t="inlineStr">
        <is>
          <t>Daniel J Sewolt Inc (dba Danny's Meat Service)</t>
        </is>
      </c>
      <c r="D57" s="6" t="inlineStr">
        <is>
          <t>Modified Gross</t>
        </is>
      </c>
      <c r="E57" s="9" t="n"/>
      <c r="F57" s="6" t="n">
        <v>82500</v>
      </c>
      <c r="G57" s="6" t="n">
        <v>11</v>
      </c>
      <c r="H57" s="5" t="inlineStr">
        <is>
          <t>8/2018</t>
        </is>
      </c>
      <c r="I57" s="5" t="inlineStr">
        <is>
          <t>11/2028</t>
        </is>
      </c>
      <c r="J57" s="5" t="inlineStr">
        <is>
          <t>—</t>
        </is>
      </c>
      <c r="K57" s="9" t="n"/>
      <c r="L57" s="6" t="n"/>
      <c r="M57" s="6" t="inlineStr">
        <is>
          <t>7,500 SF; recoveries $20,325 ($2.71/SF); gross rent $13.71/SF</t>
        </is>
      </c>
    </row>
    <row r="58">
      <c r="A58" s="6" t="inlineStr">
        <is>
          <t>6300 E. 58th Ave</t>
        </is>
      </c>
      <c r="B58" s="6" t="inlineStr">
        <is>
          <t>6300D</t>
        </is>
      </c>
      <c r="C58" s="6" t="inlineStr">
        <is>
          <t>Concrete Conservation LLC</t>
        </is>
      </c>
      <c r="D58" s="6" t="inlineStr">
        <is>
          <t>Modified Gross</t>
        </is>
      </c>
      <c r="E58" s="9" t="n"/>
      <c r="F58" s="6" t="n">
        <v>90540</v>
      </c>
      <c r="G58" s="6" t="n">
        <v>12.07</v>
      </c>
      <c r="H58" s="5" t="inlineStr">
        <is>
          <t>4/2018</t>
        </is>
      </c>
      <c r="I58" s="5" t="inlineStr">
        <is>
          <t>8/2028</t>
        </is>
      </c>
      <c r="J58" s="5" t="inlineStr">
        <is>
          <t>—</t>
        </is>
      </c>
      <c r="K58" s="9" t="n"/>
      <c r="L58" s="6" t="n"/>
      <c r="M58" s="6" t="inlineStr">
        <is>
          <t>7,500 SF; recoveries $20,325 ($2.71/SF); gross rent $14.78/SF</t>
        </is>
      </c>
    </row>
    <row r="59">
      <c r="A59" s="6" t="inlineStr">
        <is>
          <t>6300 E. 58th Ave</t>
        </is>
      </c>
      <c r="B59" s="6" t="inlineStr">
        <is>
          <t>6300G</t>
        </is>
      </c>
      <c r="C59" s="6" t="inlineStr">
        <is>
          <t>Trac Distribution Inc</t>
        </is>
      </c>
      <c r="D59" s="6" t="inlineStr">
        <is>
          <t>NNN</t>
        </is>
      </c>
      <c r="E59" s="9" t="n"/>
      <c r="F59" s="6" t="n">
        <v>50000</v>
      </c>
      <c r="G59" s="6" t="n">
        <v>10</v>
      </c>
      <c r="H59" s="5" t="inlineStr">
        <is>
          <t>12/2022</t>
        </is>
      </c>
      <c r="I59" s="5" t="inlineStr">
        <is>
          <t>11/2027</t>
        </is>
      </c>
      <c r="J59" s="5" t="inlineStr">
        <is>
          <t>—</t>
        </is>
      </c>
      <c r="K59" s="9" t="n"/>
      <c r="L59" s="6" t="n"/>
      <c r="M59" s="6" t="inlineStr">
        <is>
          <t>5,000 SF; recoveries $25,850 ($5.17/SF); gross rent $15.17/SF</t>
        </is>
      </c>
    </row>
    <row r="60">
      <c r="A60" s="6" t="inlineStr">
        <is>
          <t>6300 E. 58th Ave</t>
        </is>
      </c>
      <c r="B60" s="6" t="inlineStr">
        <is>
          <t>6300I</t>
        </is>
      </c>
      <c r="C60" s="6" t="inlineStr">
        <is>
          <t>Proximo Distillers LLC</t>
        </is>
      </c>
      <c r="D60" s="6" t="inlineStr">
        <is>
          <t>NNN</t>
        </is>
      </c>
      <c r="E60" s="9" t="n"/>
      <c r="F60" s="6" t="n">
        <v>100000</v>
      </c>
      <c r="G60" s="6" t="n">
        <v>10</v>
      </c>
      <c r="H60" s="5" t="inlineStr">
        <is>
          <t>6/2019</t>
        </is>
      </c>
      <c r="I60" s="5" t="inlineStr">
        <is>
          <t>7/2029</t>
        </is>
      </c>
      <c r="J60" s="5" t="inlineStr">
        <is>
          <t>—</t>
        </is>
      </c>
      <c r="K60" s="9" t="n"/>
      <c r="L60" s="6" t="n"/>
      <c r="M60" s="6" t="inlineStr">
        <is>
          <t>10,000 SF; recoveries $51,600 ($5.16/SF); gross rent $15.16/SF</t>
        </is>
      </c>
    </row>
    <row r="61">
      <c r="A61" s="6" t="inlineStr">
        <is>
          <t>6300 E. 58th Ave</t>
        </is>
      </c>
      <c r="B61" s="6" t="inlineStr">
        <is>
          <t>6340A</t>
        </is>
      </c>
      <c r="C61" s="6" t="inlineStr">
        <is>
          <t>Backlash Inc</t>
        </is>
      </c>
      <c r="D61" s="6" t="inlineStr">
        <is>
          <t>Modified Gross</t>
        </is>
      </c>
      <c r="E61" s="9" t="n"/>
      <c r="F61" s="6" t="n">
        <v>99000</v>
      </c>
      <c r="G61" s="6" t="n">
        <v>9.9</v>
      </c>
      <c r="H61" s="5" t="inlineStr">
        <is>
          <t>12/2007</t>
        </is>
      </c>
      <c r="I61" s="5" t="inlineStr">
        <is>
          <t>6/2025</t>
        </is>
      </c>
      <c r="J61" s="5" t="inlineStr">
        <is>
          <t>—</t>
        </is>
      </c>
      <c r="K61" s="9" t="n"/>
      <c r="L61" s="6" t="n"/>
      <c r="M61" s="6" t="inlineStr">
        <is>
          <t>10,000 SF; recoveries $32,000 ($3.20/SF); gross rent $13.10/SF</t>
        </is>
      </c>
    </row>
    <row r="62">
      <c r="A62" s="6" t="inlineStr">
        <is>
          <t>6300 E. 58th Ave</t>
        </is>
      </c>
      <c r="B62" s="6" t="inlineStr">
        <is>
          <t>6340C</t>
        </is>
      </c>
      <c r="C62" s="6" t="inlineStr">
        <is>
          <t>Nevada Tap Master</t>
        </is>
      </c>
      <c r="D62" s="6" t="inlineStr">
        <is>
          <t>NNN</t>
        </is>
      </c>
      <c r="E62" s="9" t="n"/>
      <c r="F62" s="6" t="n">
        <v>50000</v>
      </c>
      <c r="G62" s="6" t="n">
        <v>10</v>
      </c>
      <c r="H62" s="5" t="inlineStr">
        <is>
          <t>5/2024</t>
        </is>
      </c>
      <c r="I62" s="5" t="inlineStr">
        <is>
          <t>7/2029</t>
        </is>
      </c>
      <c r="J62" s="5" t="inlineStr">
        <is>
          <t>—</t>
        </is>
      </c>
      <c r="K62" s="9" t="n"/>
      <c r="L62" s="6" t="n"/>
      <c r="M62" s="6" t="inlineStr">
        <is>
          <t>5,000 SF; recoveries $24,450 ($4.89/SF); gross rent $14.89/SF; replaced All American Records Management (modified gross) from the 6/30/2023 roll</t>
        </is>
      </c>
    </row>
    <row r="63">
      <c r="A63" s="6" t="inlineStr">
        <is>
          <t>6300 E. 58th Ave</t>
        </is>
      </c>
      <c r="B63" s="6" t="inlineStr">
        <is>
          <t>6340G</t>
        </is>
      </c>
      <c r="C63" s="6" t="inlineStr">
        <is>
          <t>Biotrans LLC</t>
        </is>
      </c>
      <c r="D63" s="6" t="inlineStr">
        <is>
          <t>NNN</t>
        </is>
      </c>
      <c r="E63" s="9" t="n"/>
      <c r="F63" s="6" t="n">
        <v>50000</v>
      </c>
      <c r="G63" s="6" t="n">
        <v>10</v>
      </c>
      <c r="H63" s="5" t="inlineStr">
        <is>
          <t>5/2022</t>
        </is>
      </c>
      <c r="I63" s="5" t="inlineStr">
        <is>
          <t>5/2027</t>
        </is>
      </c>
      <c r="J63" s="5" t="inlineStr">
        <is>
          <t>—</t>
        </is>
      </c>
      <c r="K63" s="9" t="n"/>
      <c r="L63" s="6" t="n"/>
      <c r="M63" s="6" t="inlineStr">
        <is>
          <t>5,000 SF; recoveries $24,800 ($4.96/SF); gross rent $14.96/SF</t>
        </is>
      </c>
    </row>
    <row r="64">
      <c r="A64" s="6" t="inlineStr">
        <is>
          <t>6300 E. 58th Ave</t>
        </is>
      </c>
      <c r="B64" s="6" t="inlineStr">
        <is>
          <t>6340I</t>
        </is>
      </c>
      <c r="C64" s="6" t="inlineStr">
        <is>
          <t>The Whiskey Cartel Inc</t>
        </is>
      </c>
      <c r="D64" s="6" t="inlineStr">
        <is>
          <t>NNN</t>
        </is>
      </c>
      <c r="E64" s="9" t="n"/>
      <c r="F64" s="6" t="n">
        <v>25000</v>
      </c>
      <c r="G64" s="6" t="n">
        <v>10</v>
      </c>
      <c r="H64" s="5" t="inlineStr">
        <is>
          <t>5/2024</t>
        </is>
      </c>
      <c r="I64" s="5" t="inlineStr">
        <is>
          <t>4/2027</t>
        </is>
      </c>
      <c r="J64" s="5" t="inlineStr">
        <is>
          <t>—</t>
        </is>
      </c>
      <c r="K64" s="9" t="n"/>
      <c r="L64" s="6" t="n"/>
      <c r="M64" s="6" t="inlineStr">
        <is>
          <t>2,500 SF; recoveries $12,225 ($4.89/SF); gross rent $14.89/SF</t>
        </is>
      </c>
    </row>
    <row r="65">
      <c r="A65" s="6" t="inlineStr">
        <is>
          <t>6300 E. 58th Ave</t>
        </is>
      </c>
      <c r="B65" s="6" t="inlineStr">
        <is>
          <t>6340J</t>
        </is>
      </c>
      <c r="C65" s="6" t="inlineStr">
        <is>
          <t>Anders Beverage LLC</t>
        </is>
      </c>
      <c r="D65" s="6" t="inlineStr">
        <is>
          <t>NNN</t>
        </is>
      </c>
      <c r="E65" s="9" t="n"/>
      <c r="F65" s="6" t="n">
        <v>25500</v>
      </c>
      <c r="G65" s="6" t="n">
        <v>10.2</v>
      </c>
      <c r="H65" s="5" t="inlineStr">
        <is>
          <t>6/2020</t>
        </is>
      </c>
      <c r="I65" s="5" t="inlineStr">
        <is>
          <t>6/2025</t>
        </is>
      </c>
      <c r="J65" s="5" t="inlineStr">
        <is>
          <t>—</t>
        </is>
      </c>
      <c r="K65" s="9" t="n"/>
      <c r="L65" s="6" t="n"/>
      <c r="M65" s="6" t="inlineStr">
        <is>
          <t>2,500 SF; recoveries $12,400 ($4.96/SF); gross rent $15.16/SF</t>
        </is>
      </c>
    </row>
    <row r="66">
      <c r="A66" s="6" t="inlineStr">
        <is>
          <t>6300 E. 58th Ave</t>
        </is>
      </c>
      <c r="B66" s="6" t="inlineStr">
        <is>
          <t>6340K</t>
        </is>
      </c>
      <c r="C66" s="6" t="inlineStr">
        <is>
          <t>Automotive Transmission Engineering Corp</t>
        </is>
      </c>
      <c r="D66" s="6" t="inlineStr">
        <is>
          <t>NNN</t>
        </is>
      </c>
      <c r="E66" s="9" t="n"/>
      <c r="F66" s="6" t="n">
        <v>50000</v>
      </c>
      <c r="G66" s="6" t="n">
        <v>10</v>
      </c>
      <c r="H66" s="5" t="inlineStr">
        <is>
          <t>1/2023</t>
        </is>
      </c>
      <c r="I66" s="5" t="inlineStr">
        <is>
          <t>1/2026</t>
        </is>
      </c>
      <c r="J66" s="5" t="inlineStr">
        <is>
          <t>—</t>
        </is>
      </c>
      <c r="K66" s="9" t="n"/>
      <c r="L66" s="6" t="n"/>
      <c r="M66" s="6" t="inlineStr">
        <is>
          <t>5,000 SF; recoveries $10,650 ($2.13/SF); gross rent $12.13/SF</t>
        </is>
      </c>
    </row>
    <row r="67">
      <c r="A67" s="6" t="inlineStr">
        <is>
          <t>6300 E. 58th Ave</t>
        </is>
      </c>
      <c r="B67" s="6" t="inlineStr">
        <is>
          <t>6360C</t>
        </is>
      </c>
      <c r="C67" s="6" t="inlineStr">
        <is>
          <t>5071 Inc</t>
        </is>
      </c>
      <c r="D67" s="6" t="inlineStr">
        <is>
          <t>Modified Gross</t>
        </is>
      </c>
      <c r="E67" s="9" t="n"/>
      <c r="F67" s="6" t="n">
        <v>120714</v>
      </c>
      <c r="G67" s="6" t="n">
        <v>12.07</v>
      </c>
      <c r="H67" s="5" t="inlineStr">
        <is>
          <t>8/2018</t>
        </is>
      </c>
      <c r="I67" s="5" t="inlineStr">
        <is>
          <t>10/2026</t>
        </is>
      </c>
      <c r="J67" s="5" t="inlineStr">
        <is>
          <t>—</t>
        </is>
      </c>
      <c r="K67" s="9" t="n"/>
      <c r="L67" s="6" t="n"/>
      <c r="M67" s="6" t="inlineStr">
        <is>
          <t>10,000 SF; recoveries $26,900 ($2.69/SF); gross rent $14.76/SF</t>
        </is>
      </c>
    </row>
    <row r="68">
      <c r="A68" s="6" t="inlineStr">
        <is>
          <t>6300 E. 58th Ave</t>
        </is>
      </c>
      <c r="B68" s="6" t="inlineStr">
        <is>
          <t>6360E</t>
        </is>
      </c>
      <c r="C68" s="6" t="inlineStr">
        <is>
          <t>Elite Custom Exteriors LLC</t>
        </is>
      </c>
      <c r="D68" s="6" t="inlineStr">
        <is>
          <t>Modified Gross</t>
        </is>
      </c>
      <c r="E68" s="9" t="n"/>
      <c r="F68" s="6" t="n">
        <v>97500</v>
      </c>
      <c r="G68" s="6" t="n">
        <v>13</v>
      </c>
      <c r="H68" s="5" t="inlineStr">
        <is>
          <t>6/2014</t>
        </is>
      </c>
      <c r="I68" s="5" t="inlineStr">
        <is>
          <t>9/2024</t>
        </is>
      </c>
      <c r="J68" s="5" t="inlineStr">
        <is>
          <t>—</t>
        </is>
      </c>
      <c r="K68" s="9" t="n"/>
      <c r="L68" s="6" t="n"/>
      <c r="M68" s="6" t="inlineStr">
        <is>
          <t>7,500 SF; recoveries $23,025 ($3.07/SF); gross rent $16.07/SF; above-market older lease</t>
        </is>
      </c>
    </row>
    <row r="69">
      <c r="A69" s="6" t="inlineStr">
        <is>
          <t>6300 E. 58th Ave</t>
        </is>
      </c>
      <c r="B69" s="6" t="inlineStr">
        <is>
          <t>6360H</t>
        </is>
      </c>
      <c r="C69" s="6" t="inlineStr">
        <is>
          <t>Whole Harvest LLC</t>
        </is>
      </c>
      <c r="D69" s="6" t="inlineStr">
        <is>
          <t>NNN</t>
        </is>
      </c>
      <c r="E69" s="9" t="n"/>
      <c r="F69" s="6" t="n">
        <v>134610</v>
      </c>
      <c r="G69" s="6" t="n">
        <v>10.5</v>
      </c>
      <c r="H69" s="5" t="inlineStr">
        <is>
          <t>11/2022</t>
        </is>
      </c>
      <c r="I69" s="5" t="inlineStr">
        <is>
          <t>12/2025</t>
        </is>
      </c>
      <c r="J69" s="5" t="inlineStr">
        <is>
          <t>—</t>
        </is>
      </c>
      <c r="K69" s="9" t="n"/>
      <c r="L69" s="6" t="n"/>
      <c r="M69" s="6" t="inlineStr">
        <is>
          <t>12,820 SF; recoveries $67,433 ($5.26/SF); gross rent $15.76/SF</t>
        </is>
      </c>
    </row>
    <row r="70">
      <c r="A70" s="11" t="inlineStr">
        <is>
          <t>6300 E. 58th Ave</t>
        </is>
      </c>
      <c r="B70" s="12" t="inlineStr">
        <is>
          <t>Total (occupied)</t>
        </is>
      </c>
      <c r="C70" s="12" t="inlineStr">
        <is>
          <t>13 line(s)</t>
        </is>
      </c>
      <c r="D70" s="13" t="n"/>
      <c r="E70" s="14" t="n"/>
      <c r="F70" s="14">
        <f>SUM(F57:F69)</f>
        <v/>
      </c>
      <c r="G70" s="13" t="n"/>
      <c r="H70" s="13" t="n"/>
      <c r="I70" s="13" t="n"/>
      <c r="J70" s="13" t="n"/>
      <c r="K70" s="14" t="n"/>
      <c r="L70" s="13" t="n"/>
      <c r="M70" s="15" t="inlineStr">
        <is>
          <t>Printed total: annual $975,364.00; expense recoveries $351,983; 90,320 SF.</t>
        </is>
      </c>
    </row>
    <row r="71">
      <c r="A71" s="6" t="inlineStr">
        <is>
          <t>5800 E. 58th Ave</t>
        </is>
      </c>
      <c r="B71" s="6" t="inlineStr">
        <is>
          <t>5800A</t>
        </is>
      </c>
      <c r="C71" s="6" t="inlineStr">
        <is>
          <t>Solabev LLC</t>
        </is>
      </c>
      <c r="D71" s="6" t="inlineStr">
        <is>
          <t>Modified Gross</t>
        </is>
      </c>
      <c r="E71" s="9" t="n"/>
      <c r="F71" s="6" t="n">
        <v>99375</v>
      </c>
      <c r="G71" s="6" t="n">
        <v>13.25</v>
      </c>
      <c r="H71" s="5" t="inlineStr">
        <is>
          <t>10/2014</t>
        </is>
      </c>
      <c r="I71" s="5" t="inlineStr">
        <is>
          <t>12/2025</t>
        </is>
      </c>
      <c r="J71" s="5" t="inlineStr">
        <is>
          <t>—</t>
        </is>
      </c>
      <c r="K71" s="9" t="n"/>
      <c r="L71" s="6" t="n"/>
      <c r="M71" s="6" t="inlineStr">
        <is>
          <t>7,500 SF; recoveries $16,950 ($2.26/SF); gross rent $15.51/SF</t>
        </is>
      </c>
    </row>
    <row r="72">
      <c r="A72" s="6" t="inlineStr">
        <is>
          <t>5800 E. 58th Ave</t>
        </is>
      </c>
      <c r="B72" s="6" t="inlineStr">
        <is>
          <t>5800E</t>
        </is>
      </c>
      <c r="C72" s="6" t="inlineStr">
        <is>
          <t>Industrial Resources Inc</t>
        </is>
      </c>
      <c r="D72" s="6" t="inlineStr">
        <is>
          <t>Modified Gross</t>
        </is>
      </c>
      <c r="E72" s="9" t="n"/>
      <c r="F72" s="6" t="n">
        <v>86250</v>
      </c>
      <c r="G72" s="6" t="n">
        <v>11.5</v>
      </c>
      <c r="H72" s="5" t="inlineStr">
        <is>
          <t>5/2018</t>
        </is>
      </c>
      <c r="I72" s="5" t="inlineStr">
        <is>
          <t>5/2028</t>
        </is>
      </c>
      <c r="J72" s="5" t="inlineStr">
        <is>
          <t>—</t>
        </is>
      </c>
      <c r="K72" s="9" t="n"/>
      <c r="L72" s="6" t="n"/>
      <c r="M72" s="6" t="inlineStr">
        <is>
          <t>7,500 SF; recoveries $18,150 ($2.42/SF); gross rent $13.92/SF</t>
        </is>
      </c>
    </row>
    <row r="73">
      <c r="A73" s="6" t="inlineStr">
        <is>
          <t>5800 E. 58th Ave</t>
        </is>
      </c>
      <c r="B73" s="6" t="inlineStr">
        <is>
          <t>5800K</t>
        </is>
      </c>
      <c r="C73" s="6" t="inlineStr">
        <is>
          <t>Heritage Window Restoration LLC</t>
        </is>
      </c>
      <c r="D73" s="6" t="inlineStr">
        <is>
          <t>Modified Gross</t>
        </is>
      </c>
      <c r="E73" s="9" t="n"/>
      <c r="F73" s="6" t="n">
        <v>135125</v>
      </c>
      <c r="G73" s="6" t="n">
        <v>11.75</v>
      </c>
      <c r="H73" s="5" t="inlineStr">
        <is>
          <t>9/2016</t>
        </is>
      </c>
      <c r="I73" s="5" t="inlineStr">
        <is>
          <t>10/2025</t>
        </is>
      </c>
      <c r="J73" s="5" t="inlineStr">
        <is>
          <t>—</t>
        </is>
      </c>
      <c r="K73" s="9" t="n"/>
      <c r="L73" s="6" t="n"/>
      <c r="M73" s="6" t="inlineStr">
        <is>
          <t>11,500 SF; recoveries $32,775 ($2.85/SF); gross rent $14.60/SF</t>
        </is>
      </c>
    </row>
    <row r="74">
      <c r="A74" s="6" t="inlineStr">
        <is>
          <t>5800 E. 58th Ave</t>
        </is>
      </c>
      <c r="B74" s="6" t="inlineStr">
        <is>
          <t>5880G</t>
        </is>
      </c>
      <c r="C74" s="6" t="inlineStr">
        <is>
          <t>VACANT</t>
        </is>
      </c>
      <c r="D74" s="6" t="inlineStr">
        <is>
          <t>—</t>
        </is>
      </c>
      <c r="E74" s="9" t="n"/>
      <c r="F74" s="6" t="n"/>
      <c r="G74" s="6" t="n"/>
      <c r="H74" s="5" t="inlineStr">
        <is>
          <t>—</t>
        </is>
      </c>
      <c r="I74" s="5" t="inlineStr">
        <is>
          <t>—</t>
        </is>
      </c>
      <c r="J74" s="5" t="inlineStr">
        <is>
          <t>—</t>
        </is>
      </c>
      <c r="K74" s="9" t="n"/>
      <c r="L74" s="6" t="n"/>
      <c r="M74" s="6" t="inlineStr">
        <is>
          <t>2,500 SF vacant (9% of 29,000 SF total); market rent forecast $11.00/SF net + $5.00/SF expenses = $16.00/SF; prior tenant Unloading Services Inc (NNN) on the 6/30/2023 roll</t>
        </is>
      </c>
    </row>
    <row r="75">
      <c r="A75" s="11" t="inlineStr">
        <is>
          <t>5800 E. 58th Ave</t>
        </is>
      </c>
      <c r="B75" s="12" t="inlineStr">
        <is>
          <t>Total (occupied)</t>
        </is>
      </c>
      <c r="C75" s="12" t="inlineStr">
        <is>
          <t>4 line(s)</t>
        </is>
      </c>
      <c r="D75" s="13" t="n"/>
      <c r="E75" s="14" t="n"/>
      <c r="F75" s="14">
        <f>SUM(F71:F74)</f>
        <v/>
      </c>
      <c r="G75" s="13" t="n"/>
      <c r="H75" s="13" t="n"/>
      <c r="I75" s="13" t="n"/>
      <c r="J75" s="13" t="n"/>
      <c r="K75" s="14" t="n"/>
      <c r="L75" s="13" t="n"/>
      <c r="M75" s="15" t="inlineStr">
        <is>
          <t>Printed total: annual $320,750.00; expense recoveries $67,875; 26,500 SF.</t>
        </is>
      </c>
    </row>
    <row r="76">
      <c r="A76" s="6" t="inlineStr">
        <is>
          <t>6701 E. 50th Ave</t>
        </is>
      </c>
      <c r="B76" s="6" t="inlineStr">
        <is>
          <t>496-6701AB-CU</t>
        </is>
      </c>
      <c r="C76" s="6" t="inlineStr">
        <is>
          <t>Environmental Materials</t>
        </is>
      </c>
      <c r="D76" s="6" t="inlineStr">
        <is>
          <t>NNN (base + recoveries)</t>
        </is>
      </c>
      <c r="E76" s="9" t="n">
        <v>4339.96</v>
      </c>
      <c r="F76" s="6" t="n">
        <v>52079.52</v>
      </c>
      <c r="G76" s="6" t="n">
        <v>8.5</v>
      </c>
      <c r="H76" s="5" t="inlineStr">
        <is>
          <t>4/1/2020</t>
        </is>
      </c>
      <c r="I76" s="5" t="inlineStr">
        <is>
          <t>2/28/2025</t>
        </is>
      </c>
      <c r="J76" s="5" t="inlineStr">
        <is>
          <t>—</t>
        </is>
      </c>
      <c r="K76" s="9" t="n">
        <v>2179</v>
      </c>
      <c r="L76" s="6" t="n"/>
      <c r="M76" s="6" t="inlineStr">
        <is>
          <t>6,127 SF; recoveries/mo: op-exp $847.00 ($1.66/SF), RE tax $1,242.00 ($2.43/SF), other $90.00 ($0.18/SF); gross $6,518.96/mo ($12.77/SF)</t>
        </is>
      </c>
    </row>
    <row r="77">
      <c r="A77" s="6" t="inlineStr">
        <is>
          <t>6701 E. 50th Ave</t>
        </is>
      </c>
      <c r="B77" s="6" t="inlineStr">
        <is>
          <t>496-6707-CU</t>
        </is>
      </c>
      <c r="C77" s="6" t="inlineStr">
        <is>
          <t>Environmental Materials LLC</t>
        </is>
      </c>
      <c r="D77" s="6" t="inlineStr">
        <is>
          <t>NNN (base + recoveries)</t>
        </is>
      </c>
      <c r="E77" s="9" t="n">
        <v>9442.16</v>
      </c>
      <c r="F77" s="6" t="n">
        <v>113305.92</v>
      </c>
      <c r="G77" s="6" t="n">
        <v>7.06</v>
      </c>
      <c r="H77" s="5" t="inlineStr">
        <is>
          <t>1/1/2017</t>
        </is>
      </c>
      <c r="I77" s="5" t="inlineStr">
        <is>
          <t>2/28/2025</t>
        </is>
      </c>
      <c r="J77" s="5" t="inlineStr">
        <is>
          <t>—</t>
        </is>
      </c>
      <c r="K77" s="9" t="n">
        <v>5706</v>
      </c>
      <c r="L77" s="6" t="n"/>
      <c r="M77" s="6" t="inlineStr">
        <is>
          <t>16,049 SF; recoveries/mo: op-exp $2,218.00 ($1.66/SF), RE tax $3,253.00 ($2.43/SF), other $235.00 ($0.18/SF); gross $15,148.16/mo ($11.33/SF)</t>
        </is>
      </c>
    </row>
    <row r="78">
      <c r="A78" s="6" t="inlineStr">
        <is>
          <t>6701 E. 50th Ave</t>
        </is>
      </c>
      <c r="B78" s="6" t="inlineStr">
        <is>
          <t>496-6717-CU</t>
        </is>
      </c>
      <c r="C78" s="6" t="inlineStr">
        <is>
          <t>Comunidad Latina LLC</t>
        </is>
      </c>
      <c r="D78" s="6" t="inlineStr">
        <is>
          <t>NNN (base + recoveries)</t>
        </is>
      </c>
      <c r="E78" s="9" t="n">
        <v>8277</v>
      </c>
      <c r="F78" s="6" t="n">
        <v>99324</v>
      </c>
      <c r="G78" s="6" t="n">
        <v>7.75</v>
      </c>
      <c r="H78" s="5" t="inlineStr">
        <is>
          <t>5/3/2024</t>
        </is>
      </c>
      <c r="I78" s="5" t="inlineStr">
        <is>
          <t>4/30/2029</t>
        </is>
      </c>
      <c r="J78" s="5" t="inlineStr">
        <is>
          <t>—</t>
        </is>
      </c>
      <c r="K78" s="9" t="n">
        <v>4560.36</v>
      </c>
      <c r="L78" s="6" t="n"/>
      <c r="M78" s="6" t="inlineStr">
        <is>
          <t>12,816 SF; recoveries/mo: op-exp $1,772.88 ($1.66/SF), RE tax $2,595.24 ($2.43/SF), other $192.24 ($0.18/SF); gross $12,837.36/mo ($12.02/SF)</t>
        </is>
      </c>
    </row>
    <row r="79">
      <c r="A79" s="6" t="inlineStr">
        <is>
          <t>6701 E. 50th Ave</t>
        </is>
      </c>
      <c r="B79" s="6" t="inlineStr">
        <is>
          <t>496-6723-CU</t>
        </is>
      </c>
      <c r="C79" s="6" t="inlineStr">
        <is>
          <t>Lockwood Facades Inc</t>
        </is>
      </c>
      <c r="D79" s="6" t="inlineStr">
        <is>
          <t>NNN (base + recoveries)</t>
        </is>
      </c>
      <c r="E79" s="9" t="n">
        <v>7625.57</v>
      </c>
      <c r="F79" s="6" t="n">
        <v>91506.84</v>
      </c>
      <c r="G79" s="6" t="n">
        <v>7.7</v>
      </c>
      <c r="H79" s="5" t="inlineStr">
        <is>
          <t>5/1/2018</t>
        </is>
      </c>
      <c r="I79" s="5" t="inlineStr">
        <is>
          <t>4/30/2026</t>
        </is>
      </c>
      <c r="J79" s="5" t="inlineStr">
        <is>
          <t>—</t>
        </is>
      </c>
      <c r="K79" s="9" t="n">
        <v>4226</v>
      </c>
      <c r="L79" s="6" t="n"/>
      <c r="M79" s="6" t="inlineStr">
        <is>
          <t>11,884 SF; recoveries/mo: op-exp $1,643.00 ($1.66/SF), RE tax $2,409.00 ($2.43/SF), other $174.00 ($0.18/SF); gross $11,851.57/mo ($11.97/SF)</t>
        </is>
      </c>
    </row>
    <row r="80">
      <c r="A80" s="6" t="inlineStr">
        <is>
          <t>6701 E. 50th Ave</t>
        </is>
      </c>
      <c r="B80" s="6" t="inlineStr">
        <is>
          <t>496-6727-CU</t>
        </is>
      </c>
      <c r="C80" s="6" t="inlineStr">
        <is>
          <t>True World Foods</t>
        </is>
      </c>
      <c r="D80" s="6" t="inlineStr">
        <is>
          <t>NNN (base + recoveries)</t>
        </is>
      </c>
      <c r="E80" s="9" t="n">
        <v>8288.040000000001</v>
      </c>
      <c r="F80" s="6" t="n">
        <v>79565.16</v>
      </c>
      <c r="G80" s="6" t="n">
        <v>7.15</v>
      </c>
      <c r="H80" s="5" t="inlineStr">
        <is>
          <t>5/1/2016</t>
        </is>
      </c>
      <c r="I80" s="5" t="inlineStr">
        <is>
          <t>4/30/2024</t>
        </is>
      </c>
      <c r="J80" s="5" t="inlineStr">
        <is>
          <t>—</t>
        </is>
      </c>
      <c r="K80" s="9" t="n">
        <v>3957</v>
      </c>
      <c r="L80" s="6" t="n"/>
      <c r="M80" s="6" t="inlineStr">
        <is>
          <t>11,128 SF; recoveries/mo: op-exp $1,538.00 ($1.66/SF), RE tax $2,256.00 ($2.43/SF), other $163.00 ($0.18/SF); gross $10,587.43/mo ($11.42/SF); lease expired 4/30/2024 — holdover; prorated annual reflects the 5/1/2023 step to $6,630.43/mo</t>
        </is>
      </c>
    </row>
    <row r="81">
      <c r="A81" s="6" t="inlineStr">
        <is>
          <t>6701 E. 50th Ave</t>
        </is>
      </c>
      <c r="B81" s="6" t="inlineStr">
        <is>
          <t>496-6731A-CU</t>
        </is>
      </c>
      <c r="C81" s="6" t="inlineStr">
        <is>
          <t>1-800 Hansons LLC</t>
        </is>
      </c>
      <c r="D81" s="6" t="inlineStr">
        <is>
          <t>NNN (base + recoveries)</t>
        </is>
      </c>
      <c r="E81" s="9" t="n">
        <v>4944</v>
      </c>
      <c r="F81" s="6" t="n">
        <v>59328</v>
      </c>
      <c r="G81" s="6" t="n">
        <v>8.24</v>
      </c>
      <c r="H81" s="5" t="inlineStr">
        <is>
          <t>7/1/2023</t>
        </is>
      </c>
      <c r="I81" s="5" t="inlineStr">
        <is>
          <t>6/30/2026</t>
        </is>
      </c>
      <c r="J81" s="5" t="inlineStr">
        <is>
          <t>—</t>
        </is>
      </c>
      <c r="K81" s="9" t="n">
        <v>2559</v>
      </c>
      <c r="L81" s="6" t="n"/>
      <c r="M81" s="6" t="inlineStr">
        <is>
          <t>7,200 SF; recoveries/mo: op-exp $995.00 ($1.66/SF), RE tax $1,459.00 ($2.43/SF), other $105.00 ($0.18/SF); gross $7,503.00/mo ($12.51/SF)</t>
        </is>
      </c>
    </row>
    <row r="82">
      <c r="A82" s="6" t="inlineStr">
        <is>
          <t>6701 E. 50th Ave</t>
        </is>
      </c>
      <c r="B82" s="6" t="inlineStr">
        <is>
          <t>496-6731B-CU</t>
        </is>
      </c>
      <c r="C82" s="6" t="inlineStr">
        <is>
          <t>One Clear Choice</t>
        </is>
      </c>
      <c r="D82" s="6" t="inlineStr">
        <is>
          <t>NNN (base + recoveries)</t>
        </is>
      </c>
      <c r="E82" s="9" t="n">
        <v>5478</v>
      </c>
      <c r="F82" s="6" t="n">
        <v>65736</v>
      </c>
      <c r="G82" s="6" t="n">
        <v>8</v>
      </c>
      <c r="H82" s="5" t="inlineStr">
        <is>
          <t>4/1/2022</t>
        </is>
      </c>
      <c r="I82" s="5" t="inlineStr">
        <is>
          <t>3/31/2026</t>
        </is>
      </c>
      <c r="J82" s="5" t="inlineStr">
        <is>
          <t>—</t>
        </is>
      </c>
      <c r="K82" s="9" t="n">
        <v>2922</v>
      </c>
      <c r="L82" s="6" t="n"/>
      <c r="M82" s="6" t="inlineStr">
        <is>
          <t>8,217 SF; recoveries/mo: op-exp $1,136.00 ($1.66/SF), RE tax $1,666.00 ($2.43/SF), other $120.00 ($0.18/SF); gross $8,400.00/mo ($12.27/SF)</t>
        </is>
      </c>
    </row>
    <row r="83">
      <c r="A83" s="6" t="inlineStr">
        <is>
          <t>6701 E. 50th Ave</t>
        </is>
      </c>
      <c r="B83" s="6" t="inlineStr">
        <is>
          <t>496-6735-CU</t>
        </is>
      </c>
      <c r="C83" s="6" t="inlineStr">
        <is>
          <t>Squeezed Colorado LLC</t>
        </is>
      </c>
      <c r="D83" s="6" t="inlineStr">
        <is>
          <t>NNN (base + recoveries)</t>
        </is>
      </c>
      <c r="E83" s="9" t="n">
        <v>2335.6</v>
      </c>
      <c r="F83" s="6" t="n">
        <v>28027.2</v>
      </c>
      <c r="G83" s="6" t="n">
        <v>7.82</v>
      </c>
      <c r="H83" s="5" t="inlineStr">
        <is>
          <t>9/1/2020</t>
        </is>
      </c>
      <c r="I83" s="5" t="inlineStr">
        <is>
          <t>10/31/2025</t>
        </is>
      </c>
      <c r="J83" s="5" t="inlineStr">
        <is>
          <t>—</t>
        </is>
      </c>
      <c r="K83" s="9" t="n">
        <v>1276</v>
      </c>
      <c r="L83" s="6" t="n"/>
      <c r="M83" s="6" t="inlineStr">
        <is>
          <t>3,583 SF; recoveries/mo: op-exp $495.00 ($1.66/SF), RE tax $726.00 ($2.43/SF), other $55.00 ($0.18/SF); gross $3,611.60/mo ($12.1/SF)</t>
        </is>
      </c>
    </row>
    <row r="84">
      <c r="A84" s="6" t="inlineStr">
        <is>
          <t>6701 E. 50th Ave</t>
        </is>
      </c>
      <c r="B84" s="6" t="inlineStr">
        <is>
          <t>496-6741-CU</t>
        </is>
      </c>
      <c r="C84" s="6" t="inlineStr">
        <is>
          <t>Wizbang Solutions</t>
        </is>
      </c>
      <c r="D84" s="6" t="inlineStr">
        <is>
          <t>NNN (base + recoveries)</t>
        </is>
      </c>
      <c r="E84" s="9" t="n">
        <v>3025.67</v>
      </c>
      <c r="F84" s="6" t="n">
        <v>36308.04</v>
      </c>
      <c r="G84" s="6" t="n">
        <v>7.25</v>
      </c>
      <c r="H84" s="5" t="inlineStr">
        <is>
          <t>3/1/2022</t>
        </is>
      </c>
      <c r="I84" s="5" t="inlineStr">
        <is>
          <t>4/30/2028</t>
        </is>
      </c>
      <c r="J84" s="5" t="inlineStr">
        <is>
          <t>—</t>
        </is>
      </c>
      <c r="K84" s="9" t="n">
        <v>1784</v>
      </c>
      <c r="L84" s="6" t="n"/>
      <c r="M84" s="6" t="inlineStr">
        <is>
          <t>5,008 SF; recoveries/mo: op-exp $692.00 ($1.66/SF), RE tax $1,015.00 ($2.43/SF), other $77.00 ($0.18/SF); gross $4,809.67/mo ($11.52/SF)</t>
        </is>
      </c>
    </row>
    <row r="85">
      <c r="A85" s="6" t="inlineStr">
        <is>
          <t>6701 E. 50th Ave</t>
        </is>
      </c>
      <c r="B85" s="6" t="inlineStr">
        <is>
          <t>496-6747-CU</t>
        </is>
      </c>
      <c r="C85" s="6" t="inlineStr">
        <is>
          <t>Wiz Bang Solutions</t>
        </is>
      </c>
      <c r="D85" s="6" t="inlineStr">
        <is>
          <t>NNN (base + recoveries)</t>
        </is>
      </c>
      <c r="E85" s="9" t="n">
        <v>6758.81</v>
      </c>
      <c r="F85" s="6" t="n">
        <v>81105.72</v>
      </c>
      <c r="G85" s="6" t="n">
        <v>7.25</v>
      </c>
      <c r="H85" s="5" t="inlineStr">
        <is>
          <t>1/1/2018</t>
        </is>
      </c>
      <c r="I85" s="5" t="inlineStr">
        <is>
          <t>4/30/2028</t>
        </is>
      </c>
      <c r="J85" s="5" t="inlineStr">
        <is>
          <t>—</t>
        </is>
      </c>
      <c r="K85" s="9" t="n">
        <v>3978</v>
      </c>
      <c r="L85" s="6" t="n"/>
      <c r="M85" s="6" t="inlineStr">
        <is>
          <t>11,187 SF; recoveries/mo: op-exp $1,546.00 ($1.66/SF), RE tax $2,268.00 ($2.43/SF), other $164.00 ($0.18/SF); gross $10,736.81/mo ($11.52/SF)</t>
        </is>
      </c>
    </row>
    <row r="86">
      <c r="A86" s="6" t="inlineStr">
        <is>
          <t>6701 E. 50th Ave</t>
        </is>
      </c>
      <c r="B86" s="6" t="inlineStr">
        <is>
          <t>496-YARD1-CU</t>
        </is>
      </c>
      <c r="C86" s="6" t="inlineStr">
        <is>
          <t>VACANT (yard)</t>
        </is>
      </c>
      <c r="D86" s="6" t="inlineStr">
        <is>
          <t>NNN (base + recoveries)</t>
        </is>
      </c>
      <c r="E86" s="9" t="n">
        <v>750</v>
      </c>
      <c r="F86" s="6" t="n">
        <v>0</v>
      </c>
      <c r="G86" s="6" t="n">
        <v>0</v>
      </c>
      <c r="H86" s="5" t="inlineStr">
        <is>
          <t>—</t>
        </is>
      </c>
      <c r="I86" s="5" t="inlineStr">
        <is>
          <t>—</t>
        </is>
      </c>
      <c r="J86" s="5" t="inlineStr">
        <is>
          <t>—</t>
        </is>
      </c>
      <c r="K86" s="9" t="n">
        <v>0</v>
      </c>
      <c r="L86" s="6" t="n"/>
      <c r="M86" s="6" t="inlineStr">
        <is>
          <t>0 SF; recoveries/mo: op-exp $0.00 ($1.66/SF), RE tax $0.00 ($2.43/SF), other $0.00 ($0.18/SF); gross $0.00/mo ($0.0/SF); carried at 0 SF with $750.00/mo yard rent</t>
        </is>
      </c>
    </row>
    <row r="87">
      <c r="A87" s="11" t="inlineStr">
        <is>
          <t>6701 E. 50th Ave</t>
        </is>
      </c>
      <c r="B87" s="12" t="inlineStr">
        <is>
          <t>TOTALS</t>
        </is>
      </c>
      <c r="C87" s="12" t="inlineStr">
        <is>
          <t>11 units</t>
        </is>
      </c>
      <c r="D87" s="13" t="n"/>
      <c r="E87" s="14">
        <f>SUM(E76:E86)</f>
        <v/>
      </c>
      <c r="F87" s="14">
        <f>SUM(F76:F86)</f>
        <v/>
      </c>
      <c r="G87" s="13" t="n"/>
      <c r="H87" s="13" t="n"/>
      <c r="I87" s="13" t="n"/>
      <c r="J87" s="13" t="n"/>
      <c r="K87" s="14">
        <f>SUM(K76:K86)</f>
        <v/>
      </c>
      <c r="L87" s="13" t="n"/>
      <c r="M87" s="15" t="inlineStr">
        <is>
          <t>Printed totals: 93,199 SF (0 vacant); base rent $61,264.81/mo; prorated annual $706,286.40 ($7.58/SF); recoveries $12,882.88 + $18,889.24 + $1,375.24/mo; gross rents $92,004.56/mo ($11.85/SF). Colliers report run 1/7/2025 for 12/1-12/31/2024.</t>
        </is>
      </c>
    </row>
    <row r="89">
      <c r="A89" s="10" t="inlineStr">
        <is>
          <t>6475 E. 56th Ave (R0091912) — McElroy Metal Mill Inc. dba Metal Mart, single-tenant lease chronology (rent includes taxes &amp; insurance)</t>
        </is>
      </c>
      <c r="B89" s="20" t="n"/>
      <c r="C89" s="20" t="n"/>
      <c r="D89" s="20" t="n"/>
      <c r="E89" s="20" t="n"/>
      <c r="F89" s="20" t="n"/>
      <c r="G89" s="20" t="n"/>
      <c r="H89" s="20" t="n"/>
      <c r="I89" s="20" t="n"/>
      <c r="J89" s="20" t="n"/>
      <c r="K89" s="20" t="n"/>
      <c r="L89" s="20" t="n"/>
      <c r="M89" s="21" t="n"/>
    </row>
    <row r="90">
      <c r="A90" s="6" t="inlineStr">
        <is>
          <t>6475 E. 56th Ave</t>
        </is>
      </c>
      <c r="B90" s="6" t="inlineStr">
        <is>
          <t>Base term</t>
        </is>
      </c>
      <c r="C90" s="6" t="inlineStr">
        <is>
          <t>McElroy Metal Mill Inc. dba Metal Mart</t>
        </is>
      </c>
      <c r="D90" s="6" t="inlineStr">
        <is>
          <t>Gross (taxes &amp; insurance included)</t>
        </is>
      </c>
      <c r="E90" s="9" t="n">
        <v>9125</v>
      </c>
      <c r="F90" s="6" t="n">
        <v>109500</v>
      </c>
      <c r="G90" s="6" t="n">
        <v>8.73</v>
      </c>
      <c r="H90" s="5" t="inlineStr">
        <is>
          <t>2/1/2017</t>
        </is>
      </c>
      <c r="I90" s="5" t="inlineStr">
        <is>
          <t>1/31/2018</t>
        </is>
      </c>
      <c r="J90" s="5" t="inlineStr">
        <is>
          <t>—</t>
        </is>
      </c>
      <c r="K90" s="9" t="n"/>
      <c r="L90" s="6" t="n"/>
      <c r="M90" s="6" t="inlineStr">
        <is>
          <t>Original Short Form Lease dated 10/11/2016; taxes &amp; insurance included in rent | 12,540 SF building on ~2 acres</t>
        </is>
      </c>
    </row>
    <row r="91">
      <c r="A91" s="6" t="inlineStr">
        <is>
          <t>6475 E. 56th Ave</t>
        </is>
      </c>
      <c r="B91" s="6" t="inlineStr">
        <is>
          <t>Option 1</t>
        </is>
      </c>
      <c r="C91" s="6" t="inlineStr">
        <is>
          <t>McElroy Metal Mill Inc. dba Metal Mart</t>
        </is>
      </c>
      <c r="D91" s="6" t="inlineStr">
        <is>
          <t>Gross (taxes &amp; insurance included)</t>
        </is>
      </c>
      <c r="E91" s="9" t="n">
        <v>9125</v>
      </c>
      <c r="F91" s="6" t="n">
        <v>109500</v>
      </c>
      <c r="G91" s="6" t="n">
        <v>8.73</v>
      </c>
      <c r="H91" s="5" t="inlineStr">
        <is>
          <t>2/1/2018</t>
        </is>
      </c>
      <c r="I91" s="5" t="inlineStr">
        <is>
          <t>1/31/2019</t>
        </is>
      </c>
      <c r="J91" s="5" t="inlineStr">
        <is>
          <t>1-yr option</t>
        </is>
      </c>
      <c r="K91" s="9" t="n"/>
      <c r="L91" s="6" t="n"/>
      <c r="M91" s="6" t="inlineStr">
        <is>
          <t>First of four 1-yr options under the original lease</t>
        </is>
      </c>
    </row>
    <row r="92">
      <c r="A92" s="6" t="inlineStr">
        <is>
          <t>6475 E. 56th Ave</t>
        </is>
      </c>
      <c r="B92" s="6" t="inlineStr">
        <is>
          <t>Option 2</t>
        </is>
      </c>
      <c r="C92" s="6" t="inlineStr">
        <is>
          <t>McElroy Metal Mill Inc. dba Metal Mart</t>
        </is>
      </c>
      <c r="D92" s="6" t="inlineStr">
        <is>
          <t>Gross (taxes &amp; insurance included)</t>
        </is>
      </c>
      <c r="E92" s="9" t="n">
        <v>9250</v>
      </c>
      <c r="F92" s="6" t="n">
        <v>111000</v>
      </c>
      <c r="G92" s="6" t="n">
        <v>8.85</v>
      </c>
      <c r="H92" s="5" t="inlineStr">
        <is>
          <t>2/1/2019</t>
        </is>
      </c>
      <c r="I92" s="5" t="inlineStr">
        <is>
          <t>1/31/2020</t>
        </is>
      </c>
      <c r="J92" s="5" t="inlineStr">
        <is>
          <t>1-yr option</t>
        </is>
      </c>
      <c r="K92" s="9" t="n"/>
      <c r="L92" s="6" t="n"/>
      <c r="M92" s="6" t="inlineStr"/>
    </row>
    <row r="93">
      <c r="A93" s="6" t="inlineStr">
        <is>
          <t>6475 E. 56th Ave</t>
        </is>
      </c>
      <c r="B93" s="6" t="inlineStr">
        <is>
          <t>Option 3</t>
        </is>
      </c>
      <c r="C93" s="6" t="inlineStr">
        <is>
          <t>McElroy Metal Mill Inc. dba Metal Mart</t>
        </is>
      </c>
      <c r="D93" s="6" t="inlineStr">
        <is>
          <t>Gross (taxes &amp; insurance included)</t>
        </is>
      </c>
      <c r="E93" s="9" t="n">
        <v>9375</v>
      </c>
      <c r="F93" s="6" t="n">
        <v>112500</v>
      </c>
      <c r="G93" s="6" t="n">
        <v>8.970000000000001</v>
      </c>
      <c r="H93" s="5" t="inlineStr">
        <is>
          <t>2/1/2020</t>
        </is>
      </c>
      <c r="I93" s="5" t="inlineStr">
        <is>
          <t>1/31/2021</t>
        </is>
      </c>
      <c r="J93" s="5" t="inlineStr">
        <is>
          <t>1-yr option</t>
        </is>
      </c>
      <c r="K93" s="9" t="n"/>
      <c r="L93" s="6" t="n"/>
      <c r="M93" s="6" t="inlineStr"/>
    </row>
    <row r="94">
      <c r="A94" s="6" t="inlineStr">
        <is>
          <t>6475 E. 56th Ave</t>
        </is>
      </c>
      <c r="B94" s="6" t="inlineStr">
        <is>
          <t>Option 4</t>
        </is>
      </c>
      <c r="C94" s="6" t="inlineStr">
        <is>
          <t>McElroy Metal Mill Inc. dba Metal Mart</t>
        </is>
      </c>
      <c r="D94" s="6" t="inlineStr">
        <is>
          <t>Gross (taxes &amp; insurance included)</t>
        </is>
      </c>
      <c r="E94" s="9" t="n">
        <v>9500</v>
      </c>
      <c r="F94" s="6" t="n">
        <v>114000</v>
      </c>
      <c r="G94" s="6" t="n">
        <v>9.09</v>
      </c>
      <c r="H94" s="5" t="inlineStr">
        <is>
          <t>2/1/2021</t>
        </is>
      </c>
      <c r="I94" s="5" t="inlineStr">
        <is>
          <t>1/31/2022</t>
        </is>
      </c>
      <c r="J94" s="5" t="inlineStr">
        <is>
          <t>1-yr option</t>
        </is>
      </c>
      <c r="K94" s="9" t="n"/>
      <c r="L94" s="6" t="n"/>
      <c r="M94" s="6" t="inlineStr"/>
    </row>
    <row r="95">
      <c r="A95" s="6" t="inlineStr">
        <is>
          <t>6475 E. 56th Ave</t>
        </is>
      </c>
      <c r="B95" s="6" t="inlineStr">
        <is>
          <t>Extension</t>
        </is>
      </c>
      <c r="C95" s="6" t="inlineStr">
        <is>
          <t>McElroy Metal Mill Inc. dba Metal Mart</t>
        </is>
      </c>
      <c r="D95" s="6" t="inlineStr">
        <is>
          <t>Gross (taxes &amp; insurance included)</t>
        </is>
      </c>
      <c r="E95" s="9" t="n">
        <v>13750</v>
      </c>
      <c r="F95" s="6" t="n">
        <v>165000</v>
      </c>
      <c r="G95" s="6" t="n">
        <v>13.16</v>
      </c>
      <c r="H95" s="5" t="inlineStr">
        <is>
          <t>2/1/2022</t>
        </is>
      </c>
      <c r="I95" s="5" t="inlineStr">
        <is>
          <t>1/31/2025</t>
        </is>
      </c>
      <c r="J95" s="5" t="inlineStr">
        <is>
          <t>—</t>
        </is>
      </c>
      <c r="K95" s="9" t="n"/>
      <c r="L95" s="6" t="n"/>
      <c r="M95" s="6" t="inlineStr">
        <is>
          <t>Lease Extension Agreement dated 10/25/2021; three further 1-yr options at +$250/mo each</t>
        </is>
      </c>
    </row>
    <row r="96">
      <c r="A96" s="6" t="inlineStr">
        <is>
          <t>6475 E. 56th Ave</t>
        </is>
      </c>
      <c r="B96" s="6" t="inlineStr">
        <is>
          <t>Ext. option 1</t>
        </is>
      </c>
      <c r="C96" s="6" t="inlineStr">
        <is>
          <t>McElroy Metal Mill Inc. dba Metal Mart</t>
        </is>
      </c>
      <c r="D96" s="6" t="inlineStr">
        <is>
          <t>Gross (taxes &amp; insurance included)</t>
        </is>
      </c>
      <c r="E96" s="9" t="n">
        <v>14000</v>
      </c>
      <c r="F96" s="6" t="n">
        <v>168000</v>
      </c>
      <c r="G96" s="6" t="n">
        <v>13.4</v>
      </c>
      <c r="H96" s="5" t="inlineStr">
        <is>
          <t>2/1/2025</t>
        </is>
      </c>
      <c r="I96" s="5" t="inlineStr">
        <is>
          <t>1/31/2026</t>
        </is>
      </c>
      <c r="J96" s="5" t="inlineStr">
        <is>
          <t>1-yr option</t>
        </is>
      </c>
      <c r="K96" s="9" t="n"/>
      <c r="L96" s="6" t="n"/>
      <c r="M96" s="6" t="inlineStr">
        <is>
          <t>Exercised by McElroy letter dated 10/22/2024</t>
        </is>
      </c>
    </row>
    <row r="97">
      <c r="A97" s="6" t="inlineStr">
        <is>
          <t>6475 E. 56th Ave</t>
        </is>
      </c>
      <c r="B97" s="6" t="inlineStr">
        <is>
          <t>Ext. option 2</t>
        </is>
      </c>
      <c r="C97" s="6" t="inlineStr">
        <is>
          <t>McElroy Metal Mill Inc. dba Metal Mart</t>
        </is>
      </c>
      <c r="D97" s="6" t="inlineStr">
        <is>
          <t>Gross (taxes &amp; insurance included)</t>
        </is>
      </c>
      <c r="E97" s="9" t="n">
        <v>14250</v>
      </c>
      <c r="F97" s="6" t="n">
        <v>171000</v>
      </c>
      <c r="G97" s="6" t="n">
        <v>13.64</v>
      </c>
      <c r="H97" s="5" t="inlineStr">
        <is>
          <t>2/1/2026</t>
        </is>
      </c>
      <c r="I97" s="5" t="inlineStr">
        <is>
          <t>1/31/2027</t>
        </is>
      </c>
      <c r="J97" s="5" t="inlineStr">
        <is>
          <t>1-yr option</t>
        </is>
      </c>
      <c r="K97" s="9" t="n"/>
      <c r="L97" s="6" t="n"/>
      <c r="M97" s="6" t="inlineStr">
        <is>
          <t>Exercised by McElroy letter dated 10/10/2025</t>
        </is>
      </c>
    </row>
  </sheetData>
  <mergeCells count="8">
    <mergeCell ref="A1:M1"/>
    <mergeCell ref="A45:M45"/>
    <mergeCell ref="A5:M5"/>
    <mergeCell ref="A27:M27"/>
    <mergeCell ref="A89:M89"/>
    <mergeCell ref="A18:M18"/>
    <mergeCell ref="A21:M2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5"/>
  <sheetViews>
    <sheetView showGridLines="1"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1">
      <c r="A11" s="6" t="inlineStr">
        <is>
          <t>1540 Altura Blvd (R0085571)</t>
        </is>
      </c>
      <c r="B11" s="5" t="inlineStr">
        <is>
          <t>2025</t>
        </is>
      </c>
      <c r="C11" s="9" t="n">
        <v>3309468</v>
      </c>
      <c r="D11" s="16" t="n">
        <v>121.95</v>
      </c>
      <c r="E11" s="9" t="n">
        <v>2546900</v>
      </c>
      <c r="F11" s="16" t="n">
        <v>93.84999999999999</v>
      </c>
      <c r="G11" s="9" t="n">
        <v>3571199</v>
      </c>
      <c r="H11" s="6" t="inlineStr">
        <is>
          <t>R0085571</t>
        </is>
      </c>
    </row>
    <row r="12" ht="28" customHeight="1">
      <c r="A12" s="6" t="inlineStr">
        <is>
          <t>15413 E 18th Ave (R0086010)</t>
        </is>
      </c>
      <c r="B12" s="5" t="inlineStr">
        <is>
          <t>2026</t>
        </is>
      </c>
      <c r="C12" s="9" t="n">
        <v>8187500</v>
      </c>
      <c r="D12" s="16" t="n">
        <v>141.79</v>
      </c>
      <c r="E12" s="9" t="n">
        <v>6610000</v>
      </c>
      <c r="F12" s="16" t="n">
        <v>114.47</v>
      </c>
      <c r="G12" s="9" t="n"/>
      <c r="H12" s="6" t="inlineStr">
        <is>
          <t>R0086010</t>
        </is>
      </c>
    </row>
    <row r="13">
      <c r="A13" s="6" t="inlineStr">
        <is>
          <t>10350 Washington St (R0040829)</t>
        </is>
      </c>
      <c r="B13" s="5" t="inlineStr">
        <is>
          <t>2025/2026</t>
        </is>
      </c>
      <c r="C13" s="9" t="n">
        <v>5428808</v>
      </c>
      <c r="D13" s="16" t="n">
        <v>112.51</v>
      </c>
      <c r="E13" s="9" t="n">
        <v>4510000</v>
      </c>
      <c r="F13" s="16" t="n">
        <v>93.47</v>
      </c>
      <c r="G13" s="9" t="n"/>
      <c r="H13" s="6" t="inlineStr">
        <is>
          <t>R0040829</t>
        </is>
      </c>
    </row>
    <row r="14">
      <c r="A14" s="6" t="inlineStr">
        <is>
          <t>5720 Holly St (R0091907)</t>
        </is>
      </c>
      <c r="B14" s="5" t="inlineStr">
        <is>
          <t>2025</t>
        </is>
      </c>
      <c r="C14" s="9" t="n">
        <v>6896593</v>
      </c>
      <c r="D14" s="16" t="n">
        <v>126.99</v>
      </c>
      <c r="E14" s="9" t="n">
        <v>6113000</v>
      </c>
      <c r="F14" s="16" t="n">
        <v>112.58</v>
      </c>
      <c r="G14" s="9" t="n"/>
      <c r="H14" s="6" t="inlineStr">
        <is>
          <t>R0091907</t>
        </is>
      </c>
    </row>
    <row r="15" ht="30" customHeight="1">
      <c r="A15" s="6" t="inlineStr">
        <is>
          <t>6125 E. 56th Ave (R0091909)</t>
        </is>
      </c>
      <c r="B15" s="5" t="inlineStr">
        <is>
          <t>2025</t>
        </is>
      </c>
      <c r="C15" s="9" t="n">
        <v>6018844</v>
      </c>
      <c r="D15" s="16" t="n">
        <v>150.47</v>
      </c>
      <c r="E15" s="9" t="n">
        <v>3975000</v>
      </c>
      <c r="F15" s="16" t="n">
        <v>99.38</v>
      </c>
      <c r="G15" s="9" t="n"/>
      <c r="H15" s="6" t="inlineStr">
        <is>
          <t>R0091909</t>
        </is>
      </c>
    </row>
    <row r="16">
      <c r="A16" s="6" t="inlineStr">
        <is>
          <t>6300 E. 58th Ave (R0091931)</t>
        </is>
      </c>
      <c r="B16" s="5" t="inlineStr">
        <is>
          <t>2025</t>
        </is>
      </c>
      <c r="C16" s="9" t="n">
        <v>11719385</v>
      </c>
      <c r="D16" s="16" t="n">
        <v>130.22</v>
      </c>
      <c r="E16" s="9" t="n">
        <v>9450000</v>
      </c>
      <c r="F16" s="16" t="n">
        <v>105</v>
      </c>
      <c r="G16" s="9" t="n"/>
      <c r="H16" s="6" t="inlineStr">
        <is>
          <t>R0091931</t>
        </is>
      </c>
    </row>
    <row r="17">
      <c r="A17" s="6" t="inlineStr">
        <is>
          <t>5800 E. 58th Ave (R0091933)</t>
        </is>
      </c>
      <c r="B17" s="5" t="inlineStr">
        <is>
          <t>2025</t>
        </is>
      </c>
      <c r="C17" s="9" t="n">
        <v>4645796</v>
      </c>
      <c r="D17" s="16" t="n">
        <v>163.01</v>
      </c>
      <c r="E17" s="9" t="n">
        <v>3210000</v>
      </c>
      <c r="F17" s="16" t="n">
        <v>112.63</v>
      </c>
      <c r="G17" s="9" t="n"/>
      <c r="H17" s="6" t="inlineStr">
        <is>
          <t>R0091933</t>
        </is>
      </c>
    </row>
    <row r="18">
      <c r="A18" s="6" t="inlineStr">
        <is>
          <t>5750 E. 58th Ave (R0091934)</t>
        </is>
      </c>
      <c r="B18" s="5" t="inlineStr">
        <is>
          <t>2025</t>
        </is>
      </c>
      <c r="C18" s="9" t="n">
        <v>4905358</v>
      </c>
      <c r="D18" s="16" t="n">
        <v>150.47</v>
      </c>
      <c r="E18" s="9" t="n">
        <v>3710000</v>
      </c>
      <c r="F18" s="16" t="n">
        <v>113.8</v>
      </c>
      <c r="G18" s="9" t="n"/>
      <c r="H18" s="6" t="inlineStr">
        <is>
          <t>R0091934</t>
        </is>
      </c>
    </row>
    <row r="19">
      <c r="A19" s="6" t="inlineStr">
        <is>
          <t>6701 E. 50th Ave (R0092711)</t>
        </is>
      </c>
      <c r="B19" s="5" t="inlineStr">
        <is>
          <t>2025</t>
        </is>
      </c>
      <c r="C19" s="9" t="n">
        <v>11783901</v>
      </c>
      <c r="D19" s="16" t="n">
        <v>126.44</v>
      </c>
      <c r="E19" s="9" t="n">
        <v>10000000</v>
      </c>
      <c r="F19" s="16" t="n">
        <v>107.3</v>
      </c>
      <c r="G19" s="9" t="n"/>
      <c r="H19" s="6" t="inlineStr">
        <is>
          <t>R0092711</t>
        </is>
      </c>
    </row>
    <row r="20">
      <c r="A20" s="6" t="inlineStr">
        <is>
          <t>4950 Olive St (R0092720)</t>
        </is>
      </c>
      <c r="B20" s="5" t="inlineStr">
        <is>
          <t>2026</t>
        </is>
      </c>
      <c r="C20" s="9" t="n">
        <v>1812965</v>
      </c>
      <c r="D20" s="16" t="n"/>
      <c r="E20" s="9" t="n">
        <v>1290000</v>
      </c>
      <c r="F20" s="16" t="n"/>
      <c r="G20" s="9" t="n"/>
      <c r="H20" s="6" t="inlineStr">
        <is>
          <t>R0092720</t>
        </is>
      </c>
    </row>
    <row r="21">
      <c r="A21" s="6" t="inlineStr">
        <is>
          <t>4950 Olive St (R0092720) — BAA</t>
        </is>
      </c>
      <c r="B21" s="5" t="inlineStr">
        <is>
          <t>2025 (as ordered)</t>
        </is>
      </c>
      <c r="C21" s="9" t="n">
        <v>1812965</v>
      </c>
      <c r="D21" s="16" t="n"/>
      <c r="E21" s="9" t="n">
        <v>1290000</v>
      </c>
      <c r="F21" s="16" t="n"/>
      <c r="G21" s="9" t="n"/>
      <c r="H21" s="6" t="inlineStr">
        <is>
          <t>BAA docket 2025BAA2346</t>
        </is>
      </c>
    </row>
    <row r="22" ht="28" customHeight="1">
      <c r="A22" s="6" t="inlineStr">
        <is>
          <t>6475 Franklin St (R0098149)</t>
        </is>
      </c>
      <c r="B22" s="5" t="inlineStr">
        <is>
          <t>2025 reappraisal</t>
        </is>
      </c>
      <c r="C22" s="9" t="inlineStr">
        <is>
          <t>—</t>
        </is>
      </c>
      <c r="D22" s="16" t="n"/>
      <c r="E22" s="9" t="inlineStr">
        <is>
          <t>—</t>
        </is>
      </c>
      <c r="F22" s="16" t="n"/>
      <c r="G22" s="9" t="n"/>
      <c r="H22" s="6" t="inlineStr">
        <is>
          <t>R0098149 (survey only)</t>
        </is>
      </c>
    </row>
    <row r="24">
      <c r="A24" s="18" t="inlineStr">
        <is>
          <t>Historical detail — R0178308: 2025 Land $1,125,150 / Imp $4,025,175 / Total $5,150,325; 2024 Total $4,999,770.  R0169133: 2025 Land $992,519 / Imp $2,122,296 / schedule Total $3,114,815 (cover shows $3,408,546); 2024 Total $2,900,000.  R0024442: 2024 County $2,000,000 → 2025 $3,876,387 (+93.8%).  R0085571: 2025 Land $312,543 / Imp $2,996,925; 2024 total $3,571,199 ($131.59/SF). R0086010: 2026 Land $1,834,350 / Imp $6,353,150. R0040829: Land $955,465 / Imp $4,473,343.  4950 Olive St: BAA Order approving Stipulation (docket 2025BAA2346, dated 4/30/2026) reduced the TY2025 actual value from $1,812,965 (Land $87,457 + Improvements $1,725,508) to $1,290,000 (Land $87,457 + Improvements $1,202,543); stated reason — "On review of the area base leases the mass appraisal rent rate was adjusted to reflect the income for this property type and location." The TY2026 protest asks that the same value carry over. 6475 E. 56th Ave (R0091912) carries no assessor value in its package; the 2025 insurance declaration states a building limit of $1,291,900. 6475 Franklin St (R0098149) is an assessor income/expense survey with no value stated.</t>
        </is>
      </c>
      <c r="B24" s="20" t="n"/>
      <c r="C24" s="20" t="n"/>
      <c r="D24" s="20" t="n"/>
      <c r="E24" s="20" t="n"/>
      <c r="F24" s="20" t="n"/>
      <c r="G24" s="20" t="n"/>
      <c r="H24" s="21" t="n"/>
    </row>
    <row r="26">
      <c r="A26" s="17" t="inlineStr">
        <is>
          <t>B. Income-Approach Proformas</t>
        </is>
      </c>
      <c r="B26" s="20" t="n"/>
      <c r="C26" s="20" t="n"/>
      <c r="D26" s="20" t="n"/>
      <c r="E26" s="20" t="n"/>
      <c r="F26" s="20" t="n"/>
      <c r="G26" s="20" t="n"/>
      <c r="H26" s="21" t="n"/>
    </row>
    <row r="27">
      <c r="A27" s="4" t="inlineStr">
        <is>
          <t>Property</t>
        </is>
      </c>
      <c r="B27" s="4" t="inlineStr">
        <is>
          <t>PGI</t>
        </is>
      </c>
      <c r="C27" s="4" t="inlineStr">
        <is>
          <t>Vacancy</t>
        </is>
      </c>
      <c r="D27" s="4" t="inlineStr">
        <is>
          <t>EGI</t>
        </is>
      </c>
      <c r="E27" s="4" t="inlineStr">
        <is>
          <t>Operating Exp</t>
        </is>
      </c>
      <c r="F27" s="4" t="inlineStr">
        <is>
          <t>NOI</t>
        </is>
      </c>
      <c r="G27" s="4" t="inlineStr">
        <is>
          <t>Cap Rate</t>
        </is>
      </c>
      <c r="H27" s="4" t="inlineStr">
        <is>
          <t>Indicated Value</t>
        </is>
      </c>
    </row>
    <row r="28">
      <c r="A28" s="6" t="inlineStr">
        <is>
          <t>7205 Gilpin Way</t>
        </is>
      </c>
      <c r="B28" s="9" t="n">
        <v>359394</v>
      </c>
      <c r="C28" s="9" t="n">
        <v>-17970</v>
      </c>
      <c r="D28" s="9" t="n">
        <v>341424</v>
      </c>
      <c r="E28" s="9" t="n">
        <v>-27314</v>
      </c>
      <c r="F28" s="14" t="n">
        <v>314110</v>
      </c>
      <c r="G28" s="19" t="n">
        <v>0.065</v>
      </c>
      <c r="H28" s="14" t="n">
        <v>4832500</v>
      </c>
    </row>
    <row r="29">
      <c r="A29" s="6" t="inlineStr">
        <is>
          <t>17608 E. 24th Dr</t>
        </is>
      </c>
      <c r="B29" s="9" t="n">
        <v>209100</v>
      </c>
      <c r="C29" s="9" t="n">
        <v>-10455</v>
      </c>
      <c r="D29" s="9" t="n">
        <v>198645</v>
      </c>
      <c r="E29" s="9" t="n">
        <v>-15892</v>
      </c>
      <c r="F29" s="14" t="n">
        <v>182753</v>
      </c>
      <c r="G29" s="19" t="n">
        <v>0.06</v>
      </c>
      <c r="H29" s="14" t="n">
        <v>3050000</v>
      </c>
    </row>
    <row r="30">
      <c r="A30" s="6" t="inlineStr">
        <is>
          <t>12260 Pennsylvania St</t>
        </is>
      </c>
      <c r="B30" s="9" t="n">
        <v>237290</v>
      </c>
      <c r="C30" s="9" t="n">
        <v>-16610</v>
      </c>
      <c r="D30" s="9" t="n">
        <v>220680</v>
      </c>
      <c r="E30" s="9" t="n">
        <v>-22068</v>
      </c>
      <c r="F30" s="14" t="n">
        <v>198612</v>
      </c>
      <c r="G30" s="19" t="n">
        <v>0.07000000000000001</v>
      </c>
      <c r="H30" s="14" t="n">
        <v>2837000</v>
      </c>
    </row>
    <row r="31">
      <c r="A31" s="6" t="inlineStr">
        <is>
          <t>6770 E. 56th Ave</t>
        </is>
      </c>
      <c r="B31" s="9" t="n">
        <v>115824</v>
      </c>
      <c r="C31" s="9" t="n">
        <v>-5791</v>
      </c>
      <c r="D31" s="9" t="n">
        <v>110033</v>
      </c>
      <c r="E31" s="9" t="n">
        <v>-5502</v>
      </c>
      <c r="F31" s="14" t="n">
        <v>104531</v>
      </c>
      <c r="G31" s="19" t="n">
        <v>0.07000000000000001</v>
      </c>
      <c r="H31" s="14" t="n">
        <v>1493302</v>
      </c>
    </row>
    <row r="32">
      <c r="A32" s="6" t="inlineStr">
        <is>
          <t>5970 Marion Drive (mkt)</t>
        </is>
      </c>
      <c r="B32" s="9" t="n">
        <v>172800</v>
      </c>
      <c r="C32" s="9" t="n">
        <v>-8640</v>
      </c>
      <c r="D32" s="9" t="n">
        <v>164160</v>
      </c>
      <c r="E32" s="9" t="n">
        <v>-4223</v>
      </c>
      <c r="F32" s="14" t="n">
        <v>159937</v>
      </c>
      <c r="G32" s="19" t="n">
        <v>0.065</v>
      </c>
      <c r="H32" s="14" t="n">
        <v>2460577</v>
      </c>
    </row>
    <row r="33">
      <c r="A33" s="6" t="inlineStr">
        <is>
          <t>1540 Altura Blvd</t>
        </is>
      </c>
      <c r="B33" s="9" t="n">
        <v>413870</v>
      </c>
      <c r="C33" s="9" t="n">
        <v>0</v>
      </c>
      <c r="D33" s="9" t="n">
        <v>413870</v>
      </c>
      <c r="E33" s="9" t="n">
        <v>-248322</v>
      </c>
      <c r="F33" s="14" t="n">
        <v>165548</v>
      </c>
      <c r="G33" s="19" t="n">
        <v>0.065</v>
      </c>
      <c r="H33" s="14" t="n">
        <v>2546900</v>
      </c>
    </row>
    <row r="34">
      <c r="A34" s="6" t="inlineStr">
        <is>
          <t>15413 E 18th Ave</t>
        </is>
      </c>
      <c r="B34" s="9" t="n">
        <v>750646</v>
      </c>
      <c r="C34" s="9" t="n">
        <v>-90078</v>
      </c>
      <c r="D34" s="9" t="n">
        <v>660568</v>
      </c>
      <c r="E34" s="9" t="n">
        <v>-231199</v>
      </c>
      <c r="F34" s="14" t="n">
        <v>429370</v>
      </c>
      <c r="G34" s="19" t="n">
        <v>0.065</v>
      </c>
      <c r="H34" s="14" t="n">
        <v>6610000</v>
      </c>
    </row>
    <row r="35">
      <c r="A35" s="6" t="inlineStr">
        <is>
          <t>10350 Washington St</t>
        </is>
      </c>
      <c r="B35" s="9" t="n">
        <v>796125</v>
      </c>
      <c r="C35" s="9" t="n">
        <v>-119419</v>
      </c>
      <c r="D35" s="9" t="n">
        <v>676706</v>
      </c>
      <c r="E35" s="9" t="n">
        <v>-372188</v>
      </c>
      <c r="F35" s="14" t="n">
        <v>304518</v>
      </c>
      <c r="G35" s="19" t="n">
        <v>0.0675</v>
      </c>
      <c r="H35" s="14" t="n">
        <v>4510000</v>
      </c>
    </row>
    <row r="36">
      <c r="A36" s="6" t="inlineStr">
        <is>
          <t>5720 Holly St (2024 actual rent)</t>
        </is>
      </c>
      <c r="B36" s="9" t="n">
        <v>473496</v>
      </c>
      <c r="C36" s="9" t="n">
        <v>-23675</v>
      </c>
      <c r="D36" s="9" t="n">
        <v>449821</v>
      </c>
      <c r="E36" s="9" t="n">
        <v>-35986</v>
      </c>
      <c r="F36" s="14" t="n">
        <v>413836</v>
      </c>
      <c r="G36" s="19" t="n">
        <v>0.06619999999999999</v>
      </c>
      <c r="H36" s="14" t="n">
        <v>6251292</v>
      </c>
    </row>
    <row r="37">
      <c r="A37" s="6" t="inlineStr">
        <is>
          <t>6701 E. 50th Ave (2024 actual rent)</t>
        </is>
      </c>
      <c r="B37" s="9" t="n">
        <v>726952</v>
      </c>
      <c r="C37" s="9" t="n">
        <v>-36348</v>
      </c>
      <c r="D37" s="9" t="n">
        <v>690605</v>
      </c>
      <c r="E37" s="9" t="n">
        <v>-55248</v>
      </c>
      <c r="F37" s="14" t="n">
        <v>635356</v>
      </c>
      <c r="G37" s="19" t="n">
        <v>0.065</v>
      </c>
      <c r="H37" s="14" t="n">
        <v>9774711</v>
      </c>
    </row>
    <row r="38">
      <c r="A38" s="6" t="inlineStr">
        <is>
          <t>6125 E. 56th Ave (direct cap)</t>
        </is>
      </c>
      <c r="B38" s="9" t="n">
        <v>531800</v>
      </c>
      <c r="C38" s="9" t="n">
        <v>-42544</v>
      </c>
      <c r="D38" s="9" t="n">
        <v>489256</v>
      </c>
      <c r="E38" s="9" t="n">
        <v>-94678</v>
      </c>
      <c r="F38" s="14" t="n">
        <v>394578</v>
      </c>
      <c r="G38" s="19" t="n">
        <v>0.097</v>
      </c>
      <c r="H38" s="14" t="n">
        <v>4067814</v>
      </c>
    </row>
    <row r="39">
      <c r="A39" s="6" t="inlineStr">
        <is>
          <t>6125 E. 56th Ave (avg 2023-24 actual)</t>
        </is>
      </c>
      <c r="B39" s="9" t="n"/>
      <c r="C39" s="9" t="n"/>
      <c r="D39" s="9" t="n">
        <v>471549</v>
      </c>
      <c r="E39" s="9" t="n"/>
      <c r="F39" s="14" t="n">
        <v>383857</v>
      </c>
      <c r="G39" s="19" t="n">
        <v>0.097</v>
      </c>
      <c r="H39" s="14" t="n">
        <v>3957289</v>
      </c>
    </row>
    <row r="40">
      <c r="A40" s="6" t="inlineStr">
        <is>
          <t>6300 E. 58th Ave (avg 2023-24 actual)</t>
        </is>
      </c>
      <c r="B40" s="9" t="n"/>
      <c r="C40" s="9" t="n"/>
      <c r="D40" s="9" t="n">
        <v>1170943</v>
      </c>
      <c r="E40" s="9" t="n"/>
      <c r="F40" s="14" t="n">
        <v>916917</v>
      </c>
      <c r="G40" s="19" t="n">
        <v>0.097</v>
      </c>
      <c r="H40" s="14" t="n">
        <v>9452753</v>
      </c>
    </row>
    <row r="41">
      <c r="A41" s="6" t="inlineStr">
        <is>
          <t>5800 E. 58th Ave (direct cap)</t>
        </is>
      </c>
      <c r="B41" s="9" t="n">
        <v>428625</v>
      </c>
      <c r="C41" s="9" t="n">
        <v>-34290</v>
      </c>
      <c r="D41" s="9" t="n">
        <v>394335</v>
      </c>
      <c r="E41" s="9" t="n">
        <v>-83830</v>
      </c>
      <c r="F41" s="14" t="n">
        <v>310505</v>
      </c>
      <c r="G41" s="19" t="n">
        <v>0.097</v>
      </c>
      <c r="H41" s="14" t="n">
        <v>3201082</v>
      </c>
    </row>
    <row r="42">
      <c r="A42" s="6" t="inlineStr">
        <is>
          <t>5800 E. 58th Ave (avg 2023-24 actual)</t>
        </is>
      </c>
      <c r="B42" s="9" t="n"/>
      <c r="C42" s="9" t="n"/>
      <c r="D42" s="9" t="n">
        <v>376821</v>
      </c>
      <c r="E42" s="9" t="n"/>
      <c r="F42" s="14" t="n">
        <v>312287</v>
      </c>
      <c r="G42" s="19" t="n">
        <v>0.097</v>
      </c>
      <c r="H42" s="14" t="n">
        <v>3219454</v>
      </c>
    </row>
    <row r="43">
      <c r="A43" s="6" t="inlineStr">
        <is>
          <t>5750 E. 58th Ave (avg 2023-24 actual)</t>
        </is>
      </c>
      <c r="B43" s="9" t="n"/>
      <c r="C43" s="9" t="n"/>
      <c r="D43" s="9" t="n">
        <v>435616</v>
      </c>
      <c r="E43" s="9" t="n"/>
      <c r="F43" s="14" t="n">
        <v>359682</v>
      </c>
      <c r="G43" s="19" t="n">
        <v>0.097</v>
      </c>
      <c r="H43" s="14" t="n">
        <v>3708062</v>
      </c>
    </row>
    <row r="45">
      <c r="A45" s="18" t="inlineStr">
        <is>
          <t>Proforma vacancy/EGI figures as reported by each preparer (Ryan, Property Tax Advisors, or owner's analysis). 5970 Marion figures are from the owner's income-approach block in the 2024 P&amp;L workbook (PGI $172,800, 95% occ, NOI $159,938, 6.5% cap → $2,460,577; assigned $2,527,915). Self-storage proformas (Ryan): Altura EGI at 0% vacancy, OpEx 60% of EGI; 18th Ave base rent $13.00/SF NNN, 12% vacancy, non-reimbursable expenses 35%; Washington St base rent $16.50/SF NNN, 15% vacancy, non-reimbursable expenses 55%. Indicated values rounded by preparer. Commerce City batch: 5720 Holly St and 6701 E. 50th Ave (1st Net) capitalize actual rent-roll income at an unloaded rate with formulaic expenses (management 3% + reserve/owner 5% of EGI). The four Sterling appeals capitalize at 7.25% plus a 2.45% real-estate tax load = 9.70% and therefore exclude RE tax from expenses. Sterling shows two indications per property — a direct-capitalization proforma and an average of actual 2023/2024 income — and the EGI shown here for the average-income rows is the mean of the two years' effective gross income. 6125 E. 56th Ave deducts lease-up costs (rent loss $18,200 + TI/commissions $73,700) from $4,067,814 to reach $3,975,914, rounded to $3,975,000. 5800 E. 58th Ave's two indications ($3,200,000 and $3,220,000) bracket the $3,210,000 actually requested. 5720 Holly St's 6.62% rate is the Lowery Property Advisors 2024 warehouse rate; its sales grid indicated $5,870,959 ($108.12/SF) versus the $6,113,000 requested, and 6701 E. 50th Ave's grid indicated $10,076,750 versus $10,000,000 requested.</t>
        </is>
      </c>
      <c r="B45" s="20" t="n"/>
      <c r="C45" s="20" t="n"/>
      <c r="D45" s="20" t="n"/>
      <c r="E45" s="20" t="n"/>
      <c r="F45" s="20" t="n"/>
      <c r="G45" s="20" t="n"/>
      <c r="H45" s="21" t="n"/>
    </row>
  </sheetData>
  <mergeCells count="6">
    <mergeCell ref="A45:H45"/>
    <mergeCell ref="A4:H4"/>
    <mergeCell ref="A26:H26"/>
    <mergeCell ref="A24:H24"/>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9"/>
  <sheetViews>
    <sheetView showGridLines="1"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 width="13" customWidth="1" min="6" max="6"/>
    <col width="30" customWidth="1" min="7" max="7"/>
    <col width="9" customWidth="1" min="8" max="8"/>
    <col width="22" customWidth="1" min="9" max="9"/>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c r="F4" s="41" t="inlineStr">
        <is>
          <t>Account #</t>
        </is>
      </c>
      <c r="G4" s="41" t="inlineStr">
        <is>
          <t>Property (clean)</t>
        </is>
      </c>
      <c r="H4" s="41" t="inlineStr">
        <is>
          <t>Year</t>
        </is>
      </c>
      <c r="I4" s="41" t="inlineStr">
        <is>
          <t>Accounting Basis</t>
        </is>
      </c>
    </row>
    <row r="5">
      <c r="A5" s="11" t="inlineStr">
        <is>
          <t>5970 Marion Drive — FY2024</t>
        </is>
      </c>
      <c r="B5" s="22" t="n">
        <v>249672.2</v>
      </c>
      <c r="C5" s="22" t="n">
        <v>162774.36</v>
      </c>
      <c r="D5" s="23">
        <f>B5-C5</f>
        <v/>
      </c>
      <c r="E5" s="6" t="inlineStr">
        <is>
          <t>5970_Marion 2024 P&amp;L (cash; incl. debt svc &amp; taxes)</t>
        </is>
      </c>
      <c r="F5" s="44" t="inlineStr">
        <is>
          <t>—</t>
        </is>
      </c>
      <c r="G5" s="37" t="inlineStr">
        <is>
          <t>5970 Marion Drive</t>
        </is>
      </c>
      <c r="H5" s="45" t="n">
        <v>2024</v>
      </c>
      <c r="I5" s="37" t="inlineStr">
        <is>
          <t>Cash</t>
        </is>
      </c>
    </row>
    <row r="6">
      <c r="A6" s="11" t="inlineStr">
        <is>
          <t>5970 Marion Drive — FY2023</t>
        </is>
      </c>
      <c r="B6" s="22" t="n">
        <v>247311.55</v>
      </c>
      <c r="C6" s="22" t="n">
        <v>188635.46</v>
      </c>
      <c r="D6" s="23">
        <f>B6-C6</f>
        <v/>
      </c>
      <c r="E6" s="6" t="inlineStr">
        <is>
          <t>2023 Cash Flow (cash; incl. debt svc &amp; taxes)</t>
        </is>
      </c>
      <c r="F6" s="44" t="inlineStr">
        <is>
          <t>—</t>
        </is>
      </c>
      <c r="G6" s="37" t="inlineStr">
        <is>
          <t>5970 Marion Drive</t>
        </is>
      </c>
      <c r="H6" s="45" t="n">
        <v>2023</v>
      </c>
      <c r="I6" s="37" t="inlineStr">
        <is>
          <t>Cash</t>
        </is>
      </c>
    </row>
    <row r="7">
      <c r="A7" s="11" t="inlineStr">
        <is>
          <t>2011 E 58th (TempTee) — 2024 survey</t>
        </is>
      </c>
      <c r="B7" s="22" t="n"/>
      <c r="C7" s="22" t="n">
        <v>138050</v>
      </c>
      <c r="D7" s="24" t="inlineStr">
        <is>
          <t>—</t>
        </is>
      </c>
      <c r="E7" s="6" t="inlineStr">
        <is>
          <t>Owner-occupied; reported OpEx only ('in house' items = $0)</t>
        </is>
      </c>
      <c r="F7" s="44" t="inlineStr">
        <is>
          <t>—</t>
        </is>
      </c>
      <c r="G7" s="37" t="inlineStr">
        <is>
          <t>2011 E 58th (TempTee)</t>
        </is>
      </c>
      <c r="H7" s="45" t="n">
        <v>2024</v>
      </c>
      <c r="I7" s="37" t="inlineStr">
        <is>
          <t>—</t>
        </is>
      </c>
    </row>
    <row r="8">
      <c r="A8" s="11" t="inlineStr">
        <is>
          <t>125 Bridge St (Broadview) — Form 8825</t>
        </is>
      </c>
      <c r="B8" s="22" t="n">
        <v>307817</v>
      </c>
      <c r="C8" s="22" t="n">
        <v>316181</v>
      </c>
      <c r="D8" s="23">
        <f>B8-C8</f>
        <v/>
      </c>
      <c r="E8" s="6" t="inlineStr">
        <is>
          <t>IRS Form 8825 (tax basis; incl. depreciation, amort. &amp; interest)</t>
        </is>
      </c>
      <c r="F8" s="44" t="inlineStr">
        <is>
          <t>—</t>
        </is>
      </c>
      <c r="G8" s="37" t="inlineStr">
        <is>
          <t>125 Bridge St (Broadview) — Form 8825</t>
        </is>
      </c>
      <c r="H8" s="45" t="n">
        <v>2024</v>
      </c>
      <c r="I8" s="37" t="inlineStr">
        <is>
          <t>Tax (Form 8825)</t>
        </is>
      </c>
    </row>
    <row r="9">
      <c r="A9" s="11" t="inlineStr">
        <is>
          <t>1540 Altura Blvd (CubeSmart #6731) — FY2024</t>
        </is>
      </c>
      <c r="B9" s="22" t="n">
        <v>414633.83</v>
      </c>
      <c r="C9" s="22" t="n">
        <v>328355.94</v>
      </c>
      <c r="D9" s="23">
        <f>B9-C9</f>
        <v/>
      </c>
      <c r="E9" s="6" t="inlineStr">
        <is>
          <t>CubeSmart consolidated income statement (store-level NOI basis; incl. property tax &amp; 3rd-party mgmt fee)</t>
        </is>
      </c>
      <c r="F9" s="44" t="inlineStr">
        <is>
          <t>—</t>
        </is>
      </c>
      <c r="G9" s="37" t="inlineStr">
        <is>
          <t>1540 Altura Blvd (CubeSmart #6731)</t>
        </is>
      </c>
      <c r="H9" s="45" t="n">
        <v>2024</v>
      </c>
      <c r="I9" s="37" t="inlineStr">
        <is>
          <t>—</t>
        </is>
      </c>
    </row>
    <row r="10" ht="28" customHeight="1">
      <c r="A10" s="11" t="inlineStr">
        <is>
          <t>15413 E 18th Ave (CubeSmart #6730) — FY2024</t>
        </is>
      </c>
      <c r="B10" s="22" t="n">
        <v>783123.25</v>
      </c>
      <c r="C10" s="22" t="n">
        <v>499759.18</v>
      </c>
      <c r="D10" s="23">
        <f>B10-C10</f>
        <v/>
      </c>
      <c r="E10" s="6" t="inlineStr">
        <is>
          <t>CubeSmart consolidated income statement (store-level NOI basis; incl. property tax &amp; 3rd-party mgmt fee)</t>
        </is>
      </c>
      <c r="F10" s="44" t="inlineStr">
        <is>
          <t>—</t>
        </is>
      </c>
      <c r="G10" s="37" t="inlineStr">
        <is>
          <t>15413 E 18th Ave (CubeSmart #6730)</t>
        </is>
      </c>
      <c r="H10" s="45" t="n">
        <v>2024</v>
      </c>
      <c r="I10" s="37" t="inlineStr">
        <is>
          <t>—</t>
        </is>
      </c>
    </row>
    <row r="11">
      <c r="A11" s="11" t="inlineStr">
        <is>
          <t>10350 Washington St (Mini U) — FY2024</t>
        </is>
      </c>
      <c r="B11" s="22" t="n">
        <v>790386.21</v>
      </c>
      <c r="C11" s="22" t="n">
        <v>533121.11</v>
      </c>
      <c r="D11" s="23">
        <f>B11-C11</f>
        <v/>
      </c>
      <c r="E11" s="6" t="inlineStr">
        <is>
          <t>Mini U Storage NOI &amp; NI detail (NOI basis; excl. interest/extraordinary — net cash flow before D&amp;A $158,744.75)</t>
        </is>
      </c>
      <c r="F11" s="44" t="inlineStr">
        <is>
          <t>—</t>
        </is>
      </c>
      <c r="G11" s="37" t="inlineStr">
        <is>
          <t>10350 Washington St (Mini U)</t>
        </is>
      </c>
      <c r="H11" s="45" t="n">
        <v>2024</v>
      </c>
      <c r="I11" s="37" t="inlineStr">
        <is>
          <t>Cash</t>
        </is>
      </c>
    </row>
    <row r="12">
      <c r="A12" s="11" t="inlineStr">
        <is>
          <t>10350 Washington St (Mini U) — FY2023</t>
        </is>
      </c>
      <c r="B12" s="22" t="n">
        <v>899471.29</v>
      </c>
      <c r="C12" s="22" t="n">
        <v>590318.63</v>
      </c>
      <c r="D12" s="23">
        <f>B12-C12</f>
        <v/>
      </c>
      <c r="E12" s="6" t="inlineStr">
        <is>
          <t>Mini U Storage NOI &amp; NI detail, prior year (NOI basis; net cash flow before D&amp;A $162,198.05)</t>
        </is>
      </c>
      <c r="F12" s="44" t="inlineStr">
        <is>
          <t>—</t>
        </is>
      </c>
      <c r="G12" s="37" t="inlineStr">
        <is>
          <t>10350 Washington St (Mini U)</t>
        </is>
      </c>
      <c r="H12" s="45" t="n">
        <v>2023</v>
      </c>
      <c r="I12" s="37" t="inlineStr">
        <is>
          <t>Cash</t>
        </is>
      </c>
    </row>
    <row r="13">
      <c r="A13" s="11" t="inlineStr">
        <is>
          <t>6125 E. 56th Ave (R0091909) — FY2023</t>
        </is>
      </c>
      <c r="B13" s="22" t="n">
        <v>493305.45</v>
      </c>
      <c r="C13" s="22" t="n">
        <v>185896.74</v>
      </c>
      <c r="D13" s="23">
        <f>B13-C13</f>
        <v/>
      </c>
      <c r="E13" s="6" t="inlineStr">
        <is>
          <t>Yardi Exhibit A income statement (accrual; incl. RE tax, excl. interest &amp; depreciation). Property NOI as printed $307,408.71.</t>
        </is>
      </c>
      <c r="F13" s="44" t="inlineStr">
        <is>
          <t>R0091909</t>
        </is>
      </c>
      <c r="G13" s="37" t="inlineStr">
        <is>
          <t>6125 E. 56th Ave</t>
        </is>
      </c>
      <c r="H13" s="45" t="n">
        <v>2023</v>
      </c>
      <c r="I13" s="37" t="inlineStr">
        <is>
          <t>Accrual (operating)</t>
        </is>
      </c>
    </row>
    <row r="14">
      <c r="A14" s="11" t="inlineStr">
        <is>
          <t>6125 E. 56th Ave (R0091909) — FY2024</t>
        </is>
      </c>
      <c r="B14" s="22" t="n">
        <v>493211.07</v>
      </c>
      <c r="C14" s="22" t="n">
        <v>202426.5</v>
      </c>
      <c r="D14" s="23">
        <f>B14-C14</f>
        <v/>
      </c>
      <c r="E14" s="6" t="inlineStr">
        <is>
          <t>Yardi Exhibit A income statement (accrual; incl. RE tax, excl. interest &amp; depreciation). Property NOI as printed $290,784.57.</t>
        </is>
      </c>
      <c r="F14" s="44" t="inlineStr">
        <is>
          <t>R0091909</t>
        </is>
      </c>
      <c r="G14" s="37" t="inlineStr">
        <is>
          <t>6125 E. 56th Ave</t>
        </is>
      </c>
      <c r="H14" s="45" t="n">
        <v>2024</v>
      </c>
      <c r="I14" s="37" t="inlineStr">
        <is>
          <t>Accrual (operating)</t>
        </is>
      </c>
    </row>
    <row r="15">
      <c r="A15" s="11" t="inlineStr">
        <is>
          <t>6300 E. 58th Ave (R0091931) — FY2023</t>
        </is>
      </c>
      <c r="B15" s="22" t="n">
        <v>1238350.08</v>
      </c>
      <c r="C15" s="22" t="n">
        <v>446085.22</v>
      </c>
      <c r="D15" s="23">
        <f>B15-C15</f>
        <v/>
      </c>
      <c r="E15" s="6" t="inlineStr">
        <is>
          <t>Yardi Exhibit A income statement (accrual; incl. RE tax, excl. interest &amp; depreciation). Property NOI as printed $792,264.86.</t>
        </is>
      </c>
      <c r="F15" s="44" t="inlineStr">
        <is>
          <t>R0091931</t>
        </is>
      </c>
      <c r="G15" s="37" t="inlineStr">
        <is>
          <t>6300 E. 58th Ave</t>
        </is>
      </c>
      <c r="H15" s="45" t="n">
        <v>2023</v>
      </c>
      <c r="I15" s="37" t="inlineStr">
        <is>
          <t>Accrual (operating)</t>
        </is>
      </c>
    </row>
    <row r="16">
      <c r="A16" s="11" t="inlineStr">
        <is>
          <t>6300 E. 58th Ave (R0091931) — FY2024</t>
        </is>
      </c>
      <c r="B16" s="22" t="n">
        <v>1307177.99</v>
      </c>
      <c r="C16" s="22" t="n">
        <v>464449.6</v>
      </c>
      <c r="D16" s="23">
        <f>B16-C16</f>
        <v/>
      </c>
      <c r="E16" s="6" t="inlineStr">
        <is>
          <t>Yardi Exhibit A income statement (accrual; incl. RE tax, excl. interest &amp; depreciation). Property NOI as printed $842,728.39.</t>
        </is>
      </c>
      <c r="F16" s="44" t="inlineStr">
        <is>
          <t>R0091931</t>
        </is>
      </c>
      <c r="G16" s="37" t="inlineStr">
        <is>
          <t>6300 E. 58th Ave</t>
        </is>
      </c>
      <c r="H16" s="45" t="n">
        <v>2024</v>
      </c>
      <c r="I16" s="37" t="inlineStr">
        <is>
          <t>Accrual (operating)</t>
        </is>
      </c>
    </row>
    <row r="17">
      <c r="A17" s="11" t="inlineStr">
        <is>
          <t>5800 E. 58th Ave (R0091933) — FY2023</t>
        </is>
      </c>
      <c r="B17" s="22" t="n">
        <v>361752.52</v>
      </c>
      <c r="C17" s="22" t="n">
        <v>136160.9</v>
      </c>
      <c r="D17" s="23">
        <f>B17-C17</f>
        <v/>
      </c>
      <c r="E17" s="6" t="inlineStr">
        <is>
          <t>Yardi Exhibit A income statement (accrual; incl. RE tax, excl. interest &amp; depreciation). Property NOI as printed $225,591.62.</t>
        </is>
      </c>
      <c r="F17" s="44" t="inlineStr">
        <is>
          <t>R0091933</t>
        </is>
      </c>
      <c r="G17" s="37" t="inlineStr">
        <is>
          <t>5800 E. 58th Ave</t>
        </is>
      </c>
      <c r="H17" s="45" t="n">
        <v>2023</v>
      </c>
      <c r="I17" s="37" t="inlineStr">
        <is>
          <t>Accrual (operating)</t>
        </is>
      </c>
    </row>
    <row r="18">
      <c r="A18" s="11" t="inlineStr">
        <is>
          <t>5800 E. 58th Ave (R0091933) — FY2024</t>
        </is>
      </c>
      <c r="B18" s="22" t="n">
        <v>457421.94</v>
      </c>
      <c r="C18" s="22" t="n">
        <v>151255.45</v>
      </c>
      <c r="D18" s="23">
        <f>B18-C18</f>
        <v/>
      </c>
      <c r="E18" s="6" t="inlineStr">
        <is>
          <t>Yardi Exhibit A income statement (accrual; incl. RE tax, excl. interest &amp; depreciation). Property NOI as printed $306,166.49.</t>
        </is>
      </c>
      <c r="F18" s="44" t="inlineStr">
        <is>
          <t>R0091933</t>
        </is>
      </c>
      <c r="G18" s="37" t="inlineStr">
        <is>
          <t>5800 E. 58th Ave</t>
        </is>
      </c>
      <c r="H18" s="45" t="n">
        <v>2024</v>
      </c>
      <c r="I18" s="37" t="inlineStr">
        <is>
          <t>Accrual (operating)</t>
        </is>
      </c>
    </row>
    <row r="19">
      <c r="A19" s="11" t="inlineStr">
        <is>
          <t>5750 E. 58th Ave (R0091934) — FY2023</t>
        </is>
      </c>
      <c r="B19" s="22" t="n">
        <v>449003.35</v>
      </c>
      <c r="C19" s="22" t="n">
        <v>159537.14</v>
      </c>
      <c r="D19" s="23">
        <f>B19-C19</f>
        <v/>
      </c>
      <c r="E19" s="6" t="inlineStr">
        <is>
          <t>Yardi Exhibit A income statement (accrual; incl. RE tax, excl. interest &amp; depreciation). Property NOI as printed $289,466.21.</t>
        </is>
      </c>
      <c r="F19" s="44" t="inlineStr">
        <is>
          <t>R0091934</t>
        </is>
      </c>
      <c r="G19" s="37" t="inlineStr">
        <is>
          <t>5750 E. 58th Ave</t>
        </is>
      </c>
      <c r="H19" s="45" t="n">
        <v>2023</v>
      </c>
      <c r="I19" s="37" t="inlineStr">
        <is>
          <t>Accrual (operating)</t>
        </is>
      </c>
    </row>
    <row r="20">
      <c r="A20" s="11" t="inlineStr">
        <is>
          <t>5750 E. 58th Ave (R0091934) — FY2024</t>
        </is>
      </c>
      <c r="B20" s="22" t="n">
        <v>497987.25</v>
      </c>
      <c r="C20" s="22" t="n">
        <v>163679.88</v>
      </c>
      <c r="D20" s="23">
        <f>B20-C20</f>
        <v/>
      </c>
      <c r="E20" s="6" t="inlineStr">
        <is>
          <t>Yardi Exhibit A income statement (accrual; incl. RE tax, excl. interest &amp; depreciation). Property NOI as printed $334,307.37.</t>
        </is>
      </c>
      <c r="F20" s="44" t="inlineStr">
        <is>
          <t>R0091934</t>
        </is>
      </c>
      <c r="G20" s="37" t="inlineStr">
        <is>
          <t>5750 E. 58th Ave</t>
        </is>
      </c>
      <c r="H20" s="45" t="n">
        <v>2024</v>
      </c>
      <c r="I20" s="37" t="inlineStr">
        <is>
          <t>Accrual (operating)</t>
        </is>
      </c>
    </row>
    <row r="21">
      <c r="A21" s="11" t="inlineStr">
        <is>
          <t>6475 E. 56th Ave (R0091912) — FY2021</t>
        </is>
      </c>
      <c r="B21" s="22" t="n">
        <v>111569</v>
      </c>
      <c r="C21" s="22" t="n">
        <v>42992</v>
      </c>
      <c r="D21" s="23">
        <f>B21-C21</f>
        <v/>
      </c>
      <c r="E21" s="6" t="inlineStr">
        <is>
          <t>IRS Form 8825 (tax basis; incl. depreciation $14,648/yr). Single tenant Metal Mart.</t>
        </is>
      </c>
      <c r="F21" s="44" t="inlineStr">
        <is>
          <t>R0091912</t>
        </is>
      </c>
      <c r="G21" s="37" t="inlineStr">
        <is>
          <t>6475 E. 56th Ave</t>
        </is>
      </c>
      <c r="H21" s="45" t="n">
        <v>2021</v>
      </c>
      <c r="I21" s="37" t="inlineStr">
        <is>
          <t>Tax (Form 8825)</t>
        </is>
      </c>
    </row>
    <row r="22">
      <c r="A22" s="11" t="inlineStr">
        <is>
          <t>6475 E. 56th Ave (R0091912) — FY2022</t>
        </is>
      </c>
      <c r="B22" s="22" t="n">
        <v>160750</v>
      </c>
      <c r="C22" s="22" t="n">
        <v>56658</v>
      </c>
      <c r="D22" s="23">
        <f>B22-C22</f>
        <v/>
      </c>
      <c r="E22" s="6" t="inlineStr">
        <is>
          <t>IRS Form 8825 (tax basis; incl. depreciation $14,648/yr). Single tenant Metal Mart.</t>
        </is>
      </c>
      <c r="F22" s="44" t="inlineStr">
        <is>
          <t>R0091912</t>
        </is>
      </c>
      <c r="G22" s="37" t="inlineStr">
        <is>
          <t>6475 E. 56th Ave</t>
        </is>
      </c>
      <c r="H22" s="45" t="n">
        <v>2022</v>
      </c>
      <c r="I22" s="37" t="inlineStr">
        <is>
          <t>Tax (Form 8825)</t>
        </is>
      </c>
    </row>
    <row r="23">
      <c r="A23" s="11" t="inlineStr">
        <is>
          <t>6475 E. 56th Ave (R0091912) — FY2023</t>
        </is>
      </c>
      <c r="B23" s="22" t="n">
        <v>165437</v>
      </c>
      <c r="C23" s="22" t="n">
        <v>52215</v>
      </c>
      <c r="D23" s="23">
        <f>B23-C23</f>
        <v/>
      </c>
      <c r="E23" s="6" t="inlineStr">
        <is>
          <t>IRS Form 8825 (tax basis; incl. depreciation $14,648/yr). Single tenant Metal Mart.</t>
        </is>
      </c>
      <c r="F23" s="44" t="inlineStr">
        <is>
          <t>R0091912</t>
        </is>
      </c>
      <c r="G23" s="37" t="inlineStr">
        <is>
          <t>6475 E. 56th Ave</t>
        </is>
      </c>
      <c r="H23" s="45" t="n">
        <v>2023</v>
      </c>
      <c r="I23" s="37" t="inlineStr">
        <is>
          <t>Tax (Form 8825)</t>
        </is>
      </c>
    </row>
    <row r="24">
      <c r="A24" s="11" t="inlineStr">
        <is>
          <t>6475 E. 56th Ave (R0091912) — FY2024</t>
        </is>
      </c>
      <c r="B24" s="22" t="n">
        <v>171406</v>
      </c>
      <c r="C24" s="22" t="n">
        <v>57592</v>
      </c>
      <c r="D24" s="23">
        <f>B24-C24</f>
        <v/>
      </c>
      <c r="E24" s="6" t="inlineStr">
        <is>
          <t>IRS Form 8825 (tax basis; incl. depreciation $14,648/yr). Single tenant Metal Mart.</t>
        </is>
      </c>
      <c r="F24" s="44" t="inlineStr">
        <is>
          <t>R0091912</t>
        </is>
      </c>
      <c r="G24" s="37" t="inlineStr">
        <is>
          <t>6475 E. 56th Ave</t>
        </is>
      </c>
      <c r="H24" s="45" t="n">
        <v>2024</v>
      </c>
      <c r="I24" s="37" t="inlineStr">
        <is>
          <t>Tax (Form 8825)</t>
        </is>
      </c>
    </row>
    <row r="25">
      <c r="A25" s="11" t="inlineStr">
        <is>
          <t>5720 Holly St (R0091907) — 2024</t>
        </is>
      </c>
      <c r="B25" s="22" t="n">
        <v>484406.52</v>
      </c>
      <c r="C25" s="22" t="n"/>
      <c r="D25" s="23" t="inlineStr">
        <is>
          <t>—</t>
        </is>
      </c>
      <c r="E25" s="6" t="inlineStr">
        <is>
          <t>Rent-roll annualized base rent at 7/1/2024; owner operating expenses not reported (the appeal analysis substitutes management 3% + reserve/owner 5%). CAM billed $195,167.28/yr.</t>
        </is>
      </c>
      <c r="F25" s="44" t="inlineStr">
        <is>
          <t>R0091907</t>
        </is>
      </c>
      <c r="G25" s="37" t="inlineStr">
        <is>
          <t>5720 Holly St</t>
        </is>
      </c>
      <c r="H25" s="45" t="n">
        <v>2024</v>
      </c>
      <c r="I25" s="37" t="inlineStr">
        <is>
          <t>Rent roll (income only)</t>
        </is>
      </c>
    </row>
    <row r="26">
      <c r="A26" s="11" t="inlineStr">
        <is>
          <t>6701 E. 50th Ave (R0092711) — Dec 2024</t>
        </is>
      </c>
      <c r="B26" s="22" t="n">
        <v>1104054.72</v>
      </c>
      <c r="C26" s="22" t="n"/>
      <c r="D26" s="23" t="inlineStr">
        <is>
          <t>—</t>
        </is>
      </c>
      <c r="E26" s="6" t="inlineStr">
        <is>
          <t>Colliers rent roll annualized gross rents ($92,004.56/mo = base $706,286.40 + recoveries $397,768.32). Owner operating expenses not reported.</t>
        </is>
      </c>
      <c r="F26" s="44" t="inlineStr">
        <is>
          <t>R0092711</t>
        </is>
      </c>
      <c r="G26" s="37" t="inlineStr">
        <is>
          <t>6701 E. 50th Ave — Dec 2024</t>
        </is>
      </c>
      <c r="H26" s="45" t="n">
        <v>2024</v>
      </c>
      <c r="I26" s="37" t="inlineStr">
        <is>
          <t>Rent roll (income only)</t>
        </is>
      </c>
    </row>
    <row r="27">
      <c r="A27" s="11" t="inlineStr">
        <is>
          <t>6475 Franklin St (R0098149) — CY2023</t>
        </is>
      </c>
      <c r="B27" s="22" t="n"/>
      <c r="C27" s="22" t="n">
        <v>157173</v>
      </c>
      <c r="D27" s="23" t="inlineStr">
        <is>
          <t>—</t>
        </is>
      </c>
      <c r="E27" s="6" t="inlineStr">
        <is>
          <t>100% owner-occupied — no rental income. Adams County survey: 4 grid items $66,545 plus property taxes $90,477 and bank fees $151 from the Comments line; no printed total.</t>
        </is>
      </c>
      <c r="F27" s="44" t="inlineStr">
        <is>
          <t>R0098149</t>
        </is>
      </c>
      <c r="G27" s="37" t="inlineStr">
        <is>
          <t>6475 Franklin St</t>
        </is>
      </c>
      <c r="H27" s="45" t="n">
        <v>2023</v>
      </c>
      <c r="I27" s="37" t="inlineStr">
        <is>
          <t>Assessor survey</t>
        </is>
      </c>
    </row>
    <row r="28"/>
    <row r="29">
      <c r="A29" s="18"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t>
        </is>
      </c>
      <c r="B29" s="20" t="n"/>
      <c r="C29" s="20" t="n"/>
      <c r="D29" s="20" t="n"/>
      <c r="E29" s="21" t="n"/>
    </row>
  </sheetData>
  <autoFilter ref="A4:I29"/>
  <mergeCells count="3">
    <mergeCell ref="A2:E2"/>
    <mergeCell ref="A1:E1"/>
    <mergeCell ref="A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07"/>
  <sheetViews>
    <sheetView showGridLines="1"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 width="13" customWidth="1" min="6" max="6"/>
    <col width="26" customWidth="1" min="7" max="7"/>
    <col width="9" customWidth="1" min="8" max="8"/>
    <col width="14" customWidth="1" min="9" max="9"/>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c r="F4" s="41" t="inlineStr">
        <is>
          <t>Account #</t>
        </is>
      </c>
      <c r="G4" s="41" t="inlineStr">
        <is>
          <t>Property (clean)</t>
        </is>
      </c>
      <c r="H4" s="41" t="inlineStr">
        <is>
          <t>Year</t>
        </is>
      </c>
      <c r="I4" s="41" t="inlineStr">
        <is>
          <t>Row Type</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c r="F5" s="44" t="inlineStr">
        <is>
          <t>—</t>
        </is>
      </c>
      <c r="G5" s="37" t="inlineStr">
        <is>
          <t>5970 Marion Drive</t>
        </is>
      </c>
      <c r="H5" s="45" t="n">
        <v>2024</v>
      </c>
      <c r="I5" s="44" t="inlineStr">
        <is>
          <t>Line item</t>
        </is>
      </c>
    </row>
    <row r="6">
      <c r="A6" s="6" t="inlineStr">
        <is>
          <t>5970 Marion Drive — FY2024</t>
        </is>
      </c>
      <c r="B6" s="25" t="inlineStr">
        <is>
          <t>Income</t>
        </is>
      </c>
      <c r="C6" s="6" t="inlineStr">
        <is>
          <t>4200 - CAM Escrows</t>
        </is>
      </c>
      <c r="D6" s="22" t="n">
        <v>81272.60000000001</v>
      </c>
      <c r="E6" s="6" t="inlineStr">
        <is>
          <t>CAM recoveries</t>
        </is>
      </c>
      <c r="F6" s="44" t="inlineStr">
        <is>
          <t>—</t>
        </is>
      </c>
      <c r="G6" s="37" t="inlineStr">
        <is>
          <t>5970 Marion Drive</t>
        </is>
      </c>
      <c r="H6" s="45" t="n">
        <v>2024</v>
      </c>
      <c r="I6" s="44" t="inlineStr">
        <is>
          <t>Line item</t>
        </is>
      </c>
    </row>
    <row r="7">
      <c r="A7" s="11" t="inlineStr">
        <is>
          <t>5970 Marion Drive — FY2024</t>
        </is>
      </c>
      <c r="B7" s="26" t="inlineStr">
        <is>
          <t>Income</t>
        </is>
      </c>
      <c r="C7" s="12" t="inlineStr">
        <is>
          <t>TOTAL INCOME</t>
        </is>
      </c>
      <c r="D7" s="23">
        <f>SUM(D5:D6)</f>
        <v/>
      </c>
      <c r="E7" s="18" t="inlineStr">
        <is>
          <t>Printed total: $249,672.20.</t>
        </is>
      </c>
      <c r="F7" s="46" t="inlineStr">
        <is>
          <t>—</t>
        </is>
      </c>
      <c r="G7" s="36" t="inlineStr">
        <is>
          <t>5970 Marion Drive</t>
        </is>
      </c>
      <c r="H7" s="47" t="n">
        <v>2024</v>
      </c>
      <c r="I7" s="46" t="inlineStr">
        <is>
          <t>Total</t>
        </is>
      </c>
    </row>
    <row r="8">
      <c r="A8" s="6" t="inlineStr">
        <is>
          <t>5970 Marion Drive — FY2024</t>
        </is>
      </c>
      <c r="B8" s="27" t="inlineStr">
        <is>
          <t>Expense</t>
        </is>
      </c>
      <c r="C8" s="6" t="inlineStr">
        <is>
          <t>Utilities - Water</t>
        </is>
      </c>
      <c r="D8" s="22" t="n">
        <v>2175.55</v>
      </c>
      <c r="E8" s="6" t="inlineStr"/>
      <c r="F8" s="44" t="inlineStr">
        <is>
          <t>—</t>
        </is>
      </c>
      <c r="G8" s="37" t="inlineStr">
        <is>
          <t>5970 Marion Drive</t>
        </is>
      </c>
      <c r="H8" s="45" t="n">
        <v>2024</v>
      </c>
      <c r="I8" s="44" t="inlineStr">
        <is>
          <t>Line item</t>
        </is>
      </c>
    </row>
    <row r="9">
      <c r="A9" s="6" t="inlineStr">
        <is>
          <t>5970 Marion Drive — FY2024</t>
        </is>
      </c>
      <c r="B9" s="27" t="inlineStr">
        <is>
          <t>Expense</t>
        </is>
      </c>
      <c r="C9" s="6" t="inlineStr">
        <is>
          <t>Utilities - Sewer</t>
        </is>
      </c>
      <c r="D9" s="22" t="n">
        <v>394.3</v>
      </c>
      <c r="E9" s="6" t="inlineStr"/>
      <c r="F9" s="44" t="inlineStr">
        <is>
          <t>—</t>
        </is>
      </c>
      <c r="G9" s="37" t="inlineStr">
        <is>
          <t>5970 Marion Drive</t>
        </is>
      </c>
      <c r="H9" s="45" t="n">
        <v>2024</v>
      </c>
      <c r="I9" s="44" t="inlineStr">
        <is>
          <t>Line item</t>
        </is>
      </c>
    </row>
    <row r="10">
      <c r="A10" s="6" t="inlineStr">
        <is>
          <t>5970 Marion Drive — FY2024</t>
        </is>
      </c>
      <c r="B10" s="27" t="inlineStr">
        <is>
          <t>Expense</t>
        </is>
      </c>
      <c r="C10" s="6" t="inlineStr">
        <is>
          <t>Inspection &amp; Compliance</t>
        </is>
      </c>
      <c r="D10" s="22" t="n">
        <v>100</v>
      </c>
      <c r="E10" s="6" t="inlineStr"/>
      <c r="F10" s="44" t="inlineStr">
        <is>
          <t>—</t>
        </is>
      </c>
      <c r="G10" s="37" t="inlineStr">
        <is>
          <t>5970 Marion Drive</t>
        </is>
      </c>
      <c r="H10" s="45" t="n">
        <v>2024</v>
      </c>
      <c r="I10" s="44" t="inlineStr">
        <is>
          <t>Line item</t>
        </is>
      </c>
    </row>
    <row r="11">
      <c r="A11" s="6" t="inlineStr">
        <is>
          <t>5970 Marion Drive — FY2024</t>
        </is>
      </c>
      <c r="B11" s="27" t="inlineStr">
        <is>
          <t>Expense</t>
        </is>
      </c>
      <c r="C11" s="6" t="inlineStr">
        <is>
          <t>Snow Removal</t>
        </is>
      </c>
      <c r="D11" s="22" t="n">
        <v>927.47</v>
      </c>
      <c r="E11" s="6" t="inlineStr"/>
      <c r="F11" s="44" t="inlineStr">
        <is>
          <t>—</t>
        </is>
      </c>
      <c r="G11" s="37" t="inlineStr">
        <is>
          <t>5970 Marion Drive</t>
        </is>
      </c>
      <c r="H11" s="45" t="n">
        <v>2024</v>
      </c>
      <c r="I11" s="44" t="inlineStr">
        <is>
          <t>Line item</t>
        </is>
      </c>
    </row>
    <row r="12">
      <c r="A12" s="6" t="inlineStr">
        <is>
          <t>5970 Marion Drive — FY2024</t>
        </is>
      </c>
      <c r="B12" s="27" t="inlineStr">
        <is>
          <t>Expense</t>
        </is>
      </c>
      <c r="C12" s="6" t="inlineStr">
        <is>
          <t>Common Area Clean</t>
        </is>
      </c>
      <c r="D12" s="22" t="n">
        <v>200</v>
      </c>
      <c r="E12" s="6" t="inlineStr"/>
      <c r="F12" s="44" t="inlineStr">
        <is>
          <t>—</t>
        </is>
      </c>
      <c r="G12" s="37" t="inlineStr">
        <is>
          <t>5970 Marion Drive</t>
        </is>
      </c>
      <c r="H12" s="45" t="n">
        <v>2024</v>
      </c>
      <c r="I12" s="44" t="inlineStr">
        <is>
          <t>Line item</t>
        </is>
      </c>
    </row>
    <row r="13">
      <c r="A13" s="6" t="inlineStr">
        <is>
          <t>5970 Marion Drive — FY2024</t>
        </is>
      </c>
      <c r="B13" s="27" t="inlineStr">
        <is>
          <t>Expense</t>
        </is>
      </c>
      <c r="C13" s="6" t="inlineStr">
        <is>
          <t>Property Management</t>
        </is>
      </c>
      <c r="D13" s="22" t="n">
        <v>6000</v>
      </c>
      <c r="E13" s="6" t="inlineStr">
        <is>
          <t>Deerwoods</t>
        </is>
      </c>
      <c r="F13" s="44" t="inlineStr">
        <is>
          <t>—</t>
        </is>
      </c>
      <c r="G13" s="37" t="inlineStr">
        <is>
          <t>5970 Marion Drive</t>
        </is>
      </c>
      <c r="H13" s="45" t="n">
        <v>2024</v>
      </c>
      <c r="I13" s="44" t="inlineStr">
        <is>
          <t>Line item</t>
        </is>
      </c>
    </row>
    <row r="14">
      <c r="A14" s="6" t="inlineStr">
        <is>
          <t>5970 Marion Drive — FY2024</t>
        </is>
      </c>
      <c r="B14" s="27" t="inlineStr">
        <is>
          <t>Expense</t>
        </is>
      </c>
      <c r="C14" s="6" t="inlineStr">
        <is>
          <t>Eviction Fees</t>
        </is>
      </c>
      <c r="D14" s="22" t="n">
        <v>0</v>
      </c>
      <c r="E14" s="6" t="inlineStr">
        <is>
          <t>net $0</t>
        </is>
      </c>
      <c r="F14" s="44" t="inlineStr">
        <is>
          <t>—</t>
        </is>
      </c>
      <c r="G14" s="37" t="inlineStr">
        <is>
          <t>5970 Marion Drive</t>
        </is>
      </c>
      <c r="H14" s="45" t="n">
        <v>2024</v>
      </c>
      <c r="I14" s="44" t="inlineStr">
        <is>
          <t>Line item</t>
        </is>
      </c>
    </row>
    <row r="15">
      <c r="A15" s="6" t="inlineStr">
        <is>
          <t>5970 Marion Drive — FY2024</t>
        </is>
      </c>
      <c r="B15" s="27" t="inlineStr">
        <is>
          <t>Expense</t>
        </is>
      </c>
      <c r="C15" s="6" t="inlineStr">
        <is>
          <t>Insurance</t>
        </is>
      </c>
      <c r="D15" s="22" t="n">
        <v>10241.26</v>
      </c>
      <c r="E15" s="6" t="inlineStr">
        <is>
          <t>Farmers</t>
        </is>
      </c>
      <c r="F15" s="44" t="inlineStr">
        <is>
          <t>—</t>
        </is>
      </c>
      <c r="G15" s="37" t="inlineStr">
        <is>
          <t>5970 Marion Drive</t>
        </is>
      </c>
      <c r="H15" s="45" t="n">
        <v>2024</v>
      </c>
      <c r="I15" s="44" t="inlineStr">
        <is>
          <t>Line item</t>
        </is>
      </c>
    </row>
    <row r="16">
      <c r="A16" s="6" t="inlineStr">
        <is>
          <t>5970 Marion Drive — FY2024</t>
        </is>
      </c>
      <c r="B16" s="27" t="inlineStr">
        <is>
          <t>Expense</t>
        </is>
      </c>
      <c r="C16" s="6" t="inlineStr">
        <is>
          <t>Taxes - Real Property</t>
        </is>
      </c>
      <c r="D16" s="22" t="n">
        <v>62852.62</v>
      </c>
      <c r="E16" s="6" t="inlineStr">
        <is>
          <t>Adams Co.</t>
        </is>
      </c>
      <c r="F16" s="44" t="inlineStr">
        <is>
          <t>—</t>
        </is>
      </c>
      <c r="G16" s="37" t="inlineStr">
        <is>
          <t>5970 Marion Drive</t>
        </is>
      </c>
      <c r="H16" s="45" t="n">
        <v>2024</v>
      </c>
      <c r="I16" s="44" t="inlineStr">
        <is>
          <t>Line item</t>
        </is>
      </c>
    </row>
    <row r="17">
      <c r="A17" s="6" t="inlineStr">
        <is>
          <t>5970 Marion Drive — FY2024</t>
        </is>
      </c>
      <c r="B17" s="27" t="inlineStr">
        <is>
          <t>Expense</t>
        </is>
      </c>
      <c r="C17" s="6" t="inlineStr">
        <is>
          <t>Taxes Other</t>
        </is>
      </c>
      <c r="D17" s="22" t="n">
        <v>800</v>
      </c>
      <c r="E17" s="6" t="inlineStr"/>
      <c r="F17" s="44" t="inlineStr">
        <is>
          <t>—</t>
        </is>
      </c>
      <c r="G17" s="37" t="inlineStr">
        <is>
          <t>5970 Marion Drive</t>
        </is>
      </c>
      <c r="H17" s="45" t="n">
        <v>2024</v>
      </c>
      <c r="I17" s="44" t="inlineStr">
        <is>
          <t>Line item</t>
        </is>
      </c>
    </row>
    <row r="18">
      <c r="A18" s="6" t="inlineStr">
        <is>
          <t>5970 Marion Drive — FY2024</t>
        </is>
      </c>
      <c r="B18" s="27" t="inlineStr">
        <is>
          <t>Expense</t>
        </is>
      </c>
      <c r="C18" s="6" t="inlineStr">
        <is>
          <t>Mortgage Principal</t>
        </is>
      </c>
      <c r="D18" s="22" t="n">
        <v>27586.31</v>
      </c>
      <c r="E18" s="6" t="inlineStr">
        <is>
          <t>Alpine Bank</t>
        </is>
      </c>
      <c r="F18" s="44" t="inlineStr">
        <is>
          <t>—</t>
        </is>
      </c>
      <c r="G18" s="37" t="inlineStr">
        <is>
          <t>5970 Marion Drive</t>
        </is>
      </c>
      <c r="H18" s="45" t="n">
        <v>2024</v>
      </c>
      <c r="I18" s="44" t="inlineStr">
        <is>
          <t>Line item</t>
        </is>
      </c>
    </row>
    <row r="19">
      <c r="A19" s="6" t="inlineStr">
        <is>
          <t>5970 Marion Drive — FY2024</t>
        </is>
      </c>
      <c r="B19" s="27" t="inlineStr">
        <is>
          <t>Expense</t>
        </is>
      </c>
      <c r="C19" s="6" t="inlineStr">
        <is>
          <t>Mortgage Interest</t>
        </is>
      </c>
      <c r="D19" s="22" t="n">
        <v>50738.17</v>
      </c>
      <c r="E19" s="6" t="inlineStr">
        <is>
          <t>Alpine Bank</t>
        </is>
      </c>
      <c r="F19" s="44" t="inlineStr">
        <is>
          <t>—</t>
        </is>
      </c>
      <c r="G19" s="37" t="inlineStr">
        <is>
          <t>5970 Marion Drive</t>
        </is>
      </c>
      <c r="H19" s="45" t="n">
        <v>2024</v>
      </c>
      <c r="I19" s="44" t="inlineStr">
        <is>
          <t>Line item</t>
        </is>
      </c>
    </row>
    <row r="20">
      <c r="A20" s="6" t="inlineStr">
        <is>
          <t>5970 Marion Drive — FY2024</t>
        </is>
      </c>
      <c r="B20" s="27" t="inlineStr">
        <is>
          <t>Expense</t>
        </is>
      </c>
      <c r="C20" s="6" t="inlineStr">
        <is>
          <t>Legal &amp; Professional</t>
        </is>
      </c>
      <c r="D20" s="22" t="n">
        <v>465</v>
      </c>
      <c r="E20" s="6" t="inlineStr"/>
      <c r="F20" s="44" t="inlineStr">
        <is>
          <t>—</t>
        </is>
      </c>
      <c r="G20" s="37" t="inlineStr">
        <is>
          <t>5970 Marion Drive</t>
        </is>
      </c>
      <c r="H20" s="45" t="n">
        <v>2024</v>
      </c>
      <c r="I20" s="44" t="inlineStr">
        <is>
          <t>Line item</t>
        </is>
      </c>
    </row>
    <row r="21">
      <c r="A21" s="6" t="inlineStr">
        <is>
          <t>5970 Marion Drive — FY2024</t>
        </is>
      </c>
      <c r="B21" s="27" t="inlineStr">
        <is>
          <t>Expense</t>
        </is>
      </c>
      <c r="C21" s="6" t="inlineStr">
        <is>
          <t>Other</t>
        </is>
      </c>
      <c r="D21" s="22" t="n">
        <v>293.68</v>
      </c>
      <c r="E21" s="6" t="inlineStr"/>
      <c r="F21" s="44" t="inlineStr">
        <is>
          <t>—</t>
        </is>
      </c>
      <c r="G21" s="37" t="inlineStr">
        <is>
          <t>5970 Marion Drive</t>
        </is>
      </c>
      <c r="H21" s="45" t="n">
        <v>2024</v>
      </c>
      <c r="I21" s="44" t="inlineStr">
        <is>
          <t>Line item</t>
        </is>
      </c>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c r="F22" s="46" t="inlineStr">
        <is>
          <t>—</t>
        </is>
      </c>
      <c r="G22" s="36" t="inlineStr">
        <is>
          <t>5970 Marion Drive</t>
        </is>
      </c>
      <c r="H22" s="47" t="n">
        <v>2024</v>
      </c>
      <c r="I22" s="46" t="inlineStr">
        <is>
          <t>Total</t>
        </is>
      </c>
    </row>
    <row r="23">
      <c r="A23" s="6" t="inlineStr">
        <is>
          <t>5970 Marion Drive — FY2023</t>
        </is>
      </c>
      <c r="B23" s="25" t="inlineStr">
        <is>
          <t>Income</t>
        </is>
      </c>
      <c r="C23" s="6" t="inlineStr">
        <is>
          <t>CAM Escrows</t>
        </is>
      </c>
      <c r="D23" s="22" t="n">
        <v>89143.03999999999</v>
      </c>
      <c r="E23" s="6" t="inlineStr"/>
      <c r="F23" s="44" t="inlineStr">
        <is>
          <t>—</t>
        </is>
      </c>
      <c r="G23" s="37" t="inlineStr">
        <is>
          <t>5970 Marion Drive</t>
        </is>
      </c>
      <c r="H23" s="45" t="n">
        <v>2023</v>
      </c>
      <c r="I23" s="44" t="inlineStr">
        <is>
          <t>Line item</t>
        </is>
      </c>
    </row>
    <row r="24">
      <c r="A24" s="6" t="inlineStr">
        <is>
          <t>5970 Marion Drive — FY2023</t>
        </is>
      </c>
      <c r="B24" s="25" t="inlineStr">
        <is>
          <t>Income</t>
        </is>
      </c>
      <c r="C24" s="6" t="inlineStr">
        <is>
          <t>Prior Year CAM</t>
        </is>
      </c>
      <c r="D24" s="22" t="n">
        <v>523.01</v>
      </c>
      <c r="E24" s="6" t="inlineStr"/>
      <c r="F24" s="44" t="inlineStr">
        <is>
          <t>—</t>
        </is>
      </c>
      <c r="G24" s="37" t="inlineStr">
        <is>
          <t>5970 Marion Drive</t>
        </is>
      </c>
      <c r="H24" s="45" t="n">
        <v>2023</v>
      </c>
      <c r="I24" s="44" t="inlineStr">
        <is>
          <t>Line item</t>
        </is>
      </c>
    </row>
    <row r="25">
      <c r="A25" s="6" t="inlineStr">
        <is>
          <t>5970 Marion Drive — FY2023</t>
        </is>
      </c>
      <c r="B25" s="25" t="inlineStr">
        <is>
          <t>Income</t>
        </is>
      </c>
      <c r="C25" s="6" t="inlineStr">
        <is>
          <t>Tenant Admin Fees</t>
        </is>
      </c>
      <c r="D25" s="22" t="n">
        <v>500</v>
      </c>
      <c r="E25" s="6" t="inlineStr"/>
      <c r="F25" s="44" t="inlineStr">
        <is>
          <t>—</t>
        </is>
      </c>
      <c r="G25" s="37" t="inlineStr">
        <is>
          <t>5970 Marion Drive</t>
        </is>
      </c>
      <c r="H25" s="45" t="n">
        <v>2023</v>
      </c>
      <c r="I25" s="44" t="inlineStr">
        <is>
          <t>Line item</t>
        </is>
      </c>
    </row>
    <row r="26">
      <c r="A26" s="6" t="inlineStr">
        <is>
          <t>5970 Marion Drive — FY2023</t>
        </is>
      </c>
      <c r="B26" s="25" t="inlineStr">
        <is>
          <t>Income</t>
        </is>
      </c>
      <c r="C26" s="6" t="inlineStr">
        <is>
          <t>Rent Income</t>
        </is>
      </c>
      <c r="D26" s="22" t="n">
        <v>157145.5</v>
      </c>
      <c r="E26" s="6" t="inlineStr"/>
      <c r="F26" s="44" t="inlineStr">
        <is>
          <t>—</t>
        </is>
      </c>
      <c r="G26" s="37" t="inlineStr">
        <is>
          <t>5970 Marion Drive</t>
        </is>
      </c>
      <c r="H26" s="45" t="n">
        <v>2023</v>
      </c>
      <c r="I26" s="44" t="inlineStr">
        <is>
          <t>Line item</t>
        </is>
      </c>
    </row>
    <row r="27">
      <c r="A27" s="11" t="inlineStr">
        <is>
          <t>5970 Marion Drive — FY2023</t>
        </is>
      </c>
      <c r="B27" s="26" t="inlineStr">
        <is>
          <t>Income</t>
        </is>
      </c>
      <c r="C27" s="12" t="inlineStr">
        <is>
          <t>TOTAL INCOME</t>
        </is>
      </c>
      <c r="D27" s="23">
        <f>SUM(D23:D26)</f>
        <v/>
      </c>
      <c r="E27" s="18" t="inlineStr">
        <is>
          <t>Printed total: $247,311.55.</t>
        </is>
      </c>
      <c r="F27" s="46" t="inlineStr">
        <is>
          <t>—</t>
        </is>
      </c>
      <c r="G27" s="36" t="inlineStr">
        <is>
          <t>5970 Marion Drive</t>
        </is>
      </c>
      <c r="H27" s="47" t="n">
        <v>2023</v>
      </c>
      <c r="I27" s="46" t="inlineStr">
        <is>
          <t>Total</t>
        </is>
      </c>
    </row>
    <row r="28">
      <c r="A28" s="6" t="inlineStr">
        <is>
          <t>5970 Marion Drive — FY2023</t>
        </is>
      </c>
      <c r="B28" s="27" t="inlineStr">
        <is>
          <t>Expense</t>
        </is>
      </c>
      <c r="C28" s="6" t="inlineStr">
        <is>
          <t>Electrical Repairs &amp; Lighting</t>
        </is>
      </c>
      <c r="D28" s="22" t="n">
        <v>1550</v>
      </c>
      <c r="E28" s="6" t="inlineStr"/>
      <c r="F28" s="44" t="inlineStr">
        <is>
          <t>—</t>
        </is>
      </c>
      <c r="G28" s="37" t="inlineStr">
        <is>
          <t>5970 Marion Drive</t>
        </is>
      </c>
      <c r="H28" s="45" t="n">
        <v>2023</v>
      </c>
      <c r="I28" s="44" t="inlineStr">
        <is>
          <t>Line item</t>
        </is>
      </c>
    </row>
    <row r="29">
      <c r="A29" s="6" t="inlineStr">
        <is>
          <t>5970 Marion Drive — FY2023</t>
        </is>
      </c>
      <c r="B29" s="27" t="inlineStr">
        <is>
          <t>Expense</t>
        </is>
      </c>
      <c r="C29" s="6" t="inlineStr">
        <is>
          <t>Roofing Repairs</t>
        </is>
      </c>
      <c r="D29" s="22" t="n">
        <v>47000</v>
      </c>
      <c r="E29" s="6" t="inlineStr"/>
      <c r="F29" s="44" t="inlineStr">
        <is>
          <t>—</t>
        </is>
      </c>
      <c r="G29" s="37" t="inlineStr">
        <is>
          <t>5970 Marion Drive</t>
        </is>
      </c>
      <c r="H29" s="45" t="n">
        <v>2023</v>
      </c>
      <c r="I29" s="44" t="inlineStr">
        <is>
          <t>Line item</t>
        </is>
      </c>
    </row>
    <row r="30">
      <c r="A30" s="6" t="inlineStr">
        <is>
          <t>5970 Marion Drive — FY2023</t>
        </is>
      </c>
      <c r="B30" s="27" t="inlineStr">
        <is>
          <t>Expense</t>
        </is>
      </c>
      <c r="C30" s="6" t="inlineStr">
        <is>
          <t>Drywall Repairs</t>
        </is>
      </c>
      <c r="D30" s="22" t="n">
        <v>810</v>
      </c>
      <c r="E30" s="6" t="inlineStr"/>
      <c r="F30" s="44" t="inlineStr">
        <is>
          <t>—</t>
        </is>
      </c>
      <c r="G30" s="37" t="inlineStr">
        <is>
          <t>5970 Marion Drive</t>
        </is>
      </c>
      <c r="H30" s="45" t="n">
        <v>2023</v>
      </c>
      <c r="I30" s="44" t="inlineStr">
        <is>
          <t>Line item</t>
        </is>
      </c>
    </row>
    <row r="31">
      <c r="A31" s="6" t="inlineStr">
        <is>
          <t>5970 Marion Drive — FY2023</t>
        </is>
      </c>
      <c r="B31" s="27" t="inlineStr">
        <is>
          <t>Expense</t>
        </is>
      </c>
      <c r="C31" s="6" t="inlineStr">
        <is>
          <t>Snow Removal</t>
        </is>
      </c>
      <c r="D31" s="22" t="n">
        <v>1016.31</v>
      </c>
      <c r="E31" s="6" t="inlineStr"/>
      <c r="F31" s="44" t="inlineStr">
        <is>
          <t>—</t>
        </is>
      </c>
      <c r="G31" s="37" t="inlineStr">
        <is>
          <t>5970 Marion Drive</t>
        </is>
      </c>
      <c r="H31" s="45" t="n">
        <v>2023</v>
      </c>
      <c r="I31" s="44" t="inlineStr">
        <is>
          <t>Line item</t>
        </is>
      </c>
    </row>
    <row r="32">
      <c r="A32" s="6" t="inlineStr">
        <is>
          <t>5970 Marion Drive — FY2023</t>
        </is>
      </c>
      <c r="B32" s="27" t="inlineStr">
        <is>
          <t>Expense</t>
        </is>
      </c>
      <c r="C32" s="6" t="inlineStr">
        <is>
          <t>Utilities - Water</t>
        </is>
      </c>
      <c r="D32" s="22" t="n">
        <v>2157.08</v>
      </c>
      <c r="E32" s="6" t="inlineStr"/>
      <c r="F32" s="44" t="inlineStr">
        <is>
          <t>—</t>
        </is>
      </c>
      <c r="G32" s="37" t="inlineStr">
        <is>
          <t>5970 Marion Drive</t>
        </is>
      </c>
      <c r="H32" s="45" t="n">
        <v>2023</v>
      </c>
      <c r="I32" s="44" t="inlineStr">
        <is>
          <t>Line item</t>
        </is>
      </c>
    </row>
    <row r="33">
      <c r="A33" s="6" t="inlineStr">
        <is>
          <t>5970 Marion Drive — FY2023</t>
        </is>
      </c>
      <c r="B33" s="27" t="inlineStr">
        <is>
          <t>Expense</t>
        </is>
      </c>
      <c r="C33" s="6" t="inlineStr">
        <is>
          <t>Trash</t>
        </is>
      </c>
      <c r="D33" s="22" t="n">
        <v>151.01</v>
      </c>
      <c r="E33" s="6" t="inlineStr"/>
      <c r="F33" s="44" t="inlineStr">
        <is>
          <t>—</t>
        </is>
      </c>
      <c r="G33" s="37" t="inlineStr">
        <is>
          <t>5970 Marion Drive</t>
        </is>
      </c>
      <c r="H33" s="45" t="n">
        <v>2023</v>
      </c>
      <c r="I33" s="44" t="inlineStr">
        <is>
          <t>Line item</t>
        </is>
      </c>
    </row>
    <row r="34">
      <c r="A34" s="6" t="inlineStr">
        <is>
          <t>5970 Marion Drive — FY2023</t>
        </is>
      </c>
      <c r="B34" s="27" t="inlineStr">
        <is>
          <t>Expense</t>
        </is>
      </c>
      <c r="C34" s="6" t="inlineStr">
        <is>
          <t>Inspection &amp; Compliance</t>
        </is>
      </c>
      <c r="D34" s="22" t="n">
        <v>110</v>
      </c>
      <c r="E34" s="6" t="inlineStr"/>
      <c r="F34" s="44" t="inlineStr">
        <is>
          <t>—</t>
        </is>
      </c>
      <c r="G34" s="37" t="inlineStr">
        <is>
          <t>5970 Marion Drive</t>
        </is>
      </c>
      <c r="H34" s="45" t="n">
        <v>2023</v>
      </c>
      <c r="I34" s="44" t="inlineStr">
        <is>
          <t>Line item</t>
        </is>
      </c>
    </row>
    <row r="35">
      <c r="A35" s="6" t="inlineStr">
        <is>
          <t>5970 Marion Drive — FY2023</t>
        </is>
      </c>
      <c r="B35" s="27" t="inlineStr">
        <is>
          <t>Expense</t>
        </is>
      </c>
      <c r="C35" s="6" t="inlineStr">
        <is>
          <t>Property Management</t>
        </is>
      </c>
      <c r="D35" s="22" t="n">
        <v>6000</v>
      </c>
      <c r="E35" s="6" t="inlineStr"/>
      <c r="F35" s="44" t="inlineStr">
        <is>
          <t>—</t>
        </is>
      </c>
      <c r="G35" s="37" t="inlineStr">
        <is>
          <t>5970 Marion Drive</t>
        </is>
      </c>
      <c r="H35" s="45" t="n">
        <v>2023</v>
      </c>
      <c r="I35" s="44" t="inlineStr">
        <is>
          <t>Line item</t>
        </is>
      </c>
    </row>
    <row r="36">
      <c r="A36" s="6" t="inlineStr">
        <is>
          <t>5970 Marion Drive — FY2023</t>
        </is>
      </c>
      <c r="B36" s="27" t="inlineStr">
        <is>
          <t>Expense</t>
        </is>
      </c>
      <c r="C36" s="6" t="inlineStr">
        <is>
          <t>Bank fees</t>
        </is>
      </c>
      <c r="D36" s="22" t="n">
        <v>180</v>
      </c>
      <c r="E36" s="6" t="inlineStr"/>
      <c r="F36" s="44" t="inlineStr">
        <is>
          <t>—</t>
        </is>
      </c>
      <c r="G36" s="37" t="inlineStr">
        <is>
          <t>5970 Marion Drive</t>
        </is>
      </c>
      <c r="H36" s="45" t="n">
        <v>2023</v>
      </c>
      <c r="I36" s="44" t="inlineStr">
        <is>
          <t>Line item</t>
        </is>
      </c>
    </row>
    <row r="37">
      <c r="A37" s="6" t="inlineStr">
        <is>
          <t>5970 Marion Drive — FY2023</t>
        </is>
      </c>
      <c r="B37" s="27" t="inlineStr">
        <is>
          <t>Expense</t>
        </is>
      </c>
      <c r="C37" s="6" t="inlineStr">
        <is>
          <t>Insurance</t>
        </is>
      </c>
      <c r="D37" s="22" t="n">
        <v>8640.99</v>
      </c>
      <c r="E37" s="6" t="inlineStr"/>
      <c r="F37" s="44" t="inlineStr">
        <is>
          <t>—</t>
        </is>
      </c>
      <c r="G37" s="37" t="inlineStr">
        <is>
          <t>5970 Marion Drive</t>
        </is>
      </c>
      <c r="H37" s="45" t="n">
        <v>2023</v>
      </c>
      <c r="I37" s="44" t="inlineStr">
        <is>
          <t>Line item</t>
        </is>
      </c>
    </row>
    <row r="38">
      <c r="A38" s="6" t="inlineStr">
        <is>
          <t>5970 Marion Drive — FY2023</t>
        </is>
      </c>
      <c r="B38" s="27" t="inlineStr">
        <is>
          <t>Expense</t>
        </is>
      </c>
      <c r="C38" s="6" t="inlineStr">
        <is>
          <t>Taxes - Real Property</t>
        </is>
      </c>
      <c r="D38" s="22" t="n">
        <v>37726.76</v>
      </c>
      <c r="E38" s="6" t="inlineStr"/>
      <c r="F38" s="44" t="inlineStr">
        <is>
          <t>—</t>
        </is>
      </c>
      <c r="G38" s="37" t="inlineStr">
        <is>
          <t>5970 Marion Drive</t>
        </is>
      </c>
      <c r="H38" s="45" t="n">
        <v>2023</v>
      </c>
      <c r="I38" s="44" t="inlineStr">
        <is>
          <t>Line item</t>
        </is>
      </c>
    </row>
    <row r="39">
      <c r="A39" s="6" t="inlineStr">
        <is>
          <t>5970 Marion Drive — FY2023</t>
        </is>
      </c>
      <c r="B39" s="27" t="inlineStr">
        <is>
          <t>Expense</t>
        </is>
      </c>
      <c r="C39" s="6" t="inlineStr">
        <is>
          <t>Taxes Other</t>
        </is>
      </c>
      <c r="D39" s="22" t="n">
        <v>4968.83</v>
      </c>
      <c r="E39" s="6" t="inlineStr"/>
      <c r="F39" s="44" t="inlineStr">
        <is>
          <t>—</t>
        </is>
      </c>
      <c r="G39" s="37" t="inlineStr">
        <is>
          <t>5970 Marion Drive</t>
        </is>
      </c>
      <c r="H39" s="45" t="n">
        <v>2023</v>
      </c>
      <c r="I39" s="44" t="inlineStr">
        <is>
          <t>Line item</t>
        </is>
      </c>
    </row>
    <row r="40">
      <c r="A40" s="6" t="inlineStr">
        <is>
          <t>5970 Marion Drive — FY2023</t>
        </is>
      </c>
      <c r="B40" s="27" t="inlineStr">
        <is>
          <t>Expense</t>
        </is>
      </c>
      <c r="C40" s="6" t="inlineStr">
        <is>
          <t>Mortgage Principal</t>
        </is>
      </c>
      <c r="D40" s="22" t="n">
        <v>26699.59</v>
      </c>
      <c r="E40" s="6" t="inlineStr"/>
      <c r="F40" s="44" t="inlineStr">
        <is>
          <t>—</t>
        </is>
      </c>
      <c r="G40" s="37" t="inlineStr">
        <is>
          <t>5970 Marion Drive</t>
        </is>
      </c>
      <c r="H40" s="45" t="n">
        <v>2023</v>
      </c>
      <c r="I40" s="44" t="inlineStr">
        <is>
          <t>Line item</t>
        </is>
      </c>
    </row>
    <row r="41">
      <c r="A41" s="6" t="inlineStr">
        <is>
          <t>5970 Marion Drive — FY2023</t>
        </is>
      </c>
      <c r="B41" s="27" t="inlineStr">
        <is>
          <t>Expense</t>
        </is>
      </c>
      <c r="C41" s="6" t="inlineStr">
        <is>
          <t>Mortgage Interest</t>
        </is>
      </c>
      <c r="D41" s="22" t="n">
        <v>51624.89</v>
      </c>
      <c r="E41" s="6" t="inlineStr"/>
      <c r="F41" s="44" t="inlineStr">
        <is>
          <t>—</t>
        </is>
      </c>
      <c r="G41" s="37" t="inlineStr">
        <is>
          <t>5970 Marion Drive</t>
        </is>
      </c>
      <c r="H41" s="45" t="n">
        <v>2023</v>
      </c>
      <c r="I41" s="44" t="inlineStr">
        <is>
          <t>Line item</t>
        </is>
      </c>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c r="F42" s="46" t="inlineStr">
        <is>
          <t>—</t>
        </is>
      </c>
      <c r="G42" s="36" t="inlineStr">
        <is>
          <t>5970 Marion Drive</t>
        </is>
      </c>
      <c r="H42" s="47" t="n">
        <v>2023</v>
      </c>
      <c r="I42" s="46" t="inlineStr">
        <is>
          <t>Total</t>
        </is>
      </c>
    </row>
    <row r="43">
      <c r="A43" s="6" t="inlineStr">
        <is>
          <t>2011 E 58th (TempTee) — 2024</t>
        </is>
      </c>
      <c r="B43" s="27" t="inlineStr">
        <is>
          <t>Expense</t>
        </is>
      </c>
      <c r="C43" s="6" t="inlineStr">
        <is>
          <t>Advertising (leasing)</t>
        </is>
      </c>
      <c r="D43" s="22" t="n">
        <v>0</v>
      </c>
      <c r="E43" s="6" t="inlineStr"/>
      <c r="F43" s="44" t="inlineStr">
        <is>
          <t>—</t>
        </is>
      </c>
      <c r="G43" s="37" t="inlineStr">
        <is>
          <t>2011 E 58th (TempTee)</t>
        </is>
      </c>
      <c r="H43" s="45" t="n">
        <v>2024</v>
      </c>
      <c r="I43" s="44" t="inlineStr">
        <is>
          <t>Line item</t>
        </is>
      </c>
    </row>
    <row r="44">
      <c r="A44" s="6" t="inlineStr">
        <is>
          <t>2011 E 58th (TempTee) — 2024</t>
        </is>
      </c>
      <c r="B44" s="27" t="inlineStr">
        <is>
          <t>Expense</t>
        </is>
      </c>
      <c r="C44" s="6" t="inlineStr">
        <is>
          <t>Building Insurance</t>
        </is>
      </c>
      <c r="D44" s="22" t="n">
        <v>14050</v>
      </c>
      <c r="E44" s="6" t="inlineStr"/>
      <c r="F44" s="44" t="inlineStr">
        <is>
          <t>—</t>
        </is>
      </c>
      <c r="G44" s="37" t="inlineStr">
        <is>
          <t>2011 E 58th (TempTee)</t>
        </is>
      </c>
      <c r="H44" s="45" t="n">
        <v>2024</v>
      </c>
      <c r="I44" s="44" t="inlineStr">
        <is>
          <t>Line item</t>
        </is>
      </c>
    </row>
    <row r="45">
      <c r="A45" s="6" t="inlineStr">
        <is>
          <t>2011 E 58th (TempTee) — 2024</t>
        </is>
      </c>
      <c r="B45" s="27" t="inlineStr">
        <is>
          <t>Expense</t>
        </is>
      </c>
      <c r="C45" s="6" t="inlineStr">
        <is>
          <t>Building Repair &amp; Maintenance</t>
        </is>
      </c>
      <c r="D45" s="22" t="n">
        <v>10000</v>
      </c>
      <c r="E45" s="6" t="inlineStr"/>
      <c r="F45" s="44" t="inlineStr">
        <is>
          <t>—</t>
        </is>
      </c>
      <c r="G45" s="37" t="inlineStr">
        <is>
          <t>2011 E 58th (TempTee)</t>
        </is>
      </c>
      <c r="H45" s="45" t="n">
        <v>2024</v>
      </c>
      <c r="I45" s="44" t="inlineStr">
        <is>
          <t>Line item</t>
        </is>
      </c>
    </row>
    <row r="46">
      <c r="A46" s="6" t="inlineStr">
        <is>
          <t>2011 E 58th (TempTee) — 2024</t>
        </is>
      </c>
      <c r="B46" s="27" t="inlineStr">
        <is>
          <t>Expense</t>
        </is>
      </c>
      <c r="C46" s="6" t="inlineStr">
        <is>
          <t>Ground Maintenance</t>
        </is>
      </c>
      <c r="D46" s="22" t="n">
        <v>0</v>
      </c>
      <c r="E46" s="6" t="inlineStr">
        <is>
          <t>'in house'</t>
        </is>
      </c>
      <c r="F46" s="44" t="inlineStr">
        <is>
          <t>—</t>
        </is>
      </c>
      <c r="G46" s="37" t="inlineStr">
        <is>
          <t>2011 E 58th (TempTee)</t>
        </is>
      </c>
      <c r="H46" s="45" t="n">
        <v>2024</v>
      </c>
      <c r="I46" s="44" t="inlineStr">
        <is>
          <t>Line item</t>
        </is>
      </c>
    </row>
    <row r="47">
      <c r="A47" s="6" t="inlineStr">
        <is>
          <t>2011 E 58th (TempTee) — 2024</t>
        </is>
      </c>
      <c r="B47" s="27" t="inlineStr">
        <is>
          <t>Expense</t>
        </is>
      </c>
      <c r="C47" s="6" t="inlineStr">
        <is>
          <t>Janitorial</t>
        </is>
      </c>
      <c r="D47" s="22" t="n">
        <v>0</v>
      </c>
      <c r="E47" s="6" t="inlineStr">
        <is>
          <t>'in house'</t>
        </is>
      </c>
      <c r="F47" s="44" t="inlineStr">
        <is>
          <t>—</t>
        </is>
      </c>
      <c r="G47" s="37" t="inlineStr">
        <is>
          <t>2011 E 58th (TempTee)</t>
        </is>
      </c>
      <c r="H47" s="45" t="n">
        <v>2024</v>
      </c>
      <c r="I47" s="44" t="inlineStr">
        <is>
          <t>Line item</t>
        </is>
      </c>
    </row>
    <row r="48">
      <c r="A48" s="6" t="inlineStr">
        <is>
          <t>2011 E 58th (TempTee) — 2024</t>
        </is>
      </c>
      <c r="B48" s="27" t="inlineStr">
        <is>
          <t>Expense</t>
        </is>
      </c>
      <c r="C48" s="6" t="inlineStr">
        <is>
          <t>Leasing Commissions</t>
        </is>
      </c>
      <c r="D48" s="22" t="n">
        <v>0</v>
      </c>
      <c r="E48" s="6" t="inlineStr"/>
      <c r="F48" s="44" t="inlineStr">
        <is>
          <t>—</t>
        </is>
      </c>
      <c r="G48" s="37" t="inlineStr">
        <is>
          <t>2011 E 58th (TempTee)</t>
        </is>
      </c>
      <c r="H48" s="45" t="n">
        <v>2024</v>
      </c>
      <c r="I48" s="44" t="inlineStr">
        <is>
          <t>Line item</t>
        </is>
      </c>
    </row>
    <row r="49">
      <c r="A49" s="6" t="inlineStr">
        <is>
          <t>2011 E 58th (TempTee) — 2024</t>
        </is>
      </c>
      <c r="B49" s="27" t="inlineStr">
        <is>
          <t>Expense</t>
        </is>
      </c>
      <c r="C49" s="6" t="inlineStr">
        <is>
          <t>Management</t>
        </is>
      </c>
      <c r="D49" s="22" t="n">
        <v>0</v>
      </c>
      <c r="E49" s="6" t="inlineStr"/>
      <c r="F49" s="44" t="inlineStr">
        <is>
          <t>—</t>
        </is>
      </c>
      <c r="G49" s="37" t="inlineStr">
        <is>
          <t>2011 E 58th (TempTee)</t>
        </is>
      </c>
      <c r="H49" s="45" t="n">
        <v>2024</v>
      </c>
      <c r="I49" s="44" t="inlineStr">
        <is>
          <t>Line item</t>
        </is>
      </c>
    </row>
    <row r="50">
      <c r="A50" s="6" t="inlineStr">
        <is>
          <t>2011 E 58th (TempTee) — 2024</t>
        </is>
      </c>
      <c r="B50" s="27" t="inlineStr">
        <is>
          <t>Expense</t>
        </is>
      </c>
      <c r="C50" s="6" t="inlineStr">
        <is>
          <t>Snow/Trash Removal</t>
        </is>
      </c>
      <c r="D50" s="22" t="n">
        <v>12000</v>
      </c>
      <c r="E50" s="6" t="inlineStr"/>
      <c r="F50" s="44" t="inlineStr">
        <is>
          <t>—</t>
        </is>
      </c>
      <c r="G50" s="37" t="inlineStr">
        <is>
          <t>2011 E 58th (TempTee)</t>
        </is>
      </c>
      <c r="H50" s="45" t="n">
        <v>2024</v>
      </c>
      <c r="I50" s="44" t="inlineStr">
        <is>
          <t>Line item</t>
        </is>
      </c>
    </row>
    <row r="51">
      <c r="A51" s="6" t="inlineStr">
        <is>
          <t>2011 E 58th (TempTee) — 2024</t>
        </is>
      </c>
      <c r="B51" s="27" t="inlineStr">
        <is>
          <t>Expense</t>
        </is>
      </c>
      <c r="C51" s="6" t="inlineStr">
        <is>
          <t>Utilities</t>
        </is>
      </c>
      <c r="D51" s="22" t="n">
        <v>102000</v>
      </c>
      <c r="E51" s="6" t="inlineStr"/>
      <c r="F51" s="44" t="inlineStr">
        <is>
          <t>—</t>
        </is>
      </c>
      <c r="G51" s="37" t="inlineStr">
        <is>
          <t>2011 E 58th (TempTee)</t>
        </is>
      </c>
      <c r="H51" s="45" t="n">
        <v>2024</v>
      </c>
      <c r="I51" s="44" t="inlineStr">
        <is>
          <t>Line item</t>
        </is>
      </c>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c r="F52" s="46" t="inlineStr">
        <is>
          <t>—</t>
        </is>
      </c>
      <c r="G52" s="36" t="inlineStr">
        <is>
          <t>2011 E 58th (TempTee)</t>
        </is>
      </c>
      <c r="H52" s="47" t="n">
        <v>2024</v>
      </c>
      <c r="I52" s="46" t="inlineStr">
        <is>
          <t>Total</t>
        </is>
      </c>
    </row>
    <row r="53">
      <c r="A53" s="6" t="inlineStr">
        <is>
          <t>125 Bridge St (Broadview) — Form 8825</t>
        </is>
      </c>
      <c r="B53" s="25" t="inlineStr">
        <is>
          <t>Income</t>
        </is>
      </c>
      <c r="C53" s="6" t="inlineStr">
        <is>
          <t>Gross rents</t>
        </is>
      </c>
      <c r="D53" s="22" t="n">
        <v>307817</v>
      </c>
      <c r="E53" s="6" t="inlineStr">
        <is>
          <t>IRS Form 8825, Property A (125 Bridge St, COMMERCIAL)</t>
        </is>
      </c>
      <c r="F53" s="44" t="inlineStr">
        <is>
          <t>—</t>
        </is>
      </c>
      <c r="G53" s="37" t="inlineStr">
        <is>
          <t>125 Bridge St (Broadview) — Form 8825</t>
        </is>
      </c>
      <c r="H53" s="45" t="n">
        <v>2024</v>
      </c>
      <c r="I53" s="44" t="inlineStr">
        <is>
          <t>Line item</t>
        </is>
      </c>
    </row>
    <row r="54">
      <c r="A54" s="11" t="inlineStr">
        <is>
          <t>125 Bridge St (Broadview) — Form 8825</t>
        </is>
      </c>
      <c r="B54" s="26" t="inlineStr">
        <is>
          <t>Income</t>
        </is>
      </c>
      <c r="C54" s="12" t="inlineStr">
        <is>
          <t>TOTAL INCOME</t>
        </is>
      </c>
      <c r="D54" s="23">
        <f>SUM(D53:D53)</f>
        <v/>
      </c>
      <c r="E54" s="18" t="inlineStr">
        <is>
          <t>Printed total: $307,817.00.</t>
        </is>
      </c>
      <c r="F54" s="46" t="inlineStr">
        <is>
          <t>—</t>
        </is>
      </c>
      <c r="G54" s="36" t="inlineStr">
        <is>
          <t>125 Bridge St (Broadview) — Form 8825</t>
        </is>
      </c>
      <c r="H54" s="47" t="n">
        <v>2024</v>
      </c>
      <c r="I54" s="46" t="inlineStr">
        <is>
          <t>Total</t>
        </is>
      </c>
    </row>
    <row r="55">
      <c r="A55" s="6" t="inlineStr">
        <is>
          <t>125 Bridge St (Broadview) — Form 8825</t>
        </is>
      </c>
      <c r="B55" s="27" t="inlineStr">
        <is>
          <t>Expense</t>
        </is>
      </c>
      <c r="C55" s="6" t="inlineStr">
        <is>
          <t>Advertising</t>
        </is>
      </c>
      <c r="D55" s="22" t="n">
        <v>776</v>
      </c>
      <c r="E55" s="6" t="inlineStr"/>
      <c r="F55" s="44" t="inlineStr">
        <is>
          <t>—</t>
        </is>
      </c>
      <c r="G55" s="37" t="inlineStr">
        <is>
          <t>125 Bridge St (Broadview) — Form 8825</t>
        </is>
      </c>
      <c r="H55" s="45" t="n">
        <v>2024</v>
      </c>
      <c r="I55" s="44" t="inlineStr">
        <is>
          <t>Line item</t>
        </is>
      </c>
    </row>
    <row r="56">
      <c r="A56" s="6" t="inlineStr">
        <is>
          <t>125 Bridge St (Broadview) — Form 8825</t>
        </is>
      </c>
      <c r="B56" s="27" t="inlineStr">
        <is>
          <t>Expense</t>
        </is>
      </c>
      <c r="C56" s="6" t="inlineStr">
        <is>
          <t>Insurance</t>
        </is>
      </c>
      <c r="D56" s="22" t="n">
        <v>12004</v>
      </c>
      <c r="E56" s="6" t="inlineStr"/>
      <c r="F56" s="44" t="inlineStr">
        <is>
          <t>—</t>
        </is>
      </c>
      <c r="G56" s="37" t="inlineStr">
        <is>
          <t>125 Bridge St (Broadview) — Form 8825</t>
        </is>
      </c>
      <c r="H56" s="45" t="n">
        <v>2024</v>
      </c>
      <c r="I56" s="44" t="inlineStr">
        <is>
          <t>Line item</t>
        </is>
      </c>
    </row>
    <row r="57">
      <c r="A57" s="6" t="inlineStr">
        <is>
          <t>125 Bridge St (Broadview) — Form 8825</t>
        </is>
      </c>
      <c r="B57" s="27" t="inlineStr">
        <is>
          <t>Expense</t>
        </is>
      </c>
      <c r="C57" s="6" t="inlineStr">
        <is>
          <t>Legal &amp; professional fees</t>
        </is>
      </c>
      <c r="D57" s="22" t="n">
        <v>10211</v>
      </c>
      <c r="E57" s="6" t="inlineStr"/>
      <c r="F57" s="44" t="inlineStr">
        <is>
          <t>—</t>
        </is>
      </c>
      <c r="G57" s="37" t="inlineStr">
        <is>
          <t>125 Bridge St (Broadview) — Form 8825</t>
        </is>
      </c>
      <c r="H57" s="45" t="n">
        <v>2024</v>
      </c>
      <c r="I57" s="44" t="inlineStr">
        <is>
          <t>Line item</t>
        </is>
      </c>
    </row>
    <row r="58">
      <c r="A58" s="6" t="inlineStr">
        <is>
          <t>125 Bridge St (Broadview) — Form 8825</t>
        </is>
      </c>
      <c r="B58" s="27" t="inlineStr">
        <is>
          <t>Expense</t>
        </is>
      </c>
      <c r="C58" s="6" t="inlineStr">
        <is>
          <t>Interest</t>
        </is>
      </c>
      <c r="D58" s="22" t="n">
        <v>98058</v>
      </c>
      <c r="E58" s="6" t="inlineStr"/>
      <c r="F58" s="44" t="inlineStr">
        <is>
          <t>—</t>
        </is>
      </c>
      <c r="G58" s="37" t="inlineStr">
        <is>
          <t>125 Bridge St (Broadview) — Form 8825</t>
        </is>
      </c>
      <c r="H58" s="45" t="n">
        <v>2024</v>
      </c>
      <c r="I58" s="44" t="inlineStr">
        <is>
          <t>Line item</t>
        </is>
      </c>
    </row>
    <row r="59">
      <c r="A59" s="6" t="inlineStr">
        <is>
          <t>125 Bridge St (Broadview) — Form 8825</t>
        </is>
      </c>
      <c r="B59" s="27" t="inlineStr">
        <is>
          <t>Expense</t>
        </is>
      </c>
      <c r="C59" s="6" t="inlineStr">
        <is>
          <t>Repairs</t>
        </is>
      </c>
      <c r="D59" s="22" t="n">
        <v>100279</v>
      </c>
      <c r="E59" s="6" t="inlineStr"/>
      <c r="F59" s="44" t="inlineStr">
        <is>
          <t>—</t>
        </is>
      </c>
      <c r="G59" s="37" t="inlineStr">
        <is>
          <t>125 Bridge St (Broadview) — Form 8825</t>
        </is>
      </c>
      <c r="H59" s="45" t="n">
        <v>2024</v>
      </c>
      <c r="I59" s="44" t="inlineStr">
        <is>
          <t>Line item</t>
        </is>
      </c>
    </row>
    <row r="60">
      <c r="A60" s="6" t="inlineStr">
        <is>
          <t>125 Bridge St (Broadview) — Form 8825</t>
        </is>
      </c>
      <c r="B60" s="27" t="inlineStr">
        <is>
          <t>Expense</t>
        </is>
      </c>
      <c r="C60" s="6" t="inlineStr">
        <is>
          <t>Utilities</t>
        </is>
      </c>
      <c r="D60" s="22" t="n">
        <v>4731</v>
      </c>
      <c r="E60" s="6" t="inlineStr"/>
      <c r="F60" s="44" t="inlineStr">
        <is>
          <t>—</t>
        </is>
      </c>
      <c r="G60" s="37" t="inlineStr">
        <is>
          <t>125 Bridge St (Broadview) — Form 8825</t>
        </is>
      </c>
      <c r="H60" s="45" t="n">
        <v>2024</v>
      </c>
      <c r="I60" s="44" t="inlineStr">
        <is>
          <t>Line item</t>
        </is>
      </c>
    </row>
    <row r="61">
      <c r="A61" s="6" t="inlineStr">
        <is>
          <t>125 Bridge St (Broadview) — Form 8825</t>
        </is>
      </c>
      <c r="B61" s="27" t="inlineStr">
        <is>
          <t>Expense</t>
        </is>
      </c>
      <c r="C61" s="6" t="inlineStr">
        <is>
          <t>Depreciation</t>
        </is>
      </c>
      <c r="D61" s="22" t="n">
        <v>47109</v>
      </c>
      <c r="E61" s="6" t="inlineStr"/>
      <c r="F61" s="44" t="inlineStr">
        <is>
          <t>—</t>
        </is>
      </c>
      <c r="G61" s="37" t="inlineStr">
        <is>
          <t>125 Bridge St (Broadview) — Form 8825</t>
        </is>
      </c>
      <c r="H61" s="45" t="n">
        <v>2024</v>
      </c>
      <c r="I61" s="44" t="inlineStr">
        <is>
          <t>Line item</t>
        </is>
      </c>
    </row>
    <row r="62">
      <c r="A62" s="6" t="inlineStr">
        <is>
          <t>125 Bridge St (Broadview) — Form 8825</t>
        </is>
      </c>
      <c r="B62" s="27" t="inlineStr">
        <is>
          <t>Expense</t>
        </is>
      </c>
      <c r="C62" s="6" t="inlineStr">
        <is>
          <t>Meals - 100%</t>
        </is>
      </c>
      <c r="D62" s="22" t="n">
        <v>1080</v>
      </c>
      <c r="E62" s="6" t="inlineStr"/>
      <c r="F62" s="44" t="inlineStr">
        <is>
          <t>—</t>
        </is>
      </c>
      <c r="G62" s="37" t="inlineStr">
        <is>
          <t>125 Bridge St (Broadview) — Form 8825</t>
        </is>
      </c>
      <c r="H62" s="45" t="n">
        <v>2024</v>
      </c>
      <c r="I62" s="44" t="inlineStr">
        <is>
          <t>Line item</t>
        </is>
      </c>
    </row>
    <row r="63">
      <c r="A63" s="6" t="inlineStr">
        <is>
          <t>125 Bridge St (Broadview) — Form 8825</t>
        </is>
      </c>
      <c r="B63" s="27" t="inlineStr">
        <is>
          <t>Expense</t>
        </is>
      </c>
      <c r="C63" s="6" t="inlineStr">
        <is>
          <t>Amortization</t>
        </is>
      </c>
      <c r="D63" s="22" t="n">
        <v>2166</v>
      </c>
      <c r="E63" s="6" t="inlineStr"/>
      <c r="F63" s="44" t="inlineStr">
        <is>
          <t>—</t>
        </is>
      </c>
      <c r="G63" s="37" t="inlineStr">
        <is>
          <t>125 Bridge St (Broadview) — Form 8825</t>
        </is>
      </c>
      <c r="H63" s="45" t="n">
        <v>2024</v>
      </c>
      <c r="I63" s="44" t="inlineStr">
        <is>
          <t>Line item</t>
        </is>
      </c>
    </row>
    <row r="64">
      <c r="A64" s="6" t="inlineStr">
        <is>
          <t>125 Bridge St (Broadview) — Form 8825</t>
        </is>
      </c>
      <c r="B64" s="27" t="inlineStr">
        <is>
          <t>Expense</t>
        </is>
      </c>
      <c r="C64" s="6" t="inlineStr">
        <is>
          <t>Other (Statement #8A)</t>
        </is>
      </c>
      <c r="D64" s="22" t="n">
        <v>39767</v>
      </c>
      <c r="E64" s="6" t="inlineStr"/>
      <c r="F64" s="44" t="inlineStr">
        <is>
          <t>—</t>
        </is>
      </c>
      <c r="G64" s="37" t="inlineStr">
        <is>
          <t>125 Bridge St (Broadview) — Form 8825</t>
        </is>
      </c>
      <c r="H64" s="45" t="n">
        <v>2024</v>
      </c>
      <c r="I64" s="44" t="inlineStr">
        <is>
          <t>Line item</t>
        </is>
      </c>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c r="F65" s="46" t="inlineStr">
        <is>
          <t>—</t>
        </is>
      </c>
      <c r="G65" s="36" t="inlineStr">
        <is>
          <t>125 Bridge St (Broadview) — Form 8825</t>
        </is>
      </c>
      <c r="H65" s="47" t="n">
        <v>2024</v>
      </c>
      <c r="I65" s="46" t="inlineStr">
        <is>
          <t>Total</t>
        </is>
      </c>
    </row>
    <row r="66">
      <c r="A66" s="6" t="inlineStr">
        <is>
          <t>1540 Altura Blvd — FY2024</t>
        </is>
      </c>
      <c r="B66" s="25" t="inlineStr">
        <is>
          <t>Income</t>
        </is>
      </c>
      <c r="C66" s="6" t="inlineStr">
        <is>
          <t>Net Rental Income</t>
        </is>
      </c>
      <c r="D66" s="22" t="n">
        <v>383165.98</v>
      </c>
      <c r="E66" s="6" t="n"/>
      <c r="F66" s="44" t="inlineStr">
        <is>
          <t>—</t>
        </is>
      </c>
      <c r="G66" s="37" t="inlineStr">
        <is>
          <t>1540 Altura Blvd</t>
        </is>
      </c>
      <c r="H66" s="45" t="n">
        <v>2024</v>
      </c>
      <c r="I66" s="44" t="inlineStr">
        <is>
          <t>Line item</t>
        </is>
      </c>
    </row>
    <row r="67">
      <c r="A67" s="6" t="inlineStr">
        <is>
          <t>1540 Altura Blvd — FY2024</t>
        </is>
      </c>
      <c r="B67" s="25" t="inlineStr">
        <is>
          <t>Income</t>
        </is>
      </c>
      <c r="C67" s="6" t="inlineStr">
        <is>
          <t>4281 - Admin Fee</t>
        </is>
      </c>
      <c r="D67" s="22" t="n">
        <v>6322</v>
      </c>
      <c r="E67" s="6" t="n"/>
      <c r="F67" s="44" t="inlineStr">
        <is>
          <t>—</t>
        </is>
      </c>
      <c r="G67" s="37" t="inlineStr">
        <is>
          <t>1540 Altura Blvd</t>
        </is>
      </c>
      <c r="H67" s="45" t="n">
        <v>2024</v>
      </c>
      <c r="I67" s="44" t="inlineStr">
        <is>
          <t>Line item</t>
        </is>
      </c>
    </row>
    <row r="68">
      <c r="A68" s="6" t="inlineStr">
        <is>
          <t>1540 Altura Blvd — FY2024</t>
        </is>
      </c>
      <c r="B68" s="25" t="inlineStr">
        <is>
          <t>Income</t>
        </is>
      </c>
      <c r="C68" s="6" t="inlineStr">
        <is>
          <t>4282 - Late Fee Revenue</t>
        </is>
      </c>
      <c r="D68" s="22" t="n">
        <v>29772.29</v>
      </c>
      <c r="E68" s="6" t="n"/>
      <c r="F68" s="44" t="inlineStr">
        <is>
          <t>—</t>
        </is>
      </c>
      <c r="G68" s="37" t="inlineStr">
        <is>
          <t>1540 Altura Blvd</t>
        </is>
      </c>
      <c r="H68" s="45" t="n">
        <v>2024</v>
      </c>
      <c r="I68" s="44" t="inlineStr">
        <is>
          <t>Line item</t>
        </is>
      </c>
    </row>
    <row r="69">
      <c r="A69" s="6" t="inlineStr">
        <is>
          <t>1540 Altura Blvd — FY2024</t>
        </is>
      </c>
      <c r="B69" s="25" t="inlineStr">
        <is>
          <t>Income</t>
        </is>
      </c>
      <c r="C69" s="6" t="inlineStr">
        <is>
          <t>4283 - Other Fee Revenue</t>
        </is>
      </c>
      <c r="D69" s="22" t="n">
        <v>294.71</v>
      </c>
      <c r="E69" s="6" t="n"/>
      <c r="F69" s="44" t="inlineStr">
        <is>
          <t>—</t>
        </is>
      </c>
      <c r="G69" s="37" t="inlineStr">
        <is>
          <t>1540 Altura Blvd</t>
        </is>
      </c>
      <c r="H69" s="45" t="n">
        <v>2024</v>
      </c>
      <c r="I69" s="44" t="inlineStr">
        <is>
          <t>Line item</t>
        </is>
      </c>
    </row>
    <row r="70">
      <c r="A70" s="6" t="inlineStr">
        <is>
          <t>1540 Altura Blvd — FY2024</t>
        </is>
      </c>
      <c r="B70" s="25" t="inlineStr">
        <is>
          <t>Income</t>
        </is>
      </c>
      <c r="C70" s="6" t="inlineStr">
        <is>
          <t>4284 - NSF Fees</t>
        </is>
      </c>
      <c r="D70" s="22" t="n">
        <v>90</v>
      </c>
      <c r="E70" s="6" t="n"/>
      <c r="F70" s="44" t="inlineStr">
        <is>
          <t>—</t>
        </is>
      </c>
      <c r="G70" s="37" t="inlineStr">
        <is>
          <t>1540 Altura Blvd</t>
        </is>
      </c>
      <c r="H70" s="45" t="n">
        <v>2024</v>
      </c>
      <c r="I70" s="44" t="inlineStr">
        <is>
          <t>Line item</t>
        </is>
      </c>
    </row>
    <row r="71">
      <c r="A71" s="6" t="inlineStr">
        <is>
          <t>1540 Altura Blvd — FY2024</t>
        </is>
      </c>
      <c r="B71" s="25" t="inlineStr">
        <is>
          <t>Income</t>
        </is>
      </c>
      <c r="C71" s="6" t="inlineStr">
        <is>
          <t>4286 - Convenience Fee Payments</t>
        </is>
      </c>
      <c r="D71" s="22" t="n">
        <v>2910.49</v>
      </c>
      <c r="E71" s="6" t="n"/>
      <c r="F71" s="44" t="inlineStr">
        <is>
          <t>—</t>
        </is>
      </c>
      <c r="G71" s="37" t="inlineStr">
        <is>
          <t>1540 Altura Blvd</t>
        </is>
      </c>
      <c r="H71" s="45" t="n">
        <v>2024</v>
      </c>
      <c r="I71" s="44" t="inlineStr">
        <is>
          <t>Line item</t>
        </is>
      </c>
    </row>
    <row r="72">
      <c r="A72" s="6" t="inlineStr">
        <is>
          <t>1540 Altura Blvd — FY2024</t>
        </is>
      </c>
      <c r="B72" s="25" t="inlineStr">
        <is>
          <t>Income</t>
        </is>
      </c>
      <c r="C72" s="6" t="inlineStr">
        <is>
          <t>4285 - Fees Waived</t>
        </is>
      </c>
      <c r="D72" s="22" t="n">
        <v>-23.55</v>
      </c>
      <c r="E72" s="6" t="n"/>
      <c r="F72" s="44" t="inlineStr">
        <is>
          <t>—</t>
        </is>
      </c>
      <c r="G72" s="37" t="inlineStr">
        <is>
          <t>1540 Altura Blvd</t>
        </is>
      </c>
      <c r="H72" s="45" t="n">
        <v>2024</v>
      </c>
      <c r="I72" s="44" t="inlineStr">
        <is>
          <t>Line item</t>
        </is>
      </c>
    </row>
    <row r="73">
      <c r="A73" s="6" t="inlineStr">
        <is>
          <t>1540 Altura Blvd — FY2024</t>
        </is>
      </c>
      <c r="B73" s="25" t="inlineStr">
        <is>
          <t>Income</t>
        </is>
      </c>
      <c r="C73" s="6" t="inlineStr">
        <is>
          <t>4287 - Fees Waived - Admin</t>
        </is>
      </c>
      <c r="D73" s="22" t="n">
        <v>-58</v>
      </c>
      <c r="E73" s="6" t="n"/>
      <c r="F73" s="44" t="inlineStr">
        <is>
          <t>—</t>
        </is>
      </c>
      <c r="G73" s="37" t="inlineStr">
        <is>
          <t>1540 Altura Blvd</t>
        </is>
      </c>
      <c r="H73" s="45" t="n">
        <v>2024</v>
      </c>
      <c r="I73" s="44" t="inlineStr">
        <is>
          <t>Line item</t>
        </is>
      </c>
    </row>
    <row r="74">
      <c r="A74" s="6" t="inlineStr">
        <is>
          <t>1540 Altura Blvd — FY2024</t>
        </is>
      </c>
      <c r="B74" s="25" t="inlineStr">
        <is>
          <t>Income</t>
        </is>
      </c>
      <c r="C74" s="6" t="inlineStr">
        <is>
          <t>4288 - Fees Waived - Late Fee</t>
        </is>
      </c>
      <c r="D74" s="22" t="n">
        <v>-1359.52</v>
      </c>
      <c r="E74" s="6" t="n"/>
      <c r="F74" s="44" t="inlineStr">
        <is>
          <t>—</t>
        </is>
      </c>
      <c r="G74" s="37" t="inlineStr">
        <is>
          <t>1540 Altura Blvd</t>
        </is>
      </c>
      <c r="H74" s="45" t="n">
        <v>2024</v>
      </c>
      <c r="I74" s="44" t="inlineStr">
        <is>
          <t>Line item</t>
        </is>
      </c>
    </row>
    <row r="75">
      <c r="A75" s="6" t="inlineStr">
        <is>
          <t>1540 Altura Blvd — FY2024</t>
        </is>
      </c>
      <c r="B75" s="25" t="inlineStr">
        <is>
          <t>Income</t>
        </is>
      </c>
      <c r="C75" s="6" t="inlineStr">
        <is>
          <t>4255 - Credit Card Chargebacks</t>
        </is>
      </c>
      <c r="D75" s="22" t="n">
        <v>-265</v>
      </c>
      <c r="E75" s="6" t="n"/>
      <c r="F75" s="44" t="inlineStr">
        <is>
          <t>—</t>
        </is>
      </c>
      <c r="G75" s="37" t="inlineStr">
        <is>
          <t>1540 Altura Blvd</t>
        </is>
      </c>
      <c r="H75" s="45" t="n">
        <v>2024</v>
      </c>
      <c r="I75" s="44" t="inlineStr">
        <is>
          <t>Line item</t>
        </is>
      </c>
    </row>
    <row r="76">
      <c r="A76" s="6" t="inlineStr">
        <is>
          <t>1540 Altura Blvd — FY2024</t>
        </is>
      </c>
      <c r="B76" s="25" t="inlineStr">
        <is>
          <t>Income</t>
        </is>
      </c>
      <c r="C76" s="6" t="inlineStr">
        <is>
          <t>7102 - Fees Written Off</t>
        </is>
      </c>
      <c r="D76" s="22" t="n">
        <v>-6215.58</v>
      </c>
      <c r="E76" s="6" t="n"/>
      <c r="F76" s="44" t="inlineStr">
        <is>
          <t>—</t>
        </is>
      </c>
      <c r="G76" s="37" t="inlineStr">
        <is>
          <t>1540 Altura Blvd</t>
        </is>
      </c>
      <c r="H76" s="45" t="n">
        <v>2024</v>
      </c>
      <c r="I76" s="44" t="inlineStr">
        <is>
          <t>Line item</t>
        </is>
      </c>
    </row>
    <row r="77">
      <c r="A77" s="6" t="inlineStr">
        <is>
          <t>1540 Altura Blvd — FY2024</t>
        </is>
      </c>
      <c r="B77" s="25" t="inlineStr">
        <is>
          <t>Income</t>
        </is>
      </c>
      <c r="C77" s="6" t="inlineStr">
        <is>
          <t>4999 - Miscellaneous</t>
        </is>
      </c>
      <c r="D77" s="22" t="n">
        <v>0.01</v>
      </c>
      <c r="E77" s="6" t="n"/>
      <c r="F77" s="44" t="inlineStr">
        <is>
          <t>—</t>
        </is>
      </c>
      <c r="G77" s="37" t="inlineStr">
        <is>
          <t>1540 Altura Blvd</t>
        </is>
      </c>
      <c r="H77" s="45" t="n">
        <v>2024</v>
      </c>
      <c r="I77" s="44" t="inlineStr">
        <is>
          <t>Line item</t>
        </is>
      </c>
    </row>
    <row r="78">
      <c r="A78" s="11" t="inlineStr">
        <is>
          <t>1540 Altura Blvd — FY2024</t>
        </is>
      </c>
      <c r="B78" s="26" t="inlineStr">
        <is>
          <t>Income</t>
        </is>
      </c>
      <c r="C78" s="12" t="inlineStr">
        <is>
          <t>TOTAL INCOME</t>
        </is>
      </c>
      <c r="D78" s="23">
        <f>SUM(D66:D77)</f>
        <v/>
      </c>
      <c r="E78" s="18" t="inlineStr">
        <is>
          <t>Printed total: $414,633.83.</t>
        </is>
      </c>
      <c r="F78" s="46" t="inlineStr">
        <is>
          <t>—</t>
        </is>
      </c>
      <c r="G78" s="36" t="inlineStr">
        <is>
          <t>1540 Altura Blvd</t>
        </is>
      </c>
      <c r="H78" s="47" t="n">
        <v>2024</v>
      </c>
      <c r="I78" s="46" t="inlineStr">
        <is>
          <t>Total</t>
        </is>
      </c>
    </row>
    <row r="79">
      <c r="A79" s="6" t="inlineStr">
        <is>
          <t>1540 Altura Blvd — FY2024</t>
        </is>
      </c>
      <c r="B79" s="25" t="inlineStr">
        <is>
          <t>Expense</t>
        </is>
      </c>
      <c r="C79" s="6" t="inlineStr">
        <is>
          <t>6100 - Payroll</t>
        </is>
      </c>
      <c r="D79" s="22" t="n">
        <v>50113.05</v>
      </c>
      <c r="E79" s="6" t="n"/>
      <c r="F79" s="44" t="inlineStr">
        <is>
          <t>—</t>
        </is>
      </c>
      <c r="G79" s="37" t="inlineStr">
        <is>
          <t>1540 Altura Blvd</t>
        </is>
      </c>
      <c r="H79" s="45" t="n">
        <v>2024</v>
      </c>
      <c r="I79" s="44" t="inlineStr">
        <is>
          <t>Line item</t>
        </is>
      </c>
    </row>
    <row r="80">
      <c r="A80" s="6" t="inlineStr">
        <is>
          <t>1540 Altura Blvd — FY2024</t>
        </is>
      </c>
      <c r="B80" s="25" t="inlineStr">
        <is>
          <t>Expense</t>
        </is>
      </c>
      <c r="C80" s="6" t="inlineStr">
        <is>
          <t>6112 - Medical Expense</t>
        </is>
      </c>
      <c r="D80" s="22" t="n">
        <v>10224</v>
      </c>
      <c r="E80" s="6" t="n"/>
      <c r="F80" s="44" t="inlineStr">
        <is>
          <t>—</t>
        </is>
      </c>
      <c r="G80" s="37" t="inlineStr">
        <is>
          <t>1540 Altura Blvd</t>
        </is>
      </c>
      <c r="H80" s="45" t="n">
        <v>2024</v>
      </c>
      <c r="I80" s="44" t="inlineStr">
        <is>
          <t>Line item</t>
        </is>
      </c>
    </row>
    <row r="81">
      <c r="A81" s="6" t="inlineStr">
        <is>
          <t>1540 Altura Blvd — FY2024</t>
        </is>
      </c>
      <c r="B81" s="25" t="inlineStr">
        <is>
          <t>Expense</t>
        </is>
      </c>
      <c r="C81" s="6" t="inlineStr">
        <is>
          <t>6118 - 401K Expense</t>
        </is>
      </c>
      <c r="D81" s="22" t="n">
        <v>524.02</v>
      </c>
      <c r="E81" s="6" t="n"/>
      <c r="F81" s="44" t="inlineStr">
        <is>
          <t>—</t>
        </is>
      </c>
      <c r="G81" s="37" t="inlineStr">
        <is>
          <t>1540 Altura Blvd</t>
        </is>
      </c>
      <c r="H81" s="45" t="n">
        <v>2024</v>
      </c>
      <c r="I81" s="44" t="inlineStr">
        <is>
          <t>Line item</t>
        </is>
      </c>
    </row>
    <row r="82">
      <c r="A82" s="6" t="inlineStr">
        <is>
          <t>1540 Altura Blvd — FY2024</t>
        </is>
      </c>
      <c r="B82" s="25" t="inlineStr">
        <is>
          <t>Expense</t>
        </is>
      </c>
      <c r="C82" s="6" t="inlineStr">
        <is>
          <t>6128 - Teammate Rewards</t>
        </is>
      </c>
      <c r="D82" s="22" t="n">
        <v>120</v>
      </c>
      <c r="E82" s="6" t="n"/>
      <c r="F82" s="44" t="inlineStr">
        <is>
          <t>—</t>
        </is>
      </c>
      <c r="G82" s="37" t="inlineStr">
        <is>
          <t>1540 Altura Blvd</t>
        </is>
      </c>
      <c r="H82" s="45" t="n">
        <v>2024</v>
      </c>
      <c r="I82" s="44" t="inlineStr">
        <is>
          <t>Line item</t>
        </is>
      </c>
    </row>
    <row r="83">
      <c r="A83" s="6" t="inlineStr">
        <is>
          <t>1540 Altura Blvd — FY2024</t>
        </is>
      </c>
      <c r="B83" s="25" t="inlineStr">
        <is>
          <t>Expense</t>
        </is>
      </c>
      <c r="C83" s="6" t="inlineStr">
        <is>
          <t>6130 - Payroll Tax</t>
        </is>
      </c>
      <c r="D83" s="22" t="n">
        <v>3255.82</v>
      </c>
      <c r="E83" s="6" t="n"/>
      <c r="F83" s="44" t="inlineStr">
        <is>
          <t>—</t>
        </is>
      </c>
      <c r="G83" s="37" t="inlineStr">
        <is>
          <t>1540 Altura Blvd</t>
        </is>
      </c>
      <c r="H83" s="45" t="n">
        <v>2024</v>
      </c>
      <c r="I83" s="44" t="inlineStr">
        <is>
          <t>Line item</t>
        </is>
      </c>
    </row>
    <row r="84">
      <c r="A84" s="6" t="inlineStr">
        <is>
          <t>1540 Altura Blvd — FY2024</t>
        </is>
      </c>
      <c r="B84" s="25" t="inlineStr">
        <is>
          <t>Expense</t>
        </is>
      </c>
      <c r="C84" s="6" t="inlineStr">
        <is>
          <t>6135 - Bonus</t>
        </is>
      </c>
      <c r="D84" s="22" t="n">
        <v>4044.11</v>
      </c>
      <c r="E84" s="6" t="n"/>
      <c r="F84" s="44" t="inlineStr">
        <is>
          <t>—</t>
        </is>
      </c>
      <c r="G84" s="37" t="inlineStr">
        <is>
          <t>1540 Altura Blvd</t>
        </is>
      </c>
      <c r="H84" s="45" t="n">
        <v>2024</v>
      </c>
      <c r="I84" s="44" t="inlineStr">
        <is>
          <t>Line item</t>
        </is>
      </c>
    </row>
    <row r="85">
      <c r="A85" s="6" t="inlineStr">
        <is>
          <t>1540 Altura Blvd — FY2024</t>
        </is>
      </c>
      <c r="B85" s="25" t="inlineStr">
        <is>
          <t>Expense</t>
        </is>
      </c>
      <c r="C85" s="6" t="inlineStr">
        <is>
          <t>6283 - Workers Comp Premium</t>
        </is>
      </c>
      <c r="D85" s="22" t="n">
        <v>1196.36</v>
      </c>
      <c r="E85" s="6" t="inlineStr">
        <is>
          <t>Payroll subtotal $69,477.36</t>
        </is>
      </c>
      <c r="F85" s="44" t="inlineStr">
        <is>
          <t>—</t>
        </is>
      </c>
      <c r="G85" s="37" t="inlineStr">
        <is>
          <t>1540 Altura Blvd</t>
        </is>
      </c>
      <c r="H85" s="45" t="n">
        <v>2024</v>
      </c>
      <c r="I85" s="44" t="inlineStr">
        <is>
          <t>Line item</t>
        </is>
      </c>
    </row>
    <row r="86">
      <c r="A86" s="6" t="inlineStr">
        <is>
          <t>1540 Altura Blvd — FY2024</t>
        </is>
      </c>
      <c r="B86" s="25" t="inlineStr">
        <is>
          <t>Expense</t>
        </is>
      </c>
      <c r="C86" s="6" t="inlineStr">
        <is>
          <t>6150 - Rubbish Removal</t>
        </is>
      </c>
      <c r="D86" s="22" t="n">
        <v>1652.28</v>
      </c>
      <c r="E86" s="6" t="n"/>
      <c r="F86" s="44" t="inlineStr">
        <is>
          <t>—</t>
        </is>
      </c>
      <c r="G86" s="37" t="inlineStr">
        <is>
          <t>1540 Altura Blvd</t>
        </is>
      </c>
      <c r="H86" s="45" t="n">
        <v>2024</v>
      </c>
      <c r="I86" s="44" t="inlineStr">
        <is>
          <t>Line item</t>
        </is>
      </c>
    </row>
    <row r="87">
      <c r="A87" s="6" t="inlineStr">
        <is>
          <t>1540 Altura Blvd — FY2024</t>
        </is>
      </c>
      <c r="B87" s="25" t="inlineStr">
        <is>
          <t>Expense</t>
        </is>
      </c>
      <c r="C87" s="6" t="inlineStr">
        <is>
          <t>6158 - Exterminating</t>
        </is>
      </c>
      <c r="D87" s="22" t="n">
        <v>813.21</v>
      </c>
      <c r="E87" s="6" t="n"/>
      <c r="F87" s="44" t="inlineStr">
        <is>
          <t>—</t>
        </is>
      </c>
      <c r="G87" s="37" t="inlineStr">
        <is>
          <t>1540 Altura Blvd</t>
        </is>
      </c>
      <c r="H87" s="45" t="n">
        <v>2024</v>
      </c>
      <c r="I87" s="44" t="inlineStr">
        <is>
          <t>Line item</t>
        </is>
      </c>
    </row>
    <row r="88">
      <c r="A88" s="6" t="inlineStr">
        <is>
          <t>1540 Altura Blvd — FY2024</t>
        </is>
      </c>
      <c r="B88" s="25" t="inlineStr">
        <is>
          <t>Expense</t>
        </is>
      </c>
      <c r="C88" s="6" t="inlineStr">
        <is>
          <t>6184 - Electric</t>
        </is>
      </c>
      <c r="D88" s="22" t="n">
        <v>6712.38</v>
      </c>
      <c r="E88" s="6" t="n"/>
      <c r="F88" s="44" t="inlineStr">
        <is>
          <t>—</t>
        </is>
      </c>
      <c r="G88" s="37" t="inlineStr">
        <is>
          <t>1540 Altura Blvd</t>
        </is>
      </c>
      <c r="H88" s="45" t="n">
        <v>2024</v>
      </c>
      <c r="I88" s="44" t="inlineStr">
        <is>
          <t>Line item</t>
        </is>
      </c>
    </row>
    <row r="89">
      <c r="A89" s="6" t="inlineStr">
        <is>
          <t>1540 Altura Blvd — FY2024</t>
        </is>
      </c>
      <c r="B89" s="25" t="inlineStr">
        <is>
          <t>Expense</t>
        </is>
      </c>
      <c r="C89" s="6" t="inlineStr">
        <is>
          <t>6185 - Telephone</t>
        </is>
      </c>
      <c r="D89" s="22" t="n">
        <v>2590.36</v>
      </c>
      <c r="E89" s="6" t="n"/>
      <c r="F89" s="44" t="inlineStr">
        <is>
          <t>—</t>
        </is>
      </c>
      <c r="G89" s="37" t="inlineStr">
        <is>
          <t>1540 Altura Blvd</t>
        </is>
      </c>
      <c r="H89" s="45" t="n">
        <v>2024</v>
      </c>
      <c r="I89" s="44" t="inlineStr">
        <is>
          <t>Line item</t>
        </is>
      </c>
    </row>
    <row r="90">
      <c r="A90" s="6" t="inlineStr">
        <is>
          <t>1540 Altura Blvd — FY2024</t>
        </is>
      </c>
      <c r="B90" s="25" t="inlineStr">
        <is>
          <t>Expense</t>
        </is>
      </c>
      <c r="C90" s="6" t="inlineStr">
        <is>
          <t>6186 - Water/Sewer</t>
        </is>
      </c>
      <c r="D90" s="22" t="n">
        <v>4080.59</v>
      </c>
      <c r="E90" s="6" t="inlineStr">
        <is>
          <t>Utilities subtotal $15,848.82</t>
        </is>
      </c>
      <c r="F90" s="44" t="inlineStr">
        <is>
          <t>—</t>
        </is>
      </c>
      <c r="G90" s="37" t="inlineStr">
        <is>
          <t>1540 Altura Blvd</t>
        </is>
      </c>
      <c r="H90" s="45" t="n">
        <v>2024</v>
      </c>
      <c r="I90" s="44" t="inlineStr">
        <is>
          <t>Line item</t>
        </is>
      </c>
    </row>
    <row r="91">
      <c r="A91" s="6" t="inlineStr">
        <is>
          <t>1540 Altura Blvd — FY2024</t>
        </is>
      </c>
      <c r="B91" s="25" t="inlineStr">
        <is>
          <t>Expense</t>
        </is>
      </c>
      <c r="C91" s="6" t="inlineStr">
        <is>
          <t>6189 - R &amp; M Roof</t>
        </is>
      </c>
      <c r="D91" s="22" t="n">
        <v>2103.2</v>
      </c>
      <c r="E91" s="6" t="n"/>
      <c r="F91" s="44" t="inlineStr">
        <is>
          <t>—</t>
        </is>
      </c>
      <c r="G91" s="37" t="inlineStr">
        <is>
          <t>1540 Altura Blvd</t>
        </is>
      </c>
      <c r="H91" s="45" t="n">
        <v>2024</v>
      </c>
      <c r="I91" s="44" t="inlineStr">
        <is>
          <t>Line item</t>
        </is>
      </c>
    </row>
    <row r="92">
      <c r="A92" s="6" t="inlineStr">
        <is>
          <t>1540 Altura Blvd — FY2024</t>
        </is>
      </c>
      <c r="B92" s="25" t="inlineStr">
        <is>
          <t>Expense</t>
        </is>
      </c>
      <c r="C92" s="6" t="inlineStr">
        <is>
          <t>6192 - Repairs &amp; Maintenance</t>
        </is>
      </c>
      <c r="D92" s="22" t="n">
        <v>1302.17</v>
      </c>
      <c r="E92" s="6" t="n"/>
      <c r="F92" s="44" t="inlineStr">
        <is>
          <t>—</t>
        </is>
      </c>
      <c r="G92" s="37" t="inlineStr">
        <is>
          <t>1540 Altura Blvd</t>
        </is>
      </c>
      <c r="H92" s="45" t="n">
        <v>2024</v>
      </c>
      <c r="I92" s="44" t="inlineStr">
        <is>
          <t>Line item</t>
        </is>
      </c>
    </row>
    <row r="93">
      <c r="A93" s="6" t="inlineStr">
        <is>
          <t>1540 Altura Blvd — FY2024</t>
        </is>
      </c>
      <c r="B93" s="25" t="inlineStr">
        <is>
          <t>Expense</t>
        </is>
      </c>
      <c r="C93" s="6" t="inlineStr">
        <is>
          <t>6194 - R &amp; M Doors</t>
        </is>
      </c>
      <c r="D93" s="22" t="n">
        <v>3589.04</v>
      </c>
      <c r="E93" s="6" t="n"/>
      <c r="F93" s="44" t="inlineStr">
        <is>
          <t>—</t>
        </is>
      </c>
      <c r="G93" s="37" t="inlineStr">
        <is>
          <t>1540 Altura Blvd</t>
        </is>
      </c>
      <c r="H93" s="45" t="n">
        <v>2024</v>
      </c>
      <c r="I93" s="44" t="inlineStr">
        <is>
          <t>Line item</t>
        </is>
      </c>
    </row>
    <row r="94">
      <c r="A94" s="6" t="inlineStr">
        <is>
          <t>1540 Altura Blvd — FY2024</t>
        </is>
      </c>
      <c r="B94" s="25" t="inlineStr">
        <is>
          <t>Expense</t>
        </is>
      </c>
      <c r="C94" s="6" t="inlineStr">
        <is>
          <t>6195 - R &amp; M Gates</t>
        </is>
      </c>
      <c r="D94" s="22" t="n">
        <v>4333.14</v>
      </c>
      <c r="E94" s="6" t="n"/>
      <c r="F94" s="44" t="inlineStr">
        <is>
          <t>—</t>
        </is>
      </c>
      <c r="G94" s="37" t="inlineStr">
        <is>
          <t>1540 Altura Blvd</t>
        </is>
      </c>
      <c r="H94" s="45" t="n">
        <v>2024</v>
      </c>
      <c r="I94" s="44" t="inlineStr">
        <is>
          <t>Line item</t>
        </is>
      </c>
    </row>
    <row r="95">
      <c r="A95" s="6" t="inlineStr">
        <is>
          <t>1540 Altura Blvd — FY2024</t>
        </is>
      </c>
      <c r="B95" s="25" t="inlineStr">
        <is>
          <t>Expense</t>
        </is>
      </c>
      <c r="C95" s="6" t="inlineStr">
        <is>
          <t>6196 - R &amp; M Golf Carts</t>
        </is>
      </c>
      <c r="D95" s="22" t="n">
        <v>902.36</v>
      </c>
      <c r="E95" s="6" t="n"/>
      <c r="F95" s="44" t="inlineStr">
        <is>
          <t>—</t>
        </is>
      </c>
      <c r="G95" s="37" t="inlineStr">
        <is>
          <t>1540 Altura Blvd</t>
        </is>
      </c>
      <c r="H95" s="45" t="n">
        <v>2024</v>
      </c>
      <c r="I95" s="44" t="inlineStr">
        <is>
          <t>Line item</t>
        </is>
      </c>
    </row>
    <row r="96">
      <c r="A96" s="6" t="inlineStr">
        <is>
          <t>1540 Altura Blvd — FY2024</t>
        </is>
      </c>
      <c r="B96" s="25" t="inlineStr">
        <is>
          <t>Expense</t>
        </is>
      </c>
      <c r="C96" s="6" t="inlineStr">
        <is>
          <t>6197 - R &amp; M Parking Lot</t>
        </is>
      </c>
      <c r="D96" s="22" t="n">
        <v>1783.14</v>
      </c>
      <c r="E96" s="6" t="n"/>
      <c r="F96" s="44" t="inlineStr">
        <is>
          <t>—</t>
        </is>
      </c>
      <c r="G96" s="37" t="inlineStr">
        <is>
          <t>1540 Altura Blvd</t>
        </is>
      </c>
      <c r="H96" s="45" t="n">
        <v>2024</v>
      </c>
      <c r="I96" s="44" t="inlineStr">
        <is>
          <t>Line item</t>
        </is>
      </c>
    </row>
    <row r="97">
      <c r="A97" s="6" t="inlineStr">
        <is>
          <t>1540 Altura Blvd — FY2024</t>
        </is>
      </c>
      <c r="B97" s="25" t="inlineStr">
        <is>
          <t>Expense</t>
        </is>
      </c>
      <c r="C97" s="6" t="inlineStr">
        <is>
          <t>6198 - R &amp; M Cameras</t>
        </is>
      </c>
      <c r="D97" s="22" t="n">
        <v>597.67</v>
      </c>
      <c r="E97" s="6" t="n"/>
      <c r="F97" s="44" t="inlineStr">
        <is>
          <t>—</t>
        </is>
      </c>
      <c r="G97" s="37" t="inlineStr">
        <is>
          <t>1540 Altura Blvd</t>
        </is>
      </c>
      <c r="H97" s="45" t="n">
        <v>2024</v>
      </c>
      <c r="I97" s="44" t="inlineStr">
        <is>
          <t>Line item</t>
        </is>
      </c>
    </row>
    <row r="98">
      <c r="A98" s="6" t="inlineStr">
        <is>
          <t>1540 Altura Blvd — FY2024</t>
        </is>
      </c>
      <c r="B98" s="25" t="inlineStr">
        <is>
          <t>Expense</t>
        </is>
      </c>
      <c r="C98" s="6" t="inlineStr">
        <is>
          <t>6199 - R &amp; M Hvac</t>
        </is>
      </c>
      <c r="D98" s="22" t="n">
        <v>975</v>
      </c>
      <c r="E98" s="6" t="n"/>
      <c r="F98" s="44" t="inlineStr">
        <is>
          <t>—</t>
        </is>
      </c>
      <c r="G98" s="37" t="inlineStr">
        <is>
          <t>1540 Altura Blvd</t>
        </is>
      </c>
      <c r="H98" s="45" t="n">
        <v>2024</v>
      </c>
      <c r="I98" s="44" t="inlineStr">
        <is>
          <t>Line item</t>
        </is>
      </c>
    </row>
    <row r="99">
      <c r="A99" s="6" t="inlineStr">
        <is>
          <t>1540 Altura Blvd — FY2024</t>
        </is>
      </c>
      <c r="B99" s="25" t="inlineStr">
        <is>
          <t>Expense</t>
        </is>
      </c>
      <c r="C99" s="6" t="inlineStr">
        <is>
          <t>6201 - R &amp; M Fire Protection</t>
        </is>
      </c>
      <c r="D99" s="22" t="n">
        <v>1446.78</v>
      </c>
      <c r="E99" s="6" t="n"/>
      <c r="F99" s="44" t="inlineStr">
        <is>
          <t>—</t>
        </is>
      </c>
      <c r="G99" s="37" t="inlineStr">
        <is>
          <t>1540 Altura Blvd</t>
        </is>
      </c>
      <c r="H99" s="45" t="n">
        <v>2024</v>
      </c>
      <c r="I99" s="44" t="inlineStr">
        <is>
          <t>Line item</t>
        </is>
      </c>
    </row>
    <row r="100">
      <c r="A100" s="6" t="inlineStr">
        <is>
          <t>1540 Altura Blvd — FY2024</t>
        </is>
      </c>
      <c r="B100" s="25" t="inlineStr">
        <is>
          <t>Expense</t>
        </is>
      </c>
      <c r="C100" s="6" t="inlineStr">
        <is>
          <t>6203 - R &amp; M Lighting/Electrical</t>
        </is>
      </c>
      <c r="D100" s="22" t="n">
        <v>4909.65</v>
      </c>
      <c r="E100" s="6" t="n"/>
      <c r="F100" s="44" t="inlineStr">
        <is>
          <t>—</t>
        </is>
      </c>
      <c r="G100" s="37" t="inlineStr">
        <is>
          <t>1540 Altura Blvd</t>
        </is>
      </c>
      <c r="H100" s="45" t="n">
        <v>2024</v>
      </c>
      <c r="I100" s="44" t="inlineStr">
        <is>
          <t>Line item</t>
        </is>
      </c>
    </row>
    <row r="101">
      <c r="A101" s="6" t="inlineStr">
        <is>
          <t>1540 Altura Blvd — FY2024</t>
        </is>
      </c>
      <c r="B101" s="25" t="inlineStr">
        <is>
          <t>Expense</t>
        </is>
      </c>
      <c r="C101" s="6" t="inlineStr">
        <is>
          <t>6206 - R &amp; M Exterior Building Repair</t>
        </is>
      </c>
      <c r="D101" s="22" t="n">
        <v>2263.41</v>
      </c>
      <c r="E101" s="6" t="n"/>
      <c r="F101" s="44" t="inlineStr">
        <is>
          <t>—</t>
        </is>
      </c>
      <c r="G101" s="37" t="inlineStr">
        <is>
          <t>1540 Altura Blvd</t>
        </is>
      </c>
      <c r="H101" s="45" t="n">
        <v>2024</v>
      </c>
      <c r="I101" s="44" t="inlineStr">
        <is>
          <t>Line item</t>
        </is>
      </c>
    </row>
    <row r="102">
      <c r="A102" s="6" t="inlineStr">
        <is>
          <t>1540 Altura Blvd — FY2024</t>
        </is>
      </c>
      <c r="B102" s="25" t="inlineStr">
        <is>
          <t>Expense</t>
        </is>
      </c>
      <c r="C102" s="6" t="inlineStr">
        <is>
          <t>6321 - R &amp; M Apartment</t>
        </is>
      </c>
      <c r="D102" s="22" t="n">
        <v>1291.58</v>
      </c>
      <c r="E102" s="6" t="inlineStr">
        <is>
          <t>R&amp;M subtotal $25,497.14</t>
        </is>
      </c>
      <c r="F102" s="44" t="inlineStr">
        <is>
          <t>—</t>
        </is>
      </c>
      <c r="G102" s="37" t="inlineStr">
        <is>
          <t>1540 Altura Blvd</t>
        </is>
      </c>
      <c r="H102" s="45" t="n">
        <v>2024</v>
      </c>
      <c r="I102" s="44" t="inlineStr">
        <is>
          <t>Line item</t>
        </is>
      </c>
    </row>
    <row r="103">
      <c r="A103" s="6" t="inlineStr">
        <is>
          <t>1540 Altura Blvd — FY2024</t>
        </is>
      </c>
      <c r="B103" s="25" t="inlineStr">
        <is>
          <t>Expense</t>
        </is>
      </c>
      <c r="C103" s="6" t="inlineStr">
        <is>
          <t>6151 - Unit Cleanouts</t>
        </is>
      </c>
      <c r="D103" s="22" t="n">
        <v>5672.87</v>
      </c>
      <c r="E103" s="6" t="n"/>
      <c r="F103" s="44" t="inlineStr">
        <is>
          <t>—</t>
        </is>
      </c>
      <c r="G103" s="37" t="inlineStr">
        <is>
          <t>1540 Altura Blvd</t>
        </is>
      </c>
      <c r="H103" s="45" t="n">
        <v>2024</v>
      </c>
      <c r="I103" s="44" t="inlineStr">
        <is>
          <t>Line item</t>
        </is>
      </c>
    </row>
    <row r="104">
      <c r="A104" s="6" t="inlineStr">
        <is>
          <t>1540 Altura Blvd — FY2024</t>
        </is>
      </c>
      <c r="B104" s="25" t="inlineStr">
        <is>
          <t>Expense</t>
        </is>
      </c>
      <c r="C104" s="6" t="inlineStr">
        <is>
          <t>6152 - Uniforms</t>
        </is>
      </c>
      <c r="D104" s="22" t="n">
        <v>324.8</v>
      </c>
      <c r="E104" s="6" t="n"/>
      <c r="F104" s="44" t="inlineStr">
        <is>
          <t>—</t>
        </is>
      </c>
      <c r="G104" s="37" t="inlineStr">
        <is>
          <t>1540 Altura Blvd</t>
        </is>
      </c>
      <c r="H104" s="45" t="n">
        <v>2024</v>
      </c>
      <c r="I104" s="44" t="inlineStr">
        <is>
          <t>Line item</t>
        </is>
      </c>
    </row>
    <row r="105">
      <c r="A105" s="6" t="inlineStr">
        <is>
          <t>1540 Altura Blvd — FY2024</t>
        </is>
      </c>
      <c r="B105" s="25" t="inlineStr">
        <is>
          <t>Expense</t>
        </is>
      </c>
      <c r="C105" s="6" t="inlineStr">
        <is>
          <t>6156 - Outside Services</t>
        </is>
      </c>
      <c r="D105" s="22" t="n">
        <v>435</v>
      </c>
      <c r="E105" s="6" t="n"/>
      <c r="F105" s="44" t="inlineStr">
        <is>
          <t>—</t>
        </is>
      </c>
      <c r="G105" s="37" t="inlineStr">
        <is>
          <t>1540 Altura Blvd</t>
        </is>
      </c>
      <c r="H105" s="45" t="n">
        <v>2024</v>
      </c>
      <c r="I105" s="44" t="inlineStr">
        <is>
          <t>Line item</t>
        </is>
      </c>
    </row>
    <row r="106">
      <c r="A106" s="6" t="inlineStr">
        <is>
          <t>1540 Altura Blvd — FY2024</t>
        </is>
      </c>
      <c r="B106" s="25" t="inlineStr">
        <is>
          <t>Expense</t>
        </is>
      </c>
      <c r="C106" s="6" t="inlineStr">
        <is>
          <t>6159 - Sales Center</t>
        </is>
      </c>
      <c r="D106" s="22" t="n">
        <v>4140</v>
      </c>
      <c r="E106" s="6" t="n"/>
      <c r="F106" s="44" t="inlineStr">
        <is>
          <t>—</t>
        </is>
      </c>
      <c r="G106" s="37" t="inlineStr">
        <is>
          <t>1540 Altura Blvd</t>
        </is>
      </c>
      <c r="H106" s="45" t="n">
        <v>2024</v>
      </c>
      <c r="I106" s="44" t="inlineStr">
        <is>
          <t>Line item</t>
        </is>
      </c>
    </row>
    <row r="107">
      <c r="A107" s="6" t="inlineStr">
        <is>
          <t>1540 Altura Blvd — FY2024</t>
        </is>
      </c>
      <c r="B107" s="25" t="inlineStr">
        <is>
          <t>Expense</t>
        </is>
      </c>
      <c r="C107" s="6" t="inlineStr">
        <is>
          <t>6163 - Help Desk</t>
        </is>
      </c>
      <c r="D107" s="22" t="n">
        <v>534.12</v>
      </c>
      <c r="E107" s="6" t="n"/>
      <c r="F107" s="44" t="inlineStr">
        <is>
          <t>—</t>
        </is>
      </c>
      <c r="G107" s="37" t="inlineStr">
        <is>
          <t>1540 Altura Blvd</t>
        </is>
      </c>
      <c r="H107" s="45" t="n">
        <v>2024</v>
      </c>
      <c r="I107" s="44" t="inlineStr">
        <is>
          <t>Line item</t>
        </is>
      </c>
    </row>
    <row r="108">
      <c r="A108" s="6" t="inlineStr">
        <is>
          <t>1540 Altura Blvd — FY2024</t>
        </is>
      </c>
      <c r="B108" s="25" t="inlineStr">
        <is>
          <t>Expense</t>
        </is>
      </c>
      <c r="C108" s="6" t="inlineStr">
        <is>
          <t>6162 - Supplies</t>
        </is>
      </c>
      <c r="D108" s="22" t="n">
        <v>1572.32</v>
      </c>
      <c r="E108" s="6" t="n"/>
      <c r="F108" s="44" t="inlineStr">
        <is>
          <t>—</t>
        </is>
      </c>
      <c r="G108" s="37" t="inlineStr">
        <is>
          <t>1540 Altura Blvd</t>
        </is>
      </c>
      <c r="H108" s="45" t="n">
        <v>2024</v>
      </c>
      <c r="I108" s="44" t="inlineStr">
        <is>
          <t>Line item</t>
        </is>
      </c>
    </row>
    <row r="109">
      <c r="A109" s="6" t="inlineStr">
        <is>
          <t>1540 Altura Blvd — FY2024</t>
        </is>
      </c>
      <c r="B109" s="25" t="inlineStr">
        <is>
          <t>Expense</t>
        </is>
      </c>
      <c r="C109" s="6" t="inlineStr">
        <is>
          <t>6164 - Sale Items</t>
        </is>
      </c>
      <c r="D109" s="22" t="n">
        <v>2869.93</v>
      </c>
      <c r="E109" s="6" t="n"/>
      <c r="F109" s="44" t="inlineStr">
        <is>
          <t>—</t>
        </is>
      </c>
      <c r="G109" s="37" t="inlineStr">
        <is>
          <t>1540 Altura Blvd</t>
        </is>
      </c>
      <c r="H109" s="45" t="n">
        <v>2024</v>
      </c>
      <c r="I109" s="44" t="inlineStr">
        <is>
          <t>Line item</t>
        </is>
      </c>
    </row>
    <row r="110">
      <c r="A110" s="6" t="inlineStr">
        <is>
          <t>1540 Altura Blvd — FY2024</t>
        </is>
      </c>
      <c r="B110" s="25" t="inlineStr">
        <is>
          <t>Expense</t>
        </is>
      </c>
      <c r="C110" s="6" t="inlineStr">
        <is>
          <t>6168 - Dues &amp; Subscriptions</t>
        </is>
      </c>
      <c r="D110" s="22" t="n">
        <v>133.59</v>
      </c>
      <c r="E110" s="6" t="n"/>
      <c r="F110" s="44" t="inlineStr">
        <is>
          <t>—</t>
        </is>
      </c>
      <c r="G110" s="37" t="inlineStr">
        <is>
          <t>1540 Altura Blvd</t>
        </is>
      </c>
      <c r="H110" s="45" t="n">
        <v>2024</v>
      </c>
      <c r="I110" s="44" t="inlineStr">
        <is>
          <t>Line item</t>
        </is>
      </c>
    </row>
    <row r="111">
      <c r="A111" s="6" t="inlineStr">
        <is>
          <t>1540 Altura Blvd — FY2024</t>
        </is>
      </c>
      <c r="B111" s="25" t="inlineStr">
        <is>
          <t>Expense</t>
        </is>
      </c>
      <c r="C111" s="6" t="inlineStr">
        <is>
          <t>6170 - Landscaping</t>
        </is>
      </c>
      <c r="D111" s="22" t="n">
        <v>11211.05</v>
      </c>
      <c r="E111" s="6" t="n"/>
      <c r="F111" s="44" t="inlineStr">
        <is>
          <t>—</t>
        </is>
      </c>
      <c r="G111" s="37" t="inlineStr">
        <is>
          <t>1540 Altura Blvd</t>
        </is>
      </c>
      <c r="H111" s="45" t="n">
        <v>2024</v>
      </c>
      <c r="I111" s="44" t="inlineStr">
        <is>
          <t>Line item</t>
        </is>
      </c>
    </row>
    <row r="112">
      <c r="A112" s="6" t="inlineStr">
        <is>
          <t>1540 Altura Blvd — FY2024</t>
        </is>
      </c>
      <c r="B112" s="25" t="inlineStr">
        <is>
          <t>Expense</t>
        </is>
      </c>
      <c r="C112" s="6" t="inlineStr">
        <is>
          <t>6174 - Signs</t>
        </is>
      </c>
      <c r="D112" s="22" t="n">
        <v>454.49</v>
      </c>
      <c r="E112" s="6" t="n"/>
      <c r="F112" s="44" t="inlineStr">
        <is>
          <t>—</t>
        </is>
      </c>
      <c r="G112" s="37" t="inlineStr">
        <is>
          <t>1540 Altura Blvd</t>
        </is>
      </c>
      <c r="H112" s="45" t="n">
        <v>2024</v>
      </c>
      <c r="I112" s="44" t="inlineStr">
        <is>
          <t>Line item</t>
        </is>
      </c>
    </row>
    <row r="113">
      <c r="A113" s="6" t="inlineStr">
        <is>
          <t>1540 Altura Blvd — FY2024</t>
        </is>
      </c>
      <c r="B113" s="25" t="inlineStr">
        <is>
          <t>Expense</t>
        </is>
      </c>
      <c r="C113" s="6" t="inlineStr">
        <is>
          <t>6176 - Teammate Mileage</t>
        </is>
      </c>
      <c r="D113" s="22" t="n">
        <v>1645.19</v>
      </c>
      <c r="E113" s="6" t="n"/>
      <c r="F113" s="44" t="inlineStr">
        <is>
          <t>—</t>
        </is>
      </c>
      <c r="G113" s="37" t="inlineStr">
        <is>
          <t>1540 Altura Blvd</t>
        </is>
      </c>
      <c r="H113" s="45" t="n">
        <v>2024</v>
      </c>
      <c r="I113" s="44" t="inlineStr">
        <is>
          <t>Line item</t>
        </is>
      </c>
    </row>
    <row r="114">
      <c r="A114" s="6" t="inlineStr">
        <is>
          <t>1540 Altura Blvd — FY2024</t>
        </is>
      </c>
      <c r="B114" s="25" t="inlineStr">
        <is>
          <t>Expense</t>
        </is>
      </c>
      <c r="C114" s="6" t="inlineStr">
        <is>
          <t>6182 - Fees &amp; Licenses</t>
        </is>
      </c>
      <c r="D114" s="22" t="n">
        <v>235.38</v>
      </c>
      <c r="E114" s="6" t="n"/>
      <c r="F114" s="44" t="inlineStr">
        <is>
          <t>—</t>
        </is>
      </c>
      <c r="G114" s="37" t="inlineStr">
        <is>
          <t>1540 Altura Blvd</t>
        </is>
      </c>
      <c r="H114" s="45" t="n">
        <v>2024</v>
      </c>
      <c r="I114" s="44" t="inlineStr">
        <is>
          <t>Line item</t>
        </is>
      </c>
    </row>
    <row r="115">
      <c r="A115" s="6" t="inlineStr">
        <is>
          <t>1540 Altura Blvd — FY2024</t>
        </is>
      </c>
      <c r="B115" s="25" t="inlineStr">
        <is>
          <t>Expense</t>
        </is>
      </c>
      <c r="C115" s="6" t="inlineStr">
        <is>
          <t>6190 - Postage</t>
        </is>
      </c>
      <c r="D115" s="22" t="n">
        <v>628.63</v>
      </c>
      <c r="E115" s="6" t="n"/>
      <c r="F115" s="44" t="inlineStr">
        <is>
          <t>—</t>
        </is>
      </c>
      <c r="G115" s="37" t="inlineStr">
        <is>
          <t>1540 Altura Blvd</t>
        </is>
      </c>
      <c r="H115" s="45" t="n">
        <v>2024</v>
      </c>
      <c r="I115" s="44" t="inlineStr">
        <is>
          <t>Line item</t>
        </is>
      </c>
    </row>
    <row r="116">
      <c r="A116" s="6" t="inlineStr">
        <is>
          <t>1540 Altura Blvd — FY2024</t>
        </is>
      </c>
      <c r="B116" s="25" t="inlineStr">
        <is>
          <t>Expense</t>
        </is>
      </c>
      <c r="C116" s="6" t="inlineStr">
        <is>
          <t>6212 - Office Supplies</t>
        </is>
      </c>
      <c r="D116" s="22" t="n">
        <v>1187.66</v>
      </c>
      <c r="E116" s="6" t="n"/>
      <c r="F116" s="44" t="inlineStr">
        <is>
          <t>—</t>
        </is>
      </c>
      <c r="G116" s="37" t="inlineStr">
        <is>
          <t>1540 Altura Blvd</t>
        </is>
      </c>
      <c r="H116" s="45" t="n">
        <v>2024</v>
      </c>
      <c r="I116" s="44" t="inlineStr">
        <is>
          <t>Line item</t>
        </is>
      </c>
    </row>
    <row r="117">
      <c r="A117" s="6" t="inlineStr">
        <is>
          <t>1540 Altura Blvd — FY2024</t>
        </is>
      </c>
      <c r="B117" s="25" t="inlineStr">
        <is>
          <t>Expense</t>
        </is>
      </c>
      <c r="C117" s="6" t="inlineStr">
        <is>
          <t>6218 - Printing Expense</t>
        </is>
      </c>
      <c r="D117" s="22" t="n">
        <v>75.59999999999999</v>
      </c>
      <c r="E117" s="6" t="n"/>
      <c r="F117" s="44" t="inlineStr">
        <is>
          <t>—</t>
        </is>
      </c>
      <c r="G117" s="37" t="inlineStr">
        <is>
          <t>1540 Altura Blvd</t>
        </is>
      </c>
      <c r="H117" s="45" t="n">
        <v>2024</v>
      </c>
      <c r="I117" s="44" t="inlineStr">
        <is>
          <t>Line item</t>
        </is>
      </c>
    </row>
    <row r="118">
      <c r="A118" s="6" t="inlineStr">
        <is>
          <t>1540 Altura Blvd — FY2024</t>
        </is>
      </c>
      <c r="B118" s="25" t="inlineStr">
        <is>
          <t>Expense</t>
        </is>
      </c>
      <c r="C118" s="6" t="inlineStr">
        <is>
          <t>6220 - Equipment</t>
        </is>
      </c>
      <c r="D118" s="22" t="n">
        <v>99.47</v>
      </c>
      <c r="E118" s="6" t="n"/>
      <c r="F118" s="44" t="inlineStr">
        <is>
          <t>—</t>
        </is>
      </c>
      <c r="G118" s="37" t="inlineStr">
        <is>
          <t>1540 Altura Blvd</t>
        </is>
      </c>
      <c r="H118" s="45" t="n">
        <v>2024</v>
      </c>
      <c r="I118" s="44" t="inlineStr">
        <is>
          <t>Line item</t>
        </is>
      </c>
    </row>
    <row r="119">
      <c r="A119" s="6" t="inlineStr">
        <is>
          <t>1540 Altura Blvd — FY2024</t>
        </is>
      </c>
      <c r="B119" s="25" t="inlineStr">
        <is>
          <t>Expense</t>
        </is>
      </c>
      <c r="C119" s="6" t="inlineStr">
        <is>
          <t>6224 - Computer Equipment - Non Capex</t>
        </is>
      </c>
      <c r="D119" s="22" t="n">
        <v>934.8</v>
      </c>
      <c r="E119" s="6" t="n"/>
      <c r="F119" s="44" t="inlineStr">
        <is>
          <t>—</t>
        </is>
      </c>
      <c r="G119" s="37" t="inlineStr">
        <is>
          <t>1540 Altura Blvd</t>
        </is>
      </c>
      <c r="H119" s="45" t="n">
        <v>2024</v>
      </c>
      <c r="I119" s="44" t="inlineStr">
        <is>
          <t>Line item</t>
        </is>
      </c>
    </row>
    <row r="120">
      <c r="A120" s="6" t="inlineStr">
        <is>
          <t>1540 Altura Blvd — FY2024</t>
        </is>
      </c>
      <c r="B120" s="25" t="inlineStr">
        <is>
          <t>Expense</t>
        </is>
      </c>
      <c r="C120" s="6" t="inlineStr">
        <is>
          <t>6225 - CMS License Fee</t>
        </is>
      </c>
      <c r="D120" s="22" t="n">
        <v>2347.44</v>
      </c>
      <c r="E120" s="6" t="n"/>
      <c r="F120" s="44" t="inlineStr">
        <is>
          <t>—</t>
        </is>
      </c>
      <c r="G120" s="37" t="inlineStr">
        <is>
          <t>1540 Altura Blvd</t>
        </is>
      </c>
      <c r="H120" s="45" t="n">
        <v>2024</v>
      </c>
      <c r="I120" s="44" t="inlineStr">
        <is>
          <t>Line item</t>
        </is>
      </c>
    </row>
    <row r="121">
      <c r="A121" s="6" t="inlineStr">
        <is>
          <t>1540 Altura Blvd — FY2024</t>
        </is>
      </c>
      <c r="B121" s="25" t="inlineStr">
        <is>
          <t>Expense</t>
        </is>
      </c>
      <c r="C121" s="6" t="inlineStr">
        <is>
          <t>6228 - Bank Adjustments</t>
        </is>
      </c>
      <c r="D121" s="22" t="n">
        <v>0.14</v>
      </c>
      <c r="E121" s="6" t="n"/>
      <c r="F121" s="44" t="inlineStr">
        <is>
          <t>—</t>
        </is>
      </c>
      <c r="G121" s="37" t="inlineStr">
        <is>
          <t>1540 Altura Blvd</t>
        </is>
      </c>
      <c r="H121" s="45" t="n">
        <v>2024</v>
      </c>
      <c r="I121" s="44" t="inlineStr">
        <is>
          <t>Line item</t>
        </is>
      </c>
    </row>
    <row r="122">
      <c r="A122" s="6" t="inlineStr">
        <is>
          <t>1540 Altura Blvd — FY2024</t>
        </is>
      </c>
      <c r="B122" s="25" t="inlineStr">
        <is>
          <t>Expense</t>
        </is>
      </c>
      <c r="C122" s="6" t="inlineStr">
        <is>
          <t>6232 - Visa/Mastercard Fees</t>
        </is>
      </c>
      <c r="D122" s="22" t="n">
        <v>4895.03</v>
      </c>
      <c r="E122" s="6" t="n"/>
      <c r="F122" s="44" t="inlineStr">
        <is>
          <t>—</t>
        </is>
      </c>
      <c r="G122" s="37" t="inlineStr">
        <is>
          <t>1540 Altura Blvd</t>
        </is>
      </c>
      <c r="H122" s="45" t="n">
        <v>2024</v>
      </c>
      <c r="I122" s="44" t="inlineStr">
        <is>
          <t>Line item</t>
        </is>
      </c>
    </row>
    <row r="123">
      <c r="A123" s="6" t="inlineStr">
        <is>
          <t>1540 Altura Blvd — FY2024</t>
        </is>
      </c>
      <c r="B123" s="25" t="inlineStr">
        <is>
          <t>Expense</t>
        </is>
      </c>
      <c r="C123" s="6" t="inlineStr">
        <is>
          <t>6233 - American Express Fees</t>
        </is>
      </c>
      <c r="D123" s="22" t="n">
        <v>402.88</v>
      </c>
      <c r="E123" s="6" t="n"/>
      <c r="F123" s="44" t="inlineStr">
        <is>
          <t>—</t>
        </is>
      </c>
      <c r="G123" s="37" t="inlineStr">
        <is>
          <t>1540 Altura Blvd</t>
        </is>
      </c>
      <c r="H123" s="45" t="n">
        <v>2024</v>
      </c>
      <c r="I123" s="44" t="inlineStr">
        <is>
          <t>Line item</t>
        </is>
      </c>
    </row>
    <row r="124">
      <c r="A124" s="6" t="inlineStr">
        <is>
          <t>1540 Altura Blvd — FY2024</t>
        </is>
      </c>
      <c r="B124" s="25" t="inlineStr">
        <is>
          <t>Expense</t>
        </is>
      </c>
      <c r="C124" s="6" t="inlineStr">
        <is>
          <t>6235 - ACH Fees</t>
        </is>
      </c>
      <c r="D124" s="22" t="n">
        <v>46.5</v>
      </c>
      <c r="E124" s="6" t="n"/>
      <c r="F124" s="44" t="inlineStr">
        <is>
          <t>—</t>
        </is>
      </c>
      <c r="G124" s="37" t="inlineStr">
        <is>
          <t>1540 Altura Blvd</t>
        </is>
      </c>
      <c r="H124" s="45" t="n">
        <v>2024</v>
      </c>
      <c r="I124" s="44" t="inlineStr">
        <is>
          <t>Line item</t>
        </is>
      </c>
    </row>
    <row r="125">
      <c r="A125" s="6" t="inlineStr">
        <is>
          <t>1540 Altura Blvd — FY2024</t>
        </is>
      </c>
      <c r="B125" s="25" t="inlineStr">
        <is>
          <t>Expense</t>
        </is>
      </c>
      <c r="C125" s="6" t="inlineStr">
        <is>
          <t>6256 - Legal/Auction</t>
        </is>
      </c>
      <c r="D125" s="22" t="n">
        <v>589.6799999999999</v>
      </c>
      <c r="E125" s="6" t="inlineStr">
        <is>
          <t>Other controllable subtotal $40,436.57</t>
        </is>
      </c>
      <c r="F125" s="44" t="inlineStr">
        <is>
          <t>—</t>
        </is>
      </c>
      <c r="G125" s="37" t="inlineStr">
        <is>
          <t>1540 Altura Blvd</t>
        </is>
      </c>
      <c r="H125" s="45" t="n">
        <v>2024</v>
      </c>
      <c r="I125" s="44" t="inlineStr">
        <is>
          <t>Line item</t>
        </is>
      </c>
    </row>
    <row r="126">
      <c r="A126" s="6" t="inlineStr">
        <is>
          <t>1540 Altura Blvd — FY2024</t>
        </is>
      </c>
      <c r="B126" s="25" t="inlineStr">
        <is>
          <t>Expense</t>
        </is>
      </c>
      <c r="C126" s="6" t="inlineStr">
        <is>
          <t>6365 - Internet/Website Costs</t>
        </is>
      </c>
      <c r="D126" s="22" t="n">
        <v>22463.57</v>
      </c>
      <c r="E126" s="6" t="n"/>
      <c r="F126" s="44" t="inlineStr">
        <is>
          <t>—</t>
        </is>
      </c>
      <c r="G126" s="37" t="inlineStr">
        <is>
          <t>1540 Altura Blvd</t>
        </is>
      </c>
      <c r="H126" s="45" t="n">
        <v>2024</v>
      </c>
      <c r="I126" s="44" t="inlineStr">
        <is>
          <t>Line item</t>
        </is>
      </c>
    </row>
    <row r="127">
      <c r="A127" s="6" t="inlineStr">
        <is>
          <t>1540 Altura Blvd — FY2024</t>
        </is>
      </c>
      <c r="B127" s="25" t="inlineStr">
        <is>
          <t>Expense</t>
        </is>
      </c>
      <c r="C127" s="6" t="inlineStr">
        <is>
          <t>6375 - Store Marketing</t>
        </is>
      </c>
      <c r="D127" s="22" t="n">
        <v>2010.82</v>
      </c>
      <c r="E127" s="6" t="inlineStr">
        <is>
          <t>Marketing subtotal $24,474.39; controllable expenses $175,734.28</t>
        </is>
      </c>
      <c r="F127" s="44" t="inlineStr">
        <is>
          <t>—</t>
        </is>
      </c>
      <c r="G127" s="37" t="inlineStr">
        <is>
          <t>1540 Altura Blvd</t>
        </is>
      </c>
      <c r="H127" s="45" t="n">
        <v>2024</v>
      </c>
      <c r="I127" s="44" t="inlineStr">
        <is>
          <t>Line item</t>
        </is>
      </c>
    </row>
    <row r="128">
      <c r="A128" s="6" t="inlineStr">
        <is>
          <t>1540 Altura Blvd — FY2024</t>
        </is>
      </c>
      <c r="B128" s="25" t="inlineStr">
        <is>
          <t>Expense</t>
        </is>
      </c>
      <c r="C128" s="6" t="inlineStr">
        <is>
          <t>7030 - Sales Tax Collection Allowance (offset)</t>
        </is>
      </c>
      <c r="D128" s="22" t="n">
        <v>-12.01</v>
      </c>
      <c r="E128" s="6" t="n"/>
      <c r="F128" s="44" t="inlineStr">
        <is>
          <t>—</t>
        </is>
      </c>
      <c r="G128" s="37" t="inlineStr">
        <is>
          <t>1540 Altura Blvd</t>
        </is>
      </c>
      <c r="H128" s="45" t="n">
        <v>2024</v>
      </c>
      <c r="I128" s="44" t="inlineStr">
        <is>
          <t>Line item</t>
        </is>
      </c>
    </row>
    <row r="129">
      <c r="A129" s="6" t="inlineStr">
        <is>
          <t>1540 Altura Blvd — FY2024</t>
        </is>
      </c>
      <c r="B129" s="25" t="inlineStr">
        <is>
          <t>Expense</t>
        </is>
      </c>
      <c r="C129" s="6" t="inlineStr">
        <is>
          <t>7240 - Gross Receipts Tax (property tax)</t>
        </is>
      </c>
      <c r="D129" s="22" t="n">
        <v>121803.84</v>
      </c>
      <c r="E129" s="6" t="n"/>
      <c r="F129" s="44" t="inlineStr">
        <is>
          <t>—</t>
        </is>
      </c>
      <c r="G129" s="37" t="inlineStr">
        <is>
          <t>1540 Altura Blvd</t>
        </is>
      </c>
      <c r="H129" s="45" t="n">
        <v>2024</v>
      </c>
      <c r="I129" s="44" t="inlineStr">
        <is>
          <t>Line item</t>
        </is>
      </c>
    </row>
    <row r="130">
      <c r="A130" s="6" t="inlineStr">
        <is>
          <t>1540 Altura Blvd — FY2024</t>
        </is>
      </c>
      <c r="B130" s="25" t="inlineStr">
        <is>
          <t>Expense</t>
        </is>
      </c>
      <c r="C130" s="6" t="inlineStr">
        <is>
          <t>6280 - Insurance</t>
        </is>
      </c>
      <c r="D130" s="22" t="n">
        <v>5842.43</v>
      </c>
      <c r="E130" s="6" t="n"/>
      <c r="F130" s="44" t="inlineStr">
        <is>
          <t>—</t>
        </is>
      </c>
      <c r="G130" s="37" t="inlineStr">
        <is>
          <t>1540 Altura Blvd</t>
        </is>
      </c>
      <c r="H130" s="45" t="n">
        <v>2024</v>
      </c>
      <c r="I130" s="44" t="inlineStr">
        <is>
          <t>Line item</t>
        </is>
      </c>
    </row>
    <row r="131">
      <c r="A131" s="6" t="inlineStr">
        <is>
          <t>1540 Altura Blvd — FY2024</t>
        </is>
      </c>
      <c r="B131" s="25" t="inlineStr">
        <is>
          <t>Expense</t>
        </is>
      </c>
      <c r="C131" s="6" t="inlineStr">
        <is>
          <t>6172 - Snow Removal &amp; Salting</t>
        </is>
      </c>
      <c r="D131" s="22" t="n">
        <v>2180</v>
      </c>
      <c r="E131" s="6" t="n"/>
      <c r="F131" s="44" t="inlineStr">
        <is>
          <t>—</t>
        </is>
      </c>
      <c r="G131" s="37" t="inlineStr">
        <is>
          <t>1540 Altura Blvd</t>
        </is>
      </c>
      <c r="H131" s="45" t="n">
        <v>2024</v>
      </c>
      <c r="I131" s="44" t="inlineStr">
        <is>
          <t>Line item</t>
        </is>
      </c>
    </row>
    <row r="132">
      <c r="A132" s="6" t="inlineStr">
        <is>
          <t>1540 Altura Blvd — FY2024</t>
        </is>
      </c>
      <c r="B132" s="25" t="inlineStr">
        <is>
          <t>Expense</t>
        </is>
      </c>
      <c r="C132" s="6" t="inlineStr">
        <is>
          <t>7530 - Professional Fees</t>
        </is>
      </c>
      <c r="D132" s="22" t="n">
        <v>350</v>
      </c>
      <c r="E132" s="6" t="n"/>
      <c r="F132" s="44" t="inlineStr">
        <is>
          <t>—</t>
        </is>
      </c>
      <c r="G132" s="37" t="inlineStr">
        <is>
          <t>1540 Altura Blvd</t>
        </is>
      </c>
      <c r="H132" s="45" t="n">
        <v>2024</v>
      </c>
      <c r="I132" s="44" t="inlineStr">
        <is>
          <t>Line item</t>
        </is>
      </c>
    </row>
    <row r="133">
      <c r="A133" s="6" t="inlineStr">
        <is>
          <t>1540 Altura Blvd — FY2024</t>
        </is>
      </c>
      <c r="B133" s="25" t="inlineStr">
        <is>
          <t>Expense</t>
        </is>
      </c>
      <c r="C133" s="6" t="inlineStr">
        <is>
          <t>6801 - Third Party Management Fees</t>
        </is>
      </c>
      <c r="D133" s="22" t="n">
        <v>22457.4</v>
      </c>
      <c r="E133" s="6" t="inlineStr">
        <is>
          <t>Non-controllable expenses $152,621.66</t>
        </is>
      </c>
      <c r="F133" s="44" t="inlineStr">
        <is>
          <t>—</t>
        </is>
      </c>
      <c r="G133" s="37" t="inlineStr">
        <is>
          <t>1540 Altura Blvd</t>
        </is>
      </c>
      <c r="H133" s="45" t="n">
        <v>2024</v>
      </c>
      <c r="I133" s="44" t="inlineStr">
        <is>
          <t>Line item</t>
        </is>
      </c>
    </row>
    <row r="134">
      <c r="A134" s="11" t="inlineStr">
        <is>
          <t>1540 Altura Blvd — FY2024</t>
        </is>
      </c>
      <c r="B134" s="26" t="inlineStr">
        <is>
          <t>Expense</t>
        </is>
      </c>
      <c r="C134" s="12" t="inlineStr">
        <is>
          <t>TOTAL EXPENSE</t>
        </is>
      </c>
      <c r="D134" s="23">
        <f>SUM(D79:D133)</f>
        <v/>
      </c>
      <c r="E134" s="18" t="inlineStr">
        <is>
          <t>Printed total: $328,355.94. NOI per statement $86,277.89 (accrual, store-level).</t>
        </is>
      </c>
      <c r="F134" s="46" t="inlineStr">
        <is>
          <t>—</t>
        </is>
      </c>
      <c r="G134" s="36" t="inlineStr">
        <is>
          <t>1540 Altura Blvd</t>
        </is>
      </c>
      <c r="H134" s="47" t="n">
        <v>2024</v>
      </c>
      <c r="I134" s="46" t="inlineStr">
        <is>
          <t>Total</t>
        </is>
      </c>
    </row>
    <row r="135">
      <c r="A135" s="6" t="inlineStr">
        <is>
          <t>15413 E 18th Ave — FY2024</t>
        </is>
      </c>
      <c r="B135" s="25" t="inlineStr">
        <is>
          <t>Income</t>
        </is>
      </c>
      <c r="C135" s="6" t="inlineStr">
        <is>
          <t>Net Rental Income</t>
        </is>
      </c>
      <c r="D135" s="22" t="n">
        <v>731252.08</v>
      </c>
      <c r="E135" s="6" t="n"/>
      <c r="F135" s="44" t="inlineStr">
        <is>
          <t>—</t>
        </is>
      </c>
      <c r="G135" s="37" t="inlineStr">
        <is>
          <t>15413 E 18th Ave</t>
        </is>
      </c>
      <c r="H135" s="45" t="n">
        <v>2024</v>
      </c>
      <c r="I135" s="44" t="inlineStr">
        <is>
          <t>Line item</t>
        </is>
      </c>
    </row>
    <row r="136">
      <c r="A136" s="6" t="inlineStr">
        <is>
          <t>15413 E 18th Ave — FY2024</t>
        </is>
      </c>
      <c r="B136" s="25" t="inlineStr">
        <is>
          <t>Income</t>
        </is>
      </c>
      <c r="C136" s="6" t="inlineStr">
        <is>
          <t>4281 - Admin Fee</t>
        </is>
      </c>
      <c r="D136" s="22" t="n">
        <v>9889</v>
      </c>
      <c r="E136" s="6" t="n"/>
      <c r="F136" s="44" t="inlineStr">
        <is>
          <t>—</t>
        </is>
      </c>
      <c r="G136" s="37" t="inlineStr">
        <is>
          <t>15413 E 18th Ave</t>
        </is>
      </c>
      <c r="H136" s="45" t="n">
        <v>2024</v>
      </c>
      <c r="I136" s="44" t="inlineStr">
        <is>
          <t>Line item</t>
        </is>
      </c>
    </row>
    <row r="137">
      <c r="A137" s="6" t="inlineStr">
        <is>
          <t>15413 E 18th Ave — FY2024</t>
        </is>
      </c>
      <c r="B137" s="25" t="inlineStr">
        <is>
          <t>Income</t>
        </is>
      </c>
      <c r="C137" s="6" t="inlineStr">
        <is>
          <t>4282 - Late Fee Revenue</t>
        </is>
      </c>
      <c r="D137" s="22" t="n">
        <v>45687.17</v>
      </c>
      <c r="E137" s="6" t="n"/>
      <c r="F137" s="44" t="inlineStr">
        <is>
          <t>—</t>
        </is>
      </c>
      <c r="G137" s="37" t="inlineStr">
        <is>
          <t>15413 E 18th Ave</t>
        </is>
      </c>
      <c r="H137" s="45" t="n">
        <v>2024</v>
      </c>
      <c r="I137" s="44" t="inlineStr">
        <is>
          <t>Line item</t>
        </is>
      </c>
    </row>
    <row r="138">
      <c r="A138" s="6" t="inlineStr">
        <is>
          <t>15413 E 18th Ave — FY2024</t>
        </is>
      </c>
      <c r="B138" s="25" t="inlineStr">
        <is>
          <t>Income</t>
        </is>
      </c>
      <c r="C138" s="6" t="inlineStr">
        <is>
          <t>4283 - Other Fee Revenue</t>
        </is>
      </c>
      <c r="D138" s="22" t="n">
        <v>149.54</v>
      </c>
      <c r="E138" s="6" t="n"/>
      <c r="F138" s="44" t="inlineStr">
        <is>
          <t>—</t>
        </is>
      </c>
      <c r="G138" s="37" t="inlineStr">
        <is>
          <t>15413 E 18th Ave</t>
        </is>
      </c>
      <c r="H138" s="45" t="n">
        <v>2024</v>
      </c>
      <c r="I138" s="44" t="inlineStr">
        <is>
          <t>Line item</t>
        </is>
      </c>
    </row>
    <row r="139">
      <c r="A139" s="6" t="inlineStr">
        <is>
          <t>15413 E 18th Ave — FY2024</t>
        </is>
      </c>
      <c r="B139" s="25" t="inlineStr">
        <is>
          <t>Income</t>
        </is>
      </c>
      <c r="C139" s="6" t="inlineStr">
        <is>
          <t>4284 - NSF Fees</t>
        </is>
      </c>
      <c r="D139" s="22" t="n">
        <v>60</v>
      </c>
      <c r="E139" s="6" t="n"/>
      <c r="F139" s="44" t="inlineStr">
        <is>
          <t>—</t>
        </is>
      </c>
      <c r="G139" s="37" t="inlineStr">
        <is>
          <t>15413 E 18th Ave</t>
        </is>
      </c>
      <c r="H139" s="45" t="n">
        <v>2024</v>
      </c>
      <c r="I139" s="44" t="inlineStr">
        <is>
          <t>Line item</t>
        </is>
      </c>
    </row>
    <row r="140">
      <c r="A140" s="6" t="inlineStr">
        <is>
          <t>15413 E 18th Ave — FY2024</t>
        </is>
      </c>
      <c r="B140" s="25" t="inlineStr">
        <is>
          <t>Income</t>
        </is>
      </c>
      <c r="C140" s="6" t="inlineStr">
        <is>
          <t>4286 - Convenience Fee Payments</t>
        </is>
      </c>
      <c r="D140" s="22" t="n">
        <v>4306.11</v>
      </c>
      <c r="E140" s="6" t="n"/>
      <c r="F140" s="44" t="inlineStr">
        <is>
          <t>—</t>
        </is>
      </c>
      <c r="G140" s="37" t="inlineStr">
        <is>
          <t>15413 E 18th Ave</t>
        </is>
      </c>
      <c r="H140" s="45" t="n">
        <v>2024</v>
      </c>
      <c r="I140" s="44" t="inlineStr">
        <is>
          <t>Line item</t>
        </is>
      </c>
    </row>
    <row r="141">
      <c r="A141" s="6" t="inlineStr">
        <is>
          <t>15413 E 18th Ave — FY2024</t>
        </is>
      </c>
      <c r="B141" s="25" t="inlineStr">
        <is>
          <t>Income</t>
        </is>
      </c>
      <c r="C141" s="6" t="inlineStr">
        <is>
          <t>4285 - Fees Waived</t>
        </is>
      </c>
      <c r="D141" s="22" t="n">
        <v>-2.32</v>
      </c>
      <c r="E141" s="6" t="n"/>
      <c r="F141" s="44" t="inlineStr">
        <is>
          <t>—</t>
        </is>
      </c>
      <c r="G141" s="37" t="inlineStr">
        <is>
          <t>15413 E 18th Ave</t>
        </is>
      </c>
      <c r="H141" s="45" t="n">
        <v>2024</v>
      </c>
      <c r="I141" s="44" t="inlineStr">
        <is>
          <t>Line item</t>
        </is>
      </c>
    </row>
    <row r="142">
      <c r="A142" s="6" t="inlineStr">
        <is>
          <t>15413 E 18th Ave — FY2024</t>
        </is>
      </c>
      <c r="B142" s="25" t="inlineStr">
        <is>
          <t>Income</t>
        </is>
      </c>
      <c r="C142" s="6" t="inlineStr">
        <is>
          <t>4287 - Fees Waived - Admin</t>
        </is>
      </c>
      <c r="D142" s="22" t="n">
        <v>-116</v>
      </c>
      <c r="E142" s="6" t="n"/>
      <c r="F142" s="44" t="inlineStr">
        <is>
          <t>—</t>
        </is>
      </c>
      <c r="G142" s="37" t="inlineStr">
        <is>
          <t>15413 E 18th Ave</t>
        </is>
      </c>
      <c r="H142" s="45" t="n">
        <v>2024</v>
      </c>
      <c r="I142" s="44" t="inlineStr">
        <is>
          <t>Line item</t>
        </is>
      </c>
    </row>
    <row r="143">
      <c r="A143" s="6" t="inlineStr">
        <is>
          <t>15413 E 18th Ave — FY2024</t>
        </is>
      </c>
      <c r="B143" s="25" t="inlineStr">
        <is>
          <t>Income</t>
        </is>
      </c>
      <c r="C143" s="6" t="inlineStr">
        <is>
          <t>4288 - Fees Waived - Late Fee</t>
        </is>
      </c>
      <c r="D143" s="22" t="n">
        <v>-787.76</v>
      </c>
      <c r="E143" s="6" t="n"/>
      <c r="F143" s="44" t="inlineStr">
        <is>
          <t>—</t>
        </is>
      </c>
      <c r="G143" s="37" t="inlineStr">
        <is>
          <t>15413 E 18th Ave</t>
        </is>
      </c>
      <c r="H143" s="45" t="n">
        <v>2024</v>
      </c>
      <c r="I143" s="44" t="inlineStr">
        <is>
          <t>Line item</t>
        </is>
      </c>
    </row>
    <row r="144">
      <c r="A144" s="6" t="inlineStr">
        <is>
          <t>15413 E 18th Ave — FY2024</t>
        </is>
      </c>
      <c r="B144" s="25" t="inlineStr">
        <is>
          <t>Income</t>
        </is>
      </c>
      <c r="C144" s="6" t="inlineStr">
        <is>
          <t>4255 - Credit Card Chargebacks</t>
        </is>
      </c>
      <c r="D144" s="22" t="n">
        <v>-196.9</v>
      </c>
      <c r="E144" s="6" t="n"/>
      <c r="F144" s="44" t="inlineStr">
        <is>
          <t>—</t>
        </is>
      </c>
      <c r="G144" s="37" t="inlineStr">
        <is>
          <t>15413 E 18th Ave</t>
        </is>
      </c>
      <c r="H144" s="45" t="n">
        <v>2024</v>
      </c>
      <c r="I144" s="44" t="inlineStr">
        <is>
          <t>Line item</t>
        </is>
      </c>
    </row>
    <row r="145">
      <c r="A145" s="6" t="inlineStr">
        <is>
          <t>15413 E 18th Ave — FY2024</t>
        </is>
      </c>
      <c r="B145" s="25" t="inlineStr">
        <is>
          <t>Income</t>
        </is>
      </c>
      <c r="C145" s="6" t="inlineStr">
        <is>
          <t>7102 - Fees Written Off</t>
        </is>
      </c>
      <c r="D145" s="22" t="n">
        <v>-7117.67</v>
      </c>
      <c r="E145" s="6" t="n"/>
      <c r="F145" s="44" t="inlineStr">
        <is>
          <t>—</t>
        </is>
      </c>
      <c r="G145" s="37" t="inlineStr">
        <is>
          <t>15413 E 18th Ave</t>
        </is>
      </c>
      <c r="H145" s="45" t="n">
        <v>2024</v>
      </c>
      <c r="I145" s="44" t="inlineStr">
        <is>
          <t>Line item</t>
        </is>
      </c>
    </row>
    <row r="146">
      <c r="A146" s="11" t="inlineStr">
        <is>
          <t>15413 E 18th Ave — FY2024</t>
        </is>
      </c>
      <c r="B146" s="26" t="inlineStr">
        <is>
          <t>Income</t>
        </is>
      </c>
      <c r="C146" s="12" t="inlineStr">
        <is>
          <t>TOTAL INCOME</t>
        </is>
      </c>
      <c r="D146" s="23">
        <f>SUM(D135:D145)</f>
        <v/>
      </c>
      <c r="E146" s="18" t="inlineStr">
        <is>
          <t>Printed total: $783,123.25.</t>
        </is>
      </c>
      <c r="F146" s="46" t="inlineStr">
        <is>
          <t>—</t>
        </is>
      </c>
      <c r="G146" s="36" t="inlineStr">
        <is>
          <t>15413 E 18th Ave</t>
        </is>
      </c>
      <c r="H146" s="47" t="n">
        <v>2024</v>
      </c>
      <c r="I146" s="46" t="inlineStr">
        <is>
          <t>Total</t>
        </is>
      </c>
    </row>
    <row r="147">
      <c r="A147" s="6" t="inlineStr">
        <is>
          <t>15413 E 18th Ave — FY2024</t>
        </is>
      </c>
      <c r="B147" s="25" t="inlineStr">
        <is>
          <t>Expense</t>
        </is>
      </c>
      <c r="C147" s="6" t="inlineStr">
        <is>
          <t>6100 - Payroll</t>
        </is>
      </c>
      <c r="D147" s="22" t="n">
        <v>59074.43</v>
      </c>
      <c r="E147" s="6" t="n"/>
      <c r="F147" s="44" t="inlineStr">
        <is>
          <t>—</t>
        </is>
      </c>
      <c r="G147" s="37" t="inlineStr">
        <is>
          <t>15413 E 18th Ave</t>
        </is>
      </c>
      <c r="H147" s="45" t="n">
        <v>2024</v>
      </c>
      <c r="I147" s="44" t="inlineStr">
        <is>
          <t>Line item</t>
        </is>
      </c>
    </row>
    <row r="148">
      <c r="A148" s="6" t="inlineStr">
        <is>
          <t>15413 E 18th Ave — FY2024</t>
        </is>
      </c>
      <c r="B148" s="25" t="inlineStr">
        <is>
          <t>Expense</t>
        </is>
      </c>
      <c r="C148" s="6" t="inlineStr">
        <is>
          <t>6112 - Medical Expense</t>
        </is>
      </c>
      <c r="D148" s="22" t="n">
        <v>10224</v>
      </c>
      <c r="E148" s="6" t="n"/>
      <c r="F148" s="44" t="inlineStr">
        <is>
          <t>—</t>
        </is>
      </c>
      <c r="G148" s="37" t="inlineStr">
        <is>
          <t>15413 E 18th Ave</t>
        </is>
      </c>
      <c r="H148" s="45" t="n">
        <v>2024</v>
      </c>
      <c r="I148" s="44" t="inlineStr">
        <is>
          <t>Line item</t>
        </is>
      </c>
    </row>
    <row r="149">
      <c r="A149" s="6" t="inlineStr">
        <is>
          <t>15413 E 18th Ave — FY2024</t>
        </is>
      </c>
      <c r="B149" s="25" t="inlineStr">
        <is>
          <t>Expense</t>
        </is>
      </c>
      <c r="C149" s="6" t="inlineStr">
        <is>
          <t>6118 - 401K Expense</t>
        </is>
      </c>
      <c r="D149" s="22" t="n">
        <v>881.88</v>
      </c>
      <c r="E149" s="6" t="n"/>
      <c r="F149" s="44" t="inlineStr">
        <is>
          <t>—</t>
        </is>
      </c>
      <c r="G149" s="37" t="inlineStr">
        <is>
          <t>15413 E 18th Ave</t>
        </is>
      </c>
      <c r="H149" s="45" t="n">
        <v>2024</v>
      </c>
      <c r="I149" s="44" t="inlineStr">
        <is>
          <t>Line item</t>
        </is>
      </c>
    </row>
    <row r="150">
      <c r="A150" s="6" t="inlineStr">
        <is>
          <t>15413 E 18th Ave — FY2024</t>
        </is>
      </c>
      <c r="B150" s="25" t="inlineStr">
        <is>
          <t>Expense</t>
        </is>
      </c>
      <c r="C150" s="6" t="inlineStr">
        <is>
          <t>6128 - Teammate Rewards</t>
        </is>
      </c>
      <c r="D150" s="22" t="n">
        <v>230</v>
      </c>
      <c r="E150" s="6" t="n"/>
      <c r="F150" s="44" t="inlineStr">
        <is>
          <t>—</t>
        </is>
      </c>
      <c r="G150" s="37" t="inlineStr">
        <is>
          <t>15413 E 18th Ave</t>
        </is>
      </c>
      <c r="H150" s="45" t="n">
        <v>2024</v>
      </c>
      <c r="I150" s="44" t="inlineStr">
        <is>
          <t>Line item</t>
        </is>
      </c>
    </row>
    <row r="151">
      <c r="A151" s="6" t="inlineStr">
        <is>
          <t>15413 E 18th Ave — FY2024</t>
        </is>
      </c>
      <c r="B151" s="25" t="inlineStr">
        <is>
          <t>Expense</t>
        </is>
      </c>
      <c r="C151" s="6" t="inlineStr">
        <is>
          <t>6130 - Payroll Tax</t>
        </is>
      </c>
      <c r="D151" s="22" t="n">
        <v>6841.49</v>
      </c>
      <c r="E151" s="6" t="n"/>
      <c r="F151" s="44" t="inlineStr">
        <is>
          <t>—</t>
        </is>
      </c>
      <c r="G151" s="37" t="inlineStr">
        <is>
          <t>15413 E 18th Ave</t>
        </is>
      </c>
      <c r="H151" s="45" t="n">
        <v>2024</v>
      </c>
      <c r="I151" s="44" t="inlineStr">
        <is>
          <t>Line item</t>
        </is>
      </c>
    </row>
    <row r="152">
      <c r="A152" s="6" t="inlineStr">
        <is>
          <t>15413 E 18th Ave — FY2024</t>
        </is>
      </c>
      <c r="B152" s="25" t="inlineStr">
        <is>
          <t>Expense</t>
        </is>
      </c>
      <c r="C152" s="6" t="inlineStr">
        <is>
          <t>6135 - Bonus</t>
        </is>
      </c>
      <c r="D152" s="22" t="n">
        <v>5105.13</v>
      </c>
      <c r="E152" s="6" t="n"/>
      <c r="F152" s="44" t="inlineStr">
        <is>
          <t>—</t>
        </is>
      </c>
      <c r="G152" s="37" t="inlineStr">
        <is>
          <t>15413 E 18th Ave</t>
        </is>
      </c>
      <c r="H152" s="45" t="n">
        <v>2024</v>
      </c>
      <c r="I152" s="44" t="inlineStr">
        <is>
          <t>Line item</t>
        </is>
      </c>
    </row>
    <row r="153">
      <c r="A153" s="6" t="inlineStr">
        <is>
          <t>15413 E 18th Ave — FY2024</t>
        </is>
      </c>
      <c r="B153" s="25" t="inlineStr">
        <is>
          <t>Expense</t>
        </is>
      </c>
      <c r="C153" s="6" t="inlineStr">
        <is>
          <t>6283 - Workers Comp Premium</t>
        </is>
      </c>
      <c r="D153" s="22" t="n">
        <v>2011.32</v>
      </c>
      <c r="E153" s="6" t="inlineStr">
        <is>
          <t>Payroll subtotal $84,368.25</t>
        </is>
      </c>
      <c r="F153" s="44" t="inlineStr">
        <is>
          <t>—</t>
        </is>
      </c>
      <c r="G153" s="37" t="inlineStr">
        <is>
          <t>15413 E 18th Ave</t>
        </is>
      </c>
      <c r="H153" s="45" t="n">
        <v>2024</v>
      </c>
      <c r="I153" s="44" t="inlineStr">
        <is>
          <t>Line item</t>
        </is>
      </c>
    </row>
    <row r="154">
      <c r="A154" s="6" t="inlineStr">
        <is>
          <t>15413 E 18th Ave — FY2024</t>
        </is>
      </c>
      <c r="B154" s="25" t="inlineStr">
        <is>
          <t>Expense</t>
        </is>
      </c>
      <c r="C154" s="6" t="inlineStr">
        <is>
          <t>6150 - Rubbish Removal</t>
        </is>
      </c>
      <c r="D154" s="22" t="n">
        <v>1454.88</v>
      </c>
      <c r="E154" s="6" t="n"/>
      <c r="F154" s="44" t="inlineStr">
        <is>
          <t>—</t>
        </is>
      </c>
      <c r="G154" s="37" t="inlineStr">
        <is>
          <t>15413 E 18th Ave</t>
        </is>
      </c>
      <c r="H154" s="45" t="n">
        <v>2024</v>
      </c>
      <c r="I154" s="44" t="inlineStr">
        <is>
          <t>Line item</t>
        </is>
      </c>
    </row>
    <row r="155">
      <c r="A155" s="6" t="inlineStr">
        <is>
          <t>15413 E 18th Ave — FY2024</t>
        </is>
      </c>
      <c r="B155" s="25" t="inlineStr">
        <is>
          <t>Expense</t>
        </is>
      </c>
      <c r="C155" s="6" t="inlineStr">
        <is>
          <t>6158 - Exterminating</t>
        </is>
      </c>
      <c r="D155" s="22" t="n">
        <v>76.06999999999999</v>
      </c>
      <c r="E155" s="6" t="n"/>
      <c r="F155" s="44" t="inlineStr">
        <is>
          <t>—</t>
        </is>
      </c>
      <c r="G155" s="37" t="inlineStr">
        <is>
          <t>15413 E 18th Ave</t>
        </is>
      </c>
      <c r="H155" s="45" t="n">
        <v>2024</v>
      </c>
      <c r="I155" s="44" t="inlineStr">
        <is>
          <t>Line item</t>
        </is>
      </c>
    </row>
    <row r="156">
      <c r="A156" s="6" t="inlineStr">
        <is>
          <t>15413 E 18th Ave — FY2024</t>
        </is>
      </c>
      <c r="B156" s="25" t="inlineStr">
        <is>
          <t>Expense</t>
        </is>
      </c>
      <c r="C156" s="6" t="inlineStr">
        <is>
          <t>6184 - Electric</t>
        </is>
      </c>
      <c r="D156" s="22" t="n">
        <v>7663.98</v>
      </c>
      <c r="E156" s="6" t="n"/>
      <c r="F156" s="44" t="inlineStr">
        <is>
          <t>—</t>
        </is>
      </c>
      <c r="G156" s="37" t="inlineStr">
        <is>
          <t>15413 E 18th Ave</t>
        </is>
      </c>
      <c r="H156" s="45" t="n">
        <v>2024</v>
      </c>
      <c r="I156" s="44" t="inlineStr">
        <is>
          <t>Line item</t>
        </is>
      </c>
    </row>
    <row r="157">
      <c r="A157" s="6" t="inlineStr">
        <is>
          <t>15413 E 18th Ave — FY2024</t>
        </is>
      </c>
      <c r="B157" s="25" t="inlineStr">
        <is>
          <t>Expense</t>
        </is>
      </c>
      <c r="C157" s="6" t="inlineStr">
        <is>
          <t>6185 - Telephone</t>
        </is>
      </c>
      <c r="D157" s="22" t="n">
        <v>2983.92</v>
      </c>
      <c r="E157" s="6" t="n"/>
      <c r="F157" s="44" t="inlineStr">
        <is>
          <t>—</t>
        </is>
      </c>
      <c r="G157" s="37" t="inlineStr">
        <is>
          <t>15413 E 18th Ave</t>
        </is>
      </c>
      <c r="H157" s="45" t="n">
        <v>2024</v>
      </c>
      <c r="I157" s="44" t="inlineStr">
        <is>
          <t>Line item</t>
        </is>
      </c>
    </row>
    <row r="158">
      <c r="A158" s="6" t="inlineStr">
        <is>
          <t>15413 E 18th Ave — FY2024</t>
        </is>
      </c>
      <c r="B158" s="25" t="inlineStr">
        <is>
          <t>Expense</t>
        </is>
      </c>
      <c r="C158" s="6" t="inlineStr">
        <is>
          <t>6186 - Water/Sewer</t>
        </is>
      </c>
      <c r="D158" s="22" t="n">
        <v>8564.280000000001</v>
      </c>
      <c r="E158" s="6" t="inlineStr">
        <is>
          <t>Utilities subtotal $20,743.13</t>
        </is>
      </c>
      <c r="F158" s="44" t="inlineStr">
        <is>
          <t>—</t>
        </is>
      </c>
      <c r="G158" s="37" t="inlineStr">
        <is>
          <t>15413 E 18th Ave</t>
        </is>
      </c>
      <c r="H158" s="45" t="n">
        <v>2024</v>
      </c>
      <c r="I158" s="44" t="inlineStr">
        <is>
          <t>Line item</t>
        </is>
      </c>
    </row>
    <row r="159">
      <c r="A159" s="6" t="inlineStr">
        <is>
          <t>15413 E 18th Ave — FY2024</t>
        </is>
      </c>
      <c r="B159" s="25" t="inlineStr">
        <is>
          <t>Expense</t>
        </is>
      </c>
      <c r="C159" s="6" t="inlineStr">
        <is>
          <t>6189 - R &amp; M Roof</t>
        </is>
      </c>
      <c r="D159" s="22" t="n">
        <v>275</v>
      </c>
      <c r="E159" s="6" t="n"/>
      <c r="F159" s="44" t="inlineStr">
        <is>
          <t>—</t>
        </is>
      </c>
      <c r="G159" s="37" t="inlineStr">
        <is>
          <t>15413 E 18th Ave</t>
        </is>
      </c>
      <c r="H159" s="45" t="n">
        <v>2024</v>
      </c>
      <c r="I159" s="44" t="inlineStr">
        <is>
          <t>Line item</t>
        </is>
      </c>
    </row>
    <row r="160">
      <c r="A160" s="6" t="inlineStr">
        <is>
          <t>15413 E 18th Ave — FY2024</t>
        </is>
      </c>
      <c r="B160" s="25" t="inlineStr">
        <is>
          <t>Expense</t>
        </is>
      </c>
      <c r="C160" s="6" t="inlineStr">
        <is>
          <t>6192 - Repairs &amp; Maintenance</t>
        </is>
      </c>
      <c r="D160" s="22" t="n">
        <v>932.75</v>
      </c>
      <c r="E160" s="6" t="n"/>
      <c r="F160" s="44" t="inlineStr">
        <is>
          <t>—</t>
        </is>
      </c>
      <c r="G160" s="37" t="inlineStr">
        <is>
          <t>15413 E 18th Ave</t>
        </is>
      </c>
      <c r="H160" s="45" t="n">
        <v>2024</v>
      </c>
      <c r="I160" s="44" t="inlineStr">
        <is>
          <t>Line item</t>
        </is>
      </c>
    </row>
    <row r="161">
      <c r="A161" s="6" t="inlineStr">
        <is>
          <t>15413 E 18th Ave — FY2024</t>
        </is>
      </c>
      <c r="B161" s="25" t="inlineStr">
        <is>
          <t>Expense</t>
        </is>
      </c>
      <c r="C161" s="6" t="inlineStr">
        <is>
          <t>6194 - R &amp; M Doors</t>
        </is>
      </c>
      <c r="D161" s="22" t="n">
        <v>3276.33</v>
      </c>
      <c r="E161" s="6" t="n"/>
      <c r="F161" s="44" t="inlineStr">
        <is>
          <t>—</t>
        </is>
      </c>
      <c r="G161" s="37" t="inlineStr">
        <is>
          <t>15413 E 18th Ave</t>
        </is>
      </c>
      <c r="H161" s="45" t="n">
        <v>2024</v>
      </c>
      <c r="I161" s="44" t="inlineStr">
        <is>
          <t>Line item</t>
        </is>
      </c>
    </row>
    <row r="162">
      <c r="A162" s="6" t="inlineStr">
        <is>
          <t>15413 E 18th Ave — FY2024</t>
        </is>
      </c>
      <c r="B162" s="25" t="inlineStr">
        <is>
          <t>Expense</t>
        </is>
      </c>
      <c r="C162" s="6" t="inlineStr">
        <is>
          <t>6195 - R &amp; M Gates</t>
        </is>
      </c>
      <c r="D162" s="22" t="n">
        <v>6755</v>
      </c>
      <c r="E162" s="6" t="n"/>
      <c r="F162" s="44" t="inlineStr">
        <is>
          <t>—</t>
        </is>
      </c>
      <c r="G162" s="37" t="inlineStr">
        <is>
          <t>15413 E 18th Ave</t>
        </is>
      </c>
      <c r="H162" s="45" t="n">
        <v>2024</v>
      </c>
      <c r="I162" s="44" t="inlineStr">
        <is>
          <t>Line item</t>
        </is>
      </c>
    </row>
    <row r="163">
      <c r="A163" s="6" t="inlineStr">
        <is>
          <t>15413 E 18th Ave — FY2024</t>
        </is>
      </c>
      <c r="B163" s="25" t="inlineStr">
        <is>
          <t>Expense</t>
        </is>
      </c>
      <c r="C163" s="6" t="inlineStr">
        <is>
          <t>6196 - R &amp; M Golf Carts</t>
        </is>
      </c>
      <c r="D163" s="22" t="n">
        <v>767.09</v>
      </c>
      <c r="E163" s="6" t="n"/>
      <c r="F163" s="44" t="inlineStr">
        <is>
          <t>—</t>
        </is>
      </c>
      <c r="G163" s="37" t="inlineStr">
        <is>
          <t>15413 E 18th Ave</t>
        </is>
      </c>
      <c r="H163" s="45" t="n">
        <v>2024</v>
      </c>
      <c r="I163" s="44" t="inlineStr">
        <is>
          <t>Line item</t>
        </is>
      </c>
    </row>
    <row r="164">
      <c r="A164" s="6" t="inlineStr">
        <is>
          <t>15413 E 18th Ave — FY2024</t>
        </is>
      </c>
      <c r="B164" s="25" t="inlineStr">
        <is>
          <t>Expense</t>
        </is>
      </c>
      <c r="C164" s="6" t="inlineStr">
        <is>
          <t>6198 - R &amp; M Cameras</t>
        </is>
      </c>
      <c r="D164" s="22" t="n">
        <v>2228.74</v>
      </c>
      <c r="E164" s="6" t="n"/>
      <c r="F164" s="44" t="inlineStr">
        <is>
          <t>—</t>
        </is>
      </c>
      <c r="G164" s="37" t="inlineStr">
        <is>
          <t>15413 E 18th Ave</t>
        </is>
      </c>
      <c r="H164" s="45" t="n">
        <v>2024</v>
      </c>
      <c r="I164" s="44" t="inlineStr">
        <is>
          <t>Line item</t>
        </is>
      </c>
    </row>
    <row r="165">
      <c r="A165" s="6" t="inlineStr">
        <is>
          <t>15413 E 18th Ave — FY2024</t>
        </is>
      </c>
      <c r="B165" s="25" t="inlineStr">
        <is>
          <t>Expense</t>
        </is>
      </c>
      <c r="C165" s="6" t="inlineStr">
        <is>
          <t>6201 - R &amp; M Fire Protection</t>
        </is>
      </c>
      <c r="D165" s="22" t="n">
        <v>85.81</v>
      </c>
      <c r="E165" s="6" t="n"/>
      <c r="F165" s="44" t="inlineStr">
        <is>
          <t>—</t>
        </is>
      </c>
      <c r="G165" s="37" t="inlineStr">
        <is>
          <t>15413 E 18th Ave</t>
        </is>
      </c>
      <c r="H165" s="45" t="n">
        <v>2024</v>
      </c>
      <c r="I165" s="44" t="inlineStr">
        <is>
          <t>Line item</t>
        </is>
      </c>
    </row>
    <row r="166">
      <c r="A166" s="6" t="inlineStr">
        <is>
          <t>15413 E 18th Ave — FY2024</t>
        </is>
      </c>
      <c r="B166" s="25" t="inlineStr">
        <is>
          <t>Expense</t>
        </is>
      </c>
      <c r="C166" s="6" t="inlineStr">
        <is>
          <t>6203 - R &amp; M Lighting/Electrical</t>
        </is>
      </c>
      <c r="D166" s="22" t="n">
        <v>575</v>
      </c>
      <c r="E166" s="6" t="n"/>
      <c r="F166" s="44" t="inlineStr">
        <is>
          <t>—</t>
        </is>
      </c>
      <c r="G166" s="37" t="inlineStr">
        <is>
          <t>15413 E 18th Ave</t>
        </is>
      </c>
      <c r="H166" s="45" t="n">
        <v>2024</v>
      </c>
      <c r="I166" s="44" t="inlineStr">
        <is>
          <t>Line item</t>
        </is>
      </c>
    </row>
    <row r="167">
      <c r="A167" s="6" t="inlineStr">
        <is>
          <t>15413 E 18th Ave — FY2024</t>
        </is>
      </c>
      <c r="B167" s="25" t="inlineStr">
        <is>
          <t>Expense</t>
        </is>
      </c>
      <c r="C167" s="6" t="inlineStr">
        <is>
          <t>6206 - R &amp; M Exterior Building Repair</t>
        </is>
      </c>
      <c r="D167" s="22" t="n">
        <v>1574.82</v>
      </c>
      <c r="E167" s="6" t="n"/>
      <c r="F167" s="44" t="inlineStr">
        <is>
          <t>—</t>
        </is>
      </c>
      <c r="G167" s="37" t="inlineStr">
        <is>
          <t>15413 E 18th Ave</t>
        </is>
      </c>
      <c r="H167" s="45" t="n">
        <v>2024</v>
      </c>
      <c r="I167" s="44" t="inlineStr">
        <is>
          <t>Line item</t>
        </is>
      </c>
    </row>
    <row r="168">
      <c r="A168" s="6" t="inlineStr">
        <is>
          <t>15413 E 18th Ave — FY2024</t>
        </is>
      </c>
      <c r="B168" s="25" t="inlineStr">
        <is>
          <t>Expense</t>
        </is>
      </c>
      <c r="C168" s="6" t="inlineStr">
        <is>
          <t>6321 - R &amp; M Apartment</t>
        </is>
      </c>
      <c r="D168" s="22" t="n">
        <v>892.25</v>
      </c>
      <c r="E168" s="6" t="inlineStr">
        <is>
          <t>R&amp;M subtotal $17,362.79</t>
        </is>
      </c>
      <c r="F168" s="44" t="inlineStr">
        <is>
          <t>—</t>
        </is>
      </c>
      <c r="G168" s="37" t="inlineStr">
        <is>
          <t>15413 E 18th Ave</t>
        </is>
      </c>
      <c r="H168" s="45" t="n">
        <v>2024</v>
      </c>
      <c r="I168" s="44" t="inlineStr">
        <is>
          <t>Line item</t>
        </is>
      </c>
    </row>
    <row r="169">
      <c r="A169" s="6" t="inlineStr">
        <is>
          <t>15413 E 18th Ave — FY2024</t>
        </is>
      </c>
      <c r="B169" s="25" t="inlineStr">
        <is>
          <t>Expense</t>
        </is>
      </c>
      <c r="C169" s="6" t="inlineStr">
        <is>
          <t>6151 - Unit Cleanouts</t>
        </is>
      </c>
      <c r="D169" s="22" t="n">
        <v>870</v>
      </c>
      <c r="E169" s="6" t="n"/>
      <c r="F169" s="44" t="inlineStr">
        <is>
          <t>—</t>
        </is>
      </c>
      <c r="G169" s="37" t="inlineStr">
        <is>
          <t>15413 E 18th Ave</t>
        </is>
      </c>
      <c r="H169" s="45" t="n">
        <v>2024</v>
      </c>
      <c r="I169" s="44" t="inlineStr">
        <is>
          <t>Line item</t>
        </is>
      </c>
    </row>
    <row r="170">
      <c r="A170" s="6" t="inlineStr">
        <is>
          <t>15413 E 18th Ave — FY2024</t>
        </is>
      </c>
      <c r="B170" s="25" t="inlineStr">
        <is>
          <t>Expense</t>
        </is>
      </c>
      <c r="C170" s="6" t="inlineStr">
        <is>
          <t>6152 - Uniforms</t>
        </is>
      </c>
      <c r="D170" s="22" t="n">
        <v>454.01</v>
      </c>
      <c r="E170" s="6" t="n"/>
      <c r="F170" s="44" t="inlineStr">
        <is>
          <t>—</t>
        </is>
      </c>
      <c r="G170" s="37" t="inlineStr">
        <is>
          <t>15413 E 18th Ave</t>
        </is>
      </c>
      <c r="H170" s="45" t="n">
        <v>2024</v>
      </c>
      <c r="I170" s="44" t="inlineStr">
        <is>
          <t>Line item</t>
        </is>
      </c>
    </row>
    <row r="171">
      <c r="A171" s="6" t="inlineStr">
        <is>
          <t>15413 E 18th Ave — FY2024</t>
        </is>
      </c>
      <c r="B171" s="25" t="inlineStr">
        <is>
          <t>Expense</t>
        </is>
      </c>
      <c r="C171" s="6" t="inlineStr">
        <is>
          <t>6159 - Sales Center</t>
        </is>
      </c>
      <c r="D171" s="22" t="n">
        <v>4140</v>
      </c>
      <c r="E171" s="6" t="n"/>
      <c r="F171" s="44" t="inlineStr">
        <is>
          <t>—</t>
        </is>
      </c>
      <c r="G171" s="37" t="inlineStr">
        <is>
          <t>15413 E 18th Ave</t>
        </is>
      </c>
      <c r="H171" s="45" t="n">
        <v>2024</v>
      </c>
      <c r="I171" s="44" t="inlineStr">
        <is>
          <t>Line item</t>
        </is>
      </c>
    </row>
    <row r="172">
      <c r="A172" s="6" t="inlineStr">
        <is>
          <t>15413 E 18th Ave — FY2024</t>
        </is>
      </c>
      <c r="B172" s="25" t="inlineStr">
        <is>
          <t>Expense</t>
        </is>
      </c>
      <c r="C172" s="6" t="inlineStr">
        <is>
          <t>6163 - Help Desk</t>
        </is>
      </c>
      <c r="D172" s="22" t="n">
        <v>534.12</v>
      </c>
      <c r="E172" s="6" t="n"/>
      <c r="F172" s="44" t="inlineStr">
        <is>
          <t>—</t>
        </is>
      </c>
      <c r="G172" s="37" t="inlineStr">
        <is>
          <t>15413 E 18th Ave</t>
        </is>
      </c>
      <c r="H172" s="45" t="n">
        <v>2024</v>
      </c>
      <c r="I172" s="44" t="inlineStr">
        <is>
          <t>Line item</t>
        </is>
      </c>
    </row>
    <row r="173">
      <c r="A173" s="6" t="inlineStr">
        <is>
          <t>15413 E 18th Ave — FY2024</t>
        </is>
      </c>
      <c r="B173" s="25" t="inlineStr">
        <is>
          <t>Expense</t>
        </is>
      </c>
      <c r="C173" s="6" t="inlineStr">
        <is>
          <t>6162 - Supplies</t>
        </is>
      </c>
      <c r="D173" s="22" t="n">
        <v>465.59</v>
      </c>
      <c r="E173" s="6" t="n"/>
      <c r="F173" s="44" t="inlineStr">
        <is>
          <t>—</t>
        </is>
      </c>
      <c r="G173" s="37" t="inlineStr">
        <is>
          <t>15413 E 18th Ave</t>
        </is>
      </c>
      <c r="H173" s="45" t="n">
        <v>2024</v>
      </c>
      <c r="I173" s="44" t="inlineStr">
        <is>
          <t>Line item</t>
        </is>
      </c>
    </row>
    <row r="174">
      <c r="A174" s="6" t="inlineStr">
        <is>
          <t>15413 E 18th Ave — FY2024</t>
        </is>
      </c>
      <c r="B174" s="25" t="inlineStr">
        <is>
          <t>Expense</t>
        </is>
      </c>
      <c r="C174" s="6" t="inlineStr">
        <is>
          <t>6164 - Sale Items</t>
        </is>
      </c>
      <c r="D174" s="22" t="n">
        <v>3347.05</v>
      </c>
      <c r="E174" s="6" t="n"/>
      <c r="F174" s="44" t="inlineStr">
        <is>
          <t>—</t>
        </is>
      </c>
      <c r="G174" s="37" t="inlineStr">
        <is>
          <t>15413 E 18th Ave</t>
        </is>
      </c>
      <c r="H174" s="45" t="n">
        <v>2024</v>
      </c>
      <c r="I174" s="44" t="inlineStr">
        <is>
          <t>Line item</t>
        </is>
      </c>
    </row>
    <row r="175">
      <c r="A175" s="6" t="inlineStr">
        <is>
          <t>15413 E 18th Ave — FY2024</t>
        </is>
      </c>
      <c r="B175" s="25" t="inlineStr">
        <is>
          <t>Expense</t>
        </is>
      </c>
      <c r="C175" s="6" t="inlineStr">
        <is>
          <t>6168 - Dues &amp; Subscriptions</t>
        </is>
      </c>
      <c r="D175" s="22" t="n">
        <v>133.59</v>
      </c>
      <c r="E175" s="6" t="n"/>
      <c r="F175" s="44" t="inlineStr">
        <is>
          <t>—</t>
        </is>
      </c>
      <c r="G175" s="37" t="inlineStr">
        <is>
          <t>15413 E 18th Ave</t>
        </is>
      </c>
      <c r="H175" s="45" t="n">
        <v>2024</v>
      </c>
      <c r="I175" s="44" t="inlineStr">
        <is>
          <t>Line item</t>
        </is>
      </c>
    </row>
    <row r="176">
      <c r="A176" s="6" t="inlineStr">
        <is>
          <t>15413 E 18th Ave — FY2024</t>
        </is>
      </c>
      <c r="B176" s="25" t="inlineStr">
        <is>
          <t>Expense</t>
        </is>
      </c>
      <c r="C176" s="6" t="inlineStr">
        <is>
          <t>6170 - Landscaping</t>
        </is>
      </c>
      <c r="D176" s="22" t="n">
        <v>18153.74</v>
      </c>
      <c r="E176" s="6" t="n"/>
      <c r="F176" s="44" t="inlineStr">
        <is>
          <t>—</t>
        </is>
      </c>
      <c r="G176" s="37" t="inlineStr">
        <is>
          <t>15413 E 18th Ave</t>
        </is>
      </c>
      <c r="H176" s="45" t="n">
        <v>2024</v>
      </c>
      <c r="I176" s="44" t="inlineStr">
        <is>
          <t>Line item</t>
        </is>
      </c>
    </row>
    <row r="177">
      <c r="A177" s="6" t="inlineStr">
        <is>
          <t>15413 E 18th Ave — FY2024</t>
        </is>
      </c>
      <c r="B177" s="25" t="inlineStr">
        <is>
          <t>Expense</t>
        </is>
      </c>
      <c r="C177" s="6" t="inlineStr">
        <is>
          <t>6174 - Signs</t>
        </is>
      </c>
      <c r="D177" s="22" t="n">
        <v>78.36</v>
      </c>
      <c r="E177" s="6" t="n"/>
      <c r="F177" s="44" t="inlineStr">
        <is>
          <t>—</t>
        </is>
      </c>
      <c r="G177" s="37" t="inlineStr">
        <is>
          <t>15413 E 18th Ave</t>
        </is>
      </c>
      <c r="H177" s="45" t="n">
        <v>2024</v>
      </c>
      <c r="I177" s="44" t="inlineStr">
        <is>
          <t>Line item</t>
        </is>
      </c>
    </row>
    <row r="178">
      <c r="A178" s="6" t="inlineStr">
        <is>
          <t>15413 E 18th Ave — FY2024</t>
        </is>
      </c>
      <c r="B178" s="25" t="inlineStr">
        <is>
          <t>Expense</t>
        </is>
      </c>
      <c r="C178" s="6" t="inlineStr">
        <is>
          <t>6176 - Teammate Mileage</t>
        </is>
      </c>
      <c r="D178" s="22" t="n">
        <v>1430.56</v>
      </c>
      <c r="E178" s="6" t="n"/>
      <c r="F178" s="44" t="inlineStr">
        <is>
          <t>—</t>
        </is>
      </c>
      <c r="G178" s="37" t="inlineStr">
        <is>
          <t>15413 E 18th Ave</t>
        </is>
      </c>
      <c r="H178" s="45" t="n">
        <v>2024</v>
      </c>
      <c r="I178" s="44" t="inlineStr">
        <is>
          <t>Line item</t>
        </is>
      </c>
    </row>
    <row r="179">
      <c r="A179" s="6" t="inlineStr">
        <is>
          <t>15413 E 18th Ave — FY2024</t>
        </is>
      </c>
      <c r="B179" s="25" t="inlineStr">
        <is>
          <t>Expense</t>
        </is>
      </c>
      <c r="C179" s="6" t="inlineStr">
        <is>
          <t>6182 - Fees &amp; Licenses</t>
        </is>
      </c>
      <c r="D179" s="22" t="n">
        <v>914.6</v>
      </c>
      <c r="E179" s="6" t="n"/>
      <c r="F179" s="44" t="inlineStr">
        <is>
          <t>—</t>
        </is>
      </c>
      <c r="G179" s="37" t="inlineStr">
        <is>
          <t>15413 E 18th Ave</t>
        </is>
      </c>
      <c r="H179" s="45" t="n">
        <v>2024</v>
      </c>
      <c r="I179" s="44" t="inlineStr">
        <is>
          <t>Line item</t>
        </is>
      </c>
    </row>
    <row r="180">
      <c r="A180" s="6" t="inlineStr">
        <is>
          <t>15413 E 18th Ave — FY2024</t>
        </is>
      </c>
      <c r="B180" s="25" t="inlineStr">
        <is>
          <t>Expense</t>
        </is>
      </c>
      <c r="C180" s="6" t="inlineStr">
        <is>
          <t>6190 - Postage</t>
        </is>
      </c>
      <c r="D180" s="22" t="n">
        <v>869.38</v>
      </c>
      <c r="E180" s="6" t="n"/>
      <c r="F180" s="44" t="inlineStr">
        <is>
          <t>—</t>
        </is>
      </c>
      <c r="G180" s="37" t="inlineStr">
        <is>
          <t>15413 E 18th Ave</t>
        </is>
      </c>
      <c r="H180" s="45" t="n">
        <v>2024</v>
      </c>
      <c r="I180" s="44" t="inlineStr">
        <is>
          <t>Line item</t>
        </is>
      </c>
    </row>
    <row r="181">
      <c r="A181" s="6" t="inlineStr">
        <is>
          <t>15413 E 18th Ave — FY2024</t>
        </is>
      </c>
      <c r="B181" s="25" t="inlineStr">
        <is>
          <t>Expense</t>
        </is>
      </c>
      <c r="C181" s="6" t="inlineStr">
        <is>
          <t>6212 - Office Supplies</t>
        </is>
      </c>
      <c r="D181" s="22" t="n">
        <v>698.04</v>
      </c>
      <c r="E181" s="6" t="n"/>
      <c r="F181" s="44" t="inlineStr">
        <is>
          <t>—</t>
        </is>
      </c>
      <c r="G181" s="37" t="inlineStr">
        <is>
          <t>15413 E 18th Ave</t>
        </is>
      </c>
      <c r="H181" s="45" t="n">
        <v>2024</v>
      </c>
      <c r="I181" s="44" t="inlineStr">
        <is>
          <t>Line item</t>
        </is>
      </c>
    </row>
    <row r="182">
      <c r="A182" s="6" t="inlineStr">
        <is>
          <t>15413 E 18th Ave — FY2024</t>
        </is>
      </c>
      <c r="B182" s="25" t="inlineStr">
        <is>
          <t>Expense</t>
        </is>
      </c>
      <c r="C182" s="6" t="inlineStr">
        <is>
          <t>6218 - Printing Expense</t>
        </is>
      </c>
      <c r="D182" s="22" t="n">
        <v>36.61</v>
      </c>
      <c r="E182" s="6" t="n"/>
      <c r="F182" s="44" t="inlineStr">
        <is>
          <t>—</t>
        </is>
      </c>
      <c r="G182" s="37" t="inlineStr">
        <is>
          <t>15413 E 18th Ave</t>
        </is>
      </c>
      <c r="H182" s="45" t="n">
        <v>2024</v>
      </c>
      <c r="I182" s="44" t="inlineStr">
        <is>
          <t>Line item</t>
        </is>
      </c>
    </row>
    <row r="183">
      <c r="A183" s="6" t="inlineStr">
        <is>
          <t>15413 E 18th Ave — FY2024</t>
        </is>
      </c>
      <c r="B183" s="25" t="inlineStr">
        <is>
          <t>Expense</t>
        </is>
      </c>
      <c r="C183" s="6" t="inlineStr">
        <is>
          <t>6220 - Equipment</t>
        </is>
      </c>
      <c r="D183" s="22" t="n">
        <v>1390.33</v>
      </c>
      <c r="E183" s="6" t="n"/>
      <c r="F183" s="44" t="inlineStr">
        <is>
          <t>—</t>
        </is>
      </c>
      <c r="G183" s="37" t="inlineStr">
        <is>
          <t>15413 E 18th Ave</t>
        </is>
      </c>
      <c r="H183" s="45" t="n">
        <v>2024</v>
      </c>
      <c r="I183" s="44" t="inlineStr">
        <is>
          <t>Line item</t>
        </is>
      </c>
    </row>
    <row r="184">
      <c r="A184" s="6" t="inlineStr">
        <is>
          <t>15413 E 18th Ave — FY2024</t>
        </is>
      </c>
      <c r="B184" s="25" t="inlineStr">
        <is>
          <t>Expense</t>
        </is>
      </c>
      <c r="C184" s="6" t="inlineStr">
        <is>
          <t>6224 - Computer Equipment - Non Capex</t>
        </is>
      </c>
      <c r="D184" s="22" t="n">
        <v>1274.08</v>
      </c>
      <c r="E184" s="6" t="n"/>
      <c r="F184" s="44" t="inlineStr">
        <is>
          <t>—</t>
        </is>
      </c>
      <c r="G184" s="37" t="inlineStr">
        <is>
          <t>15413 E 18th Ave</t>
        </is>
      </c>
      <c r="H184" s="45" t="n">
        <v>2024</v>
      </c>
      <c r="I184" s="44" t="inlineStr">
        <is>
          <t>Line item</t>
        </is>
      </c>
    </row>
    <row r="185">
      <c r="A185" s="6" t="inlineStr">
        <is>
          <t>15413 E 18th Ave — FY2024</t>
        </is>
      </c>
      <c r="B185" s="25" t="inlineStr">
        <is>
          <t>Expense</t>
        </is>
      </c>
      <c r="C185" s="6" t="inlineStr">
        <is>
          <t>6225 - CMS License Fee</t>
        </is>
      </c>
      <c r="D185" s="22" t="n">
        <v>2347.44</v>
      </c>
      <c r="E185" s="6" t="n"/>
      <c r="F185" s="44" t="inlineStr">
        <is>
          <t>—</t>
        </is>
      </c>
      <c r="G185" s="37" t="inlineStr">
        <is>
          <t>15413 E 18th Ave</t>
        </is>
      </c>
      <c r="H185" s="45" t="n">
        <v>2024</v>
      </c>
      <c r="I185" s="44" t="inlineStr">
        <is>
          <t>Line item</t>
        </is>
      </c>
    </row>
    <row r="186">
      <c r="A186" s="6" t="inlineStr">
        <is>
          <t>15413 E 18th Ave — FY2024</t>
        </is>
      </c>
      <c r="B186" s="25" t="inlineStr">
        <is>
          <t>Expense</t>
        </is>
      </c>
      <c r="C186" s="6" t="inlineStr">
        <is>
          <t>6228 - Bank Adjustments</t>
        </is>
      </c>
      <c r="D186" s="22" t="n">
        <v>1.1</v>
      </c>
      <c r="E186" s="6" t="n"/>
      <c r="F186" s="44" t="inlineStr">
        <is>
          <t>—</t>
        </is>
      </c>
      <c r="G186" s="37" t="inlineStr">
        <is>
          <t>15413 E 18th Ave</t>
        </is>
      </c>
      <c r="H186" s="45" t="n">
        <v>2024</v>
      </c>
      <c r="I186" s="44" t="inlineStr">
        <is>
          <t>Line item</t>
        </is>
      </c>
    </row>
    <row r="187">
      <c r="A187" s="6" t="inlineStr">
        <is>
          <t>15413 E 18th Ave — FY2024</t>
        </is>
      </c>
      <c r="B187" s="25" t="inlineStr">
        <is>
          <t>Expense</t>
        </is>
      </c>
      <c r="C187" s="6" t="inlineStr">
        <is>
          <t>6231 - Loss &amp; Damage</t>
        </is>
      </c>
      <c r="D187" s="22" t="n">
        <v>20</v>
      </c>
      <c r="E187" s="6" t="n"/>
      <c r="F187" s="44" t="inlineStr">
        <is>
          <t>—</t>
        </is>
      </c>
      <c r="G187" s="37" t="inlineStr">
        <is>
          <t>15413 E 18th Ave</t>
        </is>
      </c>
      <c r="H187" s="45" t="n">
        <v>2024</v>
      </c>
      <c r="I187" s="44" t="inlineStr">
        <is>
          <t>Line item</t>
        </is>
      </c>
    </row>
    <row r="188">
      <c r="A188" s="6" t="inlineStr">
        <is>
          <t>15413 E 18th Ave — FY2024</t>
        </is>
      </c>
      <c r="B188" s="25" t="inlineStr">
        <is>
          <t>Expense</t>
        </is>
      </c>
      <c r="C188" s="6" t="inlineStr">
        <is>
          <t>6232 - Visa/Mastercard Fees</t>
        </is>
      </c>
      <c r="D188" s="22" t="n">
        <v>9072.469999999999</v>
      </c>
      <c r="E188" s="6" t="n"/>
      <c r="F188" s="44" t="inlineStr">
        <is>
          <t>—</t>
        </is>
      </c>
      <c r="G188" s="37" t="inlineStr">
        <is>
          <t>15413 E 18th Ave</t>
        </is>
      </c>
      <c r="H188" s="45" t="n">
        <v>2024</v>
      </c>
      <c r="I188" s="44" t="inlineStr">
        <is>
          <t>Line item</t>
        </is>
      </c>
    </row>
    <row r="189">
      <c r="A189" s="6" t="inlineStr">
        <is>
          <t>15413 E 18th Ave — FY2024</t>
        </is>
      </c>
      <c r="B189" s="25" t="inlineStr">
        <is>
          <t>Expense</t>
        </is>
      </c>
      <c r="C189" s="6" t="inlineStr">
        <is>
          <t>6233 - American Express Fees</t>
        </is>
      </c>
      <c r="D189" s="22" t="n">
        <v>1033.36</v>
      </c>
      <c r="E189" s="6" t="n"/>
      <c r="F189" s="44" t="inlineStr">
        <is>
          <t>—</t>
        </is>
      </c>
      <c r="G189" s="37" t="inlineStr">
        <is>
          <t>15413 E 18th Ave</t>
        </is>
      </c>
      <c r="H189" s="45" t="n">
        <v>2024</v>
      </c>
      <c r="I189" s="44" t="inlineStr">
        <is>
          <t>Line item</t>
        </is>
      </c>
    </row>
    <row r="190">
      <c r="A190" s="6" t="inlineStr">
        <is>
          <t>15413 E 18th Ave — FY2024</t>
        </is>
      </c>
      <c r="B190" s="25" t="inlineStr">
        <is>
          <t>Expense</t>
        </is>
      </c>
      <c r="C190" s="6" t="inlineStr">
        <is>
          <t>6235 - ACH Fees</t>
        </is>
      </c>
      <c r="D190" s="22" t="n">
        <v>3.6</v>
      </c>
      <c r="E190" s="6" t="n"/>
      <c r="F190" s="44" t="inlineStr">
        <is>
          <t>—</t>
        </is>
      </c>
      <c r="G190" s="37" t="inlineStr">
        <is>
          <t>15413 E 18th Ave</t>
        </is>
      </c>
      <c r="H190" s="45" t="n">
        <v>2024</v>
      </c>
      <c r="I190" s="44" t="inlineStr">
        <is>
          <t>Line item</t>
        </is>
      </c>
    </row>
    <row r="191">
      <c r="A191" s="6" t="inlineStr">
        <is>
          <t>15413 E 18th Ave — FY2024</t>
        </is>
      </c>
      <c r="B191" s="25" t="inlineStr">
        <is>
          <t>Expense</t>
        </is>
      </c>
      <c r="C191" s="6" t="inlineStr">
        <is>
          <t>6234 - IT - Repairs and Services</t>
        </is>
      </c>
      <c r="D191" s="22" t="n">
        <v>280</v>
      </c>
      <c r="E191" s="6" t="n"/>
      <c r="F191" s="44" t="inlineStr">
        <is>
          <t>—</t>
        </is>
      </c>
      <c r="G191" s="37" t="inlineStr">
        <is>
          <t>15413 E 18th Ave</t>
        </is>
      </c>
      <c r="H191" s="45" t="n">
        <v>2024</v>
      </c>
      <c r="I191" s="44" t="inlineStr">
        <is>
          <t>Line item</t>
        </is>
      </c>
    </row>
    <row r="192">
      <c r="A192" s="6" t="inlineStr">
        <is>
          <t>15413 E 18th Ave — FY2024</t>
        </is>
      </c>
      <c r="B192" s="25" t="inlineStr">
        <is>
          <t>Expense</t>
        </is>
      </c>
      <c r="C192" s="6" t="inlineStr">
        <is>
          <t>6256 - Legal/Auction</t>
        </is>
      </c>
      <c r="D192" s="22" t="n">
        <v>589.6799999999999</v>
      </c>
      <c r="E192" s="6" t="inlineStr">
        <is>
          <t>Other controllable subtotal $48,137.71</t>
        </is>
      </c>
      <c r="F192" s="44" t="inlineStr">
        <is>
          <t>—</t>
        </is>
      </c>
      <c r="G192" s="37" t="inlineStr">
        <is>
          <t>15413 E 18th Ave</t>
        </is>
      </c>
      <c r="H192" s="45" t="n">
        <v>2024</v>
      </c>
      <c r="I192" s="44" t="inlineStr">
        <is>
          <t>Line item</t>
        </is>
      </c>
    </row>
    <row r="193">
      <c r="A193" s="6" t="inlineStr">
        <is>
          <t>15413 E 18th Ave — FY2024</t>
        </is>
      </c>
      <c r="B193" s="25" t="inlineStr">
        <is>
          <t>Expense</t>
        </is>
      </c>
      <c r="C193" s="6" t="inlineStr">
        <is>
          <t>6365 - Internet/Website Costs</t>
        </is>
      </c>
      <c r="D193" s="22" t="n">
        <v>25650.11</v>
      </c>
      <c r="E193" s="6" t="n"/>
      <c r="F193" s="44" t="inlineStr">
        <is>
          <t>—</t>
        </is>
      </c>
      <c r="G193" s="37" t="inlineStr">
        <is>
          <t>15413 E 18th Ave</t>
        </is>
      </c>
      <c r="H193" s="45" t="n">
        <v>2024</v>
      </c>
      <c r="I193" s="44" t="inlineStr">
        <is>
          <t>Line item</t>
        </is>
      </c>
    </row>
    <row r="194">
      <c r="A194" s="6" t="inlineStr">
        <is>
          <t>15413 E 18th Ave — FY2024</t>
        </is>
      </c>
      <c r="B194" s="25" t="inlineStr">
        <is>
          <t>Expense</t>
        </is>
      </c>
      <c r="C194" s="6" t="inlineStr">
        <is>
          <t>6375 - Store Marketing</t>
        </is>
      </c>
      <c r="D194" s="22" t="n">
        <v>324.55</v>
      </c>
      <c r="E194" s="6" t="inlineStr">
        <is>
          <t>Marketing subtotal $25,974.66; controllable expenses $196,586.54</t>
        </is>
      </c>
      <c r="F194" s="44" t="inlineStr">
        <is>
          <t>—</t>
        </is>
      </c>
      <c r="G194" s="37" t="inlineStr">
        <is>
          <t>15413 E 18th Ave</t>
        </is>
      </c>
      <c r="H194" s="45" t="n">
        <v>2024</v>
      </c>
      <c r="I194" s="44" t="inlineStr">
        <is>
          <t>Line item</t>
        </is>
      </c>
    </row>
    <row r="195">
      <c r="A195" s="6" t="inlineStr">
        <is>
          <t>15413 E 18th Ave — FY2024</t>
        </is>
      </c>
      <c r="B195" s="25" t="inlineStr">
        <is>
          <t>Expense</t>
        </is>
      </c>
      <c r="C195" s="6" t="inlineStr">
        <is>
          <t>7030 - Sales Tax Collection Allowance (offset)</t>
        </is>
      </c>
      <c r="D195" s="22" t="n">
        <v>-14.31</v>
      </c>
      <c r="E195" s="6" t="n"/>
      <c r="F195" s="44" t="inlineStr">
        <is>
          <t>—</t>
        </is>
      </c>
      <c r="G195" s="37" t="inlineStr">
        <is>
          <t>15413 E 18th Ave</t>
        </is>
      </c>
      <c r="H195" s="45" t="n">
        <v>2024</v>
      </c>
      <c r="I195" s="44" t="inlineStr">
        <is>
          <t>Line item</t>
        </is>
      </c>
    </row>
    <row r="196">
      <c r="A196" s="6" t="inlineStr">
        <is>
          <t>15413 E 18th Ave — FY2024</t>
        </is>
      </c>
      <c r="B196" s="25" t="inlineStr">
        <is>
          <t>Expense</t>
        </is>
      </c>
      <c r="C196" s="6" t="inlineStr">
        <is>
          <t>7240 - Gross Receipts Tax (property tax)</t>
        </is>
      </c>
      <c r="D196" s="22" t="n">
        <v>246826.26</v>
      </c>
      <c r="E196" s="6" t="n"/>
      <c r="F196" s="44" t="inlineStr">
        <is>
          <t>—</t>
        </is>
      </c>
      <c r="G196" s="37" t="inlineStr">
        <is>
          <t>15413 E 18th Ave</t>
        </is>
      </c>
      <c r="H196" s="45" t="n">
        <v>2024</v>
      </c>
      <c r="I196" s="44" t="inlineStr">
        <is>
          <t>Line item</t>
        </is>
      </c>
    </row>
    <row r="197">
      <c r="A197" s="6" t="inlineStr">
        <is>
          <t>15413 E 18th Ave — FY2024</t>
        </is>
      </c>
      <c r="B197" s="25" t="inlineStr">
        <is>
          <t>Expense</t>
        </is>
      </c>
      <c r="C197" s="6" t="inlineStr">
        <is>
          <t>6280 - Insurance</t>
        </is>
      </c>
      <c r="D197" s="22" t="n">
        <v>10522.42</v>
      </c>
      <c r="E197" s="6" t="n"/>
      <c r="F197" s="44" t="inlineStr">
        <is>
          <t>—</t>
        </is>
      </c>
      <c r="G197" s="37" t="inlineStr">
        <is>
          <t>15413 E 18th Ave</t>
        </is>
      </c>
      <c r="H197" s="45" t="n">
        <v>2024</v>
      </c>
      <c r="I197" s="44" t="inlineStr">
        <is>
          <t>Line item</t>
        </is>
      </c>
    </row>
    <row r="198">
      <c r="A198" s="6" t="inlineStr">
        <is>
          <t>15413 E 18th Ave — FY2024</t>
        </is>
      </c>
      <c r="B198" s="25" t="inlineStr">
        <is>
          <t>Expense</t>
        </is>
      </c>
      <c r="C198" s="6" t="inlineStr">
        <is>
          <t>6172 - Snow Removal &amp; Salting</t>
        </is>
      </c>
      <c r="D198" s="22" t="n">
        <v>3890</v>
      </c>
      <c r="E198" s="6" t="n"/>
      <c r="F198" s="44" t="inlineStr">
        <is>
          <t>—</t>
        </is>
      </c>
      <c r="G198" s="37" t="inlineStr">
        <is>
          <t>15413 E 18th Ave</t>
        </is>
      </c>
      <c r="H198" s="45" t="n">
        <v>2024</v>
      </c>
      <c r="I198" s="44" t="inlineStr">
        <is>
          <t>Line item</t>
        </is>
      </c>
    </row>
    <row r="199">
      <c r="A199" s="6" t="inlineStr">
        <is>
          <t>15413 E 18th Ave — FY2024</t>
        </is>
      </c>
      <c r="B199" s="25" t="inlineStr">
        <is>
          <t>Expense</t>
        </is>
      </c>
      <c r="C199" s="6" t="inlineStr">
        <is>
          <t>7530 - Professional Fees</t>
        </is>
      </c>
      <c r="D199" s="22" t="n">
        <v>350</v>
      </c>
      <c r="E199" s="6" t="n"/>
      <c r="F199" s="44" t="inlineStr">
        <is>
          <t>—</t>
        </is>
      </c>
      <c r="G199" s="37" t="inlineStr">
        <is>
          <t>15413 E 18th Ave</t>
        </is>
      </c>
      <c r="H199" s="45" t="n">
        <v>2024</v>
      </c>
      <c r="I199" s="44" t="inlineStr">
        <is>
          <t>Line item</t>
        </is>
      </c>
    </row>
    <row r="200">
      <c r="A200" s="6" t="inlineStr">
        <is>
          <t>15413 E 18th Ave — FY2024</t>
        </is>
      </c>
      <c r="B200" s="25" t="inlineStr">
        <is>
          <t>Expense</t>
        </is>
      </c>
      <c r="C200" s="6" t="inlineStr">
        <is>
          <t>6801 - Third Party Management Fees</t>
        </is>
      </c>
      <c r="D200" s="22" t="n">
        <v>41598.27</v>
      </c>
      <c r="E200" s="6" t="inlineStr">
        <is>
          <t>Non-controllable expenses $303,172.64</t>
        </is>
      </c>
      <c r="F200" s="44" t="inlineStr">
        <is>
          <t>—</t>
        </is>
      </c>
      <c r="G200" s="37" t="inlineStr">
        <is>
          <t>15413 E 18th Ave</t>
        </is>
      </c>
      <c r="H200" s="45" t="n">
        <v>2024</v>
      </c>
      <c r="I200" s="44" t="inlineStr">
        <is>
          <t>Line item</t>
        </is>
      </c>
    </row>
    <row r="201">
      <c r="A201" s="11" t="inlineStr">
        <is>
          <t>15413 E 18th Ave — FY2024</t>
        </is>
      </c>
      <c r="B201" s="26" t="inlineStr">
        <is>
          <t>Expense</t>
        </is>
      </c>
      <c r="C201" s="12" t="inlineStr">
        <is>
          <t>TOTAL EXPENSE</t>
        </is>
      </c>
      <c r="D201" s="23">
        <f>SUM(D147:D200)</f>
        <v/>
      </c>
      <c r="E201" s="18" t="inlineStr">
        <is>
          <t>Printed total: $499,759.18. NOI per statement $283,364.07 (accrual, store-level).</t>
        </is>
      </c>
      <c r="F201" s="46" t="inlineStr">
        <is>
          <t>—</t>
        </is>
      </c>
      <c r="G201" s="36" t="inlineStr">
        <is>
          <t>15413 E 18th Ave</t>
        </is>
      </c>
      <c r="H201" s="47" t="n">
        <v>2024</v>
      </c>
      <c r="I201" s="46" t="inlineStr">
        <is>
          <t>Total</t>
        </is>
      </c>
    </row>
    <row r="202">
      <c r="A202" s="6" t="inlineStr">
        <is>
          <t>10350 Washington St — FY2024</t>
        </is>
      </c>
      <c r="B202" s="25" t="inlineStr">
        <is>
          <t>Income</t>
        </is>
      </c>
      <c r="C202" s="6" t="inlineStr">
        <is>
          <t>45050 - Storage Rents</t>
        </is>
      </c>
      <c r="D202" s="22" t="n">
        <v>702708.05</v>
      </c>
      <c r="E202" s="6" t="n"/>
      <c r="F202" s="44" t="inlineStr">
        <is>
          <t>—</t>
        </is>
      </c>
      <c r="G202" s="37" t="inlineStr">
        <is>
          <t>10350 Washington St</t>
        </is>
      </c>
      <c r="H202" s="45" t="n">
        <v>2024</v>
      </c>
      <c r="I202" s="44" t="inlineStr">
        <is>
          <t>Line item</t>
        </is>
      </c>
    </row>
    <row r="203">
      <c r="A203" s="6" t="inlineStr">
        <is>
          <t>10350 Washington St — FY2024</t>
        </is>
      </c>
      <c r="B203" s="25" t="inlineStr">
        <is>
          <t>Income</t>
        </is>
      </c>
      <c r="C203" s="6" t="inlineStr">
        <is>
          <t>45100 - Merchandise Sales</t>
        </is>
      </c>
      <c r="D203" s="22" t="n">
        <v>5824.04</v>
      </c>
      <c r="E203" s="6" t="n"/>
      <c r="F203" s="44" t="inlineStr">
        <is>
          <t>—</t>
        </is>
      </c>
      <c r="G203" s="37" t="inlineStr">
        <is>
          <t>10350 Washington St</t>
        </is>
      </c>
      <c r="H203" s="45" t="n">
        <v>2024</v>
      </c>
      <c r="I203" s="44" t="inlineStr">
        <is>
          <t>Line item</t>
        </is>
      </c>
    </row>
    <row r="204">
      <c r="A204" s="6" t="inlineStr">
        <is>
          <t>10350 Washington St — FY2024</t>
        </is>
      </c>
      <c r="B204" s="25" t="inlineStr">
        <is>
          <t>Income</t>
        </is>
      </c>
      <c r="C204" s="6" t="inlineStr">
        <is>
          <t>45125 - Commercial Truck Rental</t>
        </is>
      </c>
      <c r="D204" s="22" t="n">
        <v>2330.89</v>
      </c>
      <c r="E204" s="6" t="n"/>
      <c r="F204" s="44" t="inlineStr">
        <is>
          <t>—</t>
        </is>
      </c>
      <c r="G204" s="37" t="inlineStr">
        <is>
          <t>10350 Washington St</t>
        </is>
      </c>
      <c r="H204" s="45" t="n">
        <v>2024</v>
      </c>
      <c r="I204" s="44" t="inlineStr">
        <is>
          <t>Line item</t>
        </is>
      </c>
    </row>
    <row r="205">
      <c r="A205" s="6" t="inlineStr">
        <is>
          <t>10350 Washington St — FY2024</t>
        </is>
      </c>
      <c r="B205" s="25" t="inlineStr">
        <is>
          <t>Income</t>
        </is>
      </c>
      <c r="C205" s="6" t="inlineStr">
        <is>
          <t>45150 - Penske Truck Rental</t>
        </is>
      </c>
      <c r="D205" s="22" t="n">
        <v>50532.36</v>
      </c>
      <c r="E205" s="6" t="inlineStr">
        <is>
          <t>Operating revenue subtotal $761,395.34</t>
        </is>
      </c>
      <c r="F205" s="44" t="inlineStr">
        <is>
          <t>—</t>
        </is>
      </c>
      <c r="G205" s="37" t="inlineStr">
        <is>
          <t>10350 Washington St</t>
        </is>
      </c>
      <c r="H205" s="45" t="n">
        <v>2024</v>
      </c>
      <c r="I205" s="44" t="inlineStr">
        <is>
          <t>Line item</t>
        </is>
      </c>
    </row>
    <row r="206">
      <c r="A206" s="6" t="inlineStr">
        <is>
          <t>10350 Washington St — FY2024</t>
        </is>
      </c>
      <c r="B206" s="25" t="inlineStr">
        <is>
          <t>Income</t>
        </is>
      </c>
      <c r="C206" s="6" t="inlineStr">
        <is>
          <t>46050 - Administrative Fee</t>
        </is>
      </c>
      <c r="D206" s="22" t="n">
        <v>4976</v>
      </c>
      <c r="E206" s="6" t="n"/>
      <c r="F206" s="44" t="inlineStr">
        <is>
          <t>—</t>
        </is>
      </c>
      <c r="G206" s="37" t="inlineStr">
        <is>
          <t>10350 Washington St</t>
        </is>
      </c>
      <c r="H206" s="45" t="n">
        <v>2024</v>
      </c>
      <c r="I206" s="44" t="inlineStr">
        <is>
          <t>Line item</t>
        </is>
      </c>
    </row>
    <row r="207">
      <c r="A207" s="6" t="inlineStr">
        <is>
          <t>10350 Washington St — FY2024</t>
        </is>
      </c>
      <c r="B207" s="25" t="inlineStr">
        <is>
          <t>Income</t>
        </is>
      </c>
      <c r="C207" s="6" t="inlineStr">
        <is>
          <t>46200 - Late Fee</t>
        </is>
      </c>
      <c r="D207" s="22" t="n">
        <v>20675</v>
      </c>
      <c r="E207" s="6" t="n"/>
      <c r="F207" s="44" t="inlineStr">
        <is>
          <t>—</t>
        </is>
      </c>
      <c r="G207" s="37" t="inlineStr">
        <is>
          <t>10350 Washington St</t>
        </is>
      </c>
      <c r="H207" s="45" t="n">
        <v>2024</v>
      </c>
      <c r="I207" s="44" t="inlineStr">
        <is>
          <t>Line item</t>
        </is>
      </c>
    </row>
    <row r="208">
      <c r="A208" s="6" t="inlineStr">
        <is>
          <t>10350 Washington St — FY2024</t>
        </is>
      </c>
      <c r="B208" s="25" t="inlineStr">
        <is>
          <t>Income</t>
        </is>
      </c>
      <c r="C208" s="6" t="inlineStr">
        <is>
          <t>46300 - NSF Fee</t>
        </is>
      </c>
      <c r="D208" s="22" t="n">
        <v>25</v>
      </c>
      <c r="E208" s="6" t="n"/>
      <c r="F208" s="44" t="inlineStr">
        <is>
          <t>—</t>
        </is>
      </c>
      <c r="G208" s="37" t="inlineStr">
        <is>
          <t>10350 Washington St</t>
        </is>
      </c>
      <c r="H208" s="45" t="n">
        <v>2024</v>
      </c>
      <c r="I208" s="44" t="inlineStr">
        <is>
          <t>Line item</t>
        </is>
      </c>
    </row>
    <row r="209">
      <c r="A209" s="6" t="inlineStr">
        <is>
          <t>10350 Washington St — FY2024</t>
        </is>
      </c>
      <c r="B209" s="25" t="inlineStr">
        <is>
          <t>Income</t>
        </is>
      </c>
      <c r="C209" s="6" t="inlineStr">
        <is>
          <t>43500 - Miscellaneous Income</t>
        </is>
      </c>
      <c r="D209" s="22" t="n">
        <v>3314.87</v>
      </c>
      <c r="E209" s="6" t="inlineStr">
        <is>
          <t>Other revenue subtotal $28,990.87</t>
        </is>
      </c>
      <c r="F209" s="44" t="inlineStr">
        <is>
          <t>—</t>
        </is>
      </c>
      <c r="G209" s="37" t="inlineStr">
        <is>
          <t>10350 Washington St</t>
        </is>
      </c>
      <c r="H209" s="45" t="n">
        <v>2024</v>
      </c>
      <c r="I209" s="44" t="inlineStr">
        <is>
          <t>Line item</t>
        </is>
      </c>
    </row>
    <row r="210">
      <c r="A210" s="11" t="inlineStr">
        <is>
          <t>10350 Washington St — FY2024</t>
        </is>
      </c>
      <c r="B210" s="26" t="inlineStr">
        <is>
          <t>Income</t>
        </is>
      </c>
      <c r="C210" s="12" t="inlineStr">
        <is>
          <t>TOTAL INCOME</t>
        </is>
      </c>
      <c r="D210" s="23">
        <f>SUM(D202:D209)</f>
        <v/>
      </c>
      <c r="E210" s="18" t="inlineStr">
        <is>
          <t>Printed total: $790,386.21.</t>
        </is>
      </c>
      <c r="F210" s="46" t="inlineStr">
        <is>
          <t>—</t>
        </is>
      </c>
      <c r="G210" s="36" t="inlineStr">
        <is>
          <t>10350 Washington St</t>
        </is>
      </c>
      <c r="H210" s="47" t="n">
        <v>2024</v>
      </c>
      <c r="I210" s="46" t="inlineStr">
        <is>
          <t>Total</t>
        </is>
      </c>
    </row>
    <row r="211">
      <c r="A211" s="6" t="inlineStr">
        <is>
          <t>10350 Washington St — FY2024</t>
        </is>
      </c>
      <c r="B211" s="25" t="inlineStr">
        <is>
          <t>Expense</t>
        </is>
      </c>
      <c r="C211" s="6" t="inlineStr">
        <is>
          <t>60000 - Salaries and Wages</t>
        </is>
      </c>
      <c r="D211" s="22" t="n">
        <v>83783.53</v>
      </c>
      <c r="E211" s="6" t="n"/>
      <c r="F211" s="44" t="inlineStr">
        <is>
          <t>—</t>
        </is>
      </c>
      <c r="G211" s="37" t="inlineStr">
        <is>
          <t>10350 Washington St</t>
        </is>
      </c>
      <c r="H211" s="45" t="n">
        <v>2024</v>
      </c>
      <c r="I211" s="44" t="inlineStr">
        <is>
          <t>Line item</t>
        </is>
      </c>
    </row>
    <row r="212">
      <c r="A212" s="6" t="inlineStr">
        <is>
          <t>10350 Washington St — FY2024</t>
        </is>
      </c>
      <c r="B212" s="25" t="inlineStr">
        <is>
          <t>Expense</t>
        </is>
      </c>
      <c r="C212" s="6" t="inlineStr">
        <is>
          <t>60100 - Payroll Taxes</t>
        </is>
      </c>
      <c r="D212" s="22" t="n">
        <v>9981.33</v>
      </c>
      <c r="E212" s="6" t="inlineStr">
        <is>
          <t>Payroll subtotal $93,764.86</t>
        </is>
      </c>
      <c r="F212" s="44" t="inlineStr">
        <is>
          <t>—</t>
        </is>
      </c>
      <c r="G212" s="37" t="inlineStr">
        <is>
          <t>10350 Washington St</t>
        </is>
      </c>
      <c r="H212" s="45" t="n">
        <v>2024</v>
      </c>
      <c r="I212" s="44" t="inlineStr">
        <is>
          <t>Line item</t>
        </is>
      </c>
    </row>
    <row r="213">
      <c r="A213" s="6" t="inlineStr">
        <is>
          <t>10350 Washington St — FY2024</t>
        </is>
      </c>
      <c r="B213" s="25" t="inlineStr">
        <is>
          <t>Expense</t>
        </is>
      </c>
      <c r="C213" s="6" t="inlineStr">
        <is>
          <t>61000 - General Repairs and Maintenance</t>
        </is>
      </c>
      <c r="D213" s="22" t="n">
        <v>10417.18</v>
      </c>
      <c r="E213" s="6" t="n"/>
      <c r="F213" s="44" t="inlineStr">
        <is>
          <t>—</t>
        </is>
      </c>
      <c r="G213" s="37" t="inlineStr">
        <is>
          <t>10350 Washington St</t>
        </is>
      </c>
      <c r="H213" s="45" t="n">
        <v>2024</v>
      </c>
      <c r="I213" s="44" t="inlineStr">
        <is>
          <t>Line item</t>
        </is>
      </c>
    </row>
    <row r="214">
      <c r="A214" s="6" t="inlineStr">
        <is>
          <t>10350 Washington St — FY2024</t>
        </is>
      </c>
      <c r="B214" s="25" t="inlineStr">
        <is>
          <t>Expense</t>
        </is>
      </c>
      <c r="C214" s="6" t="inlineStr">
        <is>
          <t>61100 - Purchase of Resale Items</t>
        </is>
      </c>
      <c r="D214" s="22" t="n">
        <v>3715.51</v>
      </c>
      <c r="E214" s="6" t="n"/>
      <c r="F214" s="44" t="inlineStr">
        <is>
          <t>—</t>
        </is>
      </c>
      <c r="G214" s="37" t="inlineStr">
        <is>
          <t>10350 Washington St</t>
        </is>
      </c>
      <c r="H214" s="45" t="n">
        <v>2024</v>
      </c>
      <c r="I214" s="44" t="inlineStr">
        <is>
          <t>Line item</t>
        </is>
      </c>
    </row>
    <row r="215">
      <c r="A215" s="6" t="inlineStr">
        <is>
          <t>10350 Washington St — FY2024</t>
        </is>
      </c>
      <c r="B215" s="25" t="inlineStr">
        <is>
          <t>Expense</t>
        </is>
      </c>
      <c r="C215" s="6" t="inlineStr">
        <is>
          <t>61150 - Property Uniforms</t>
        </is>
      </c>
      <c r="D215" s="22" t="n">
        <v>438.84</v>
      </c>
      <c r="E215" s="6" t="n"/>
      <c r="F215" s="44" t="inlineStr">
        <is>
          <t>—</t>
        </is>
      </c>
      <c r="G215" s="37" t="inlineStr">
        <is>
          <t>10350 Washington St</t>
        </is>
      </c>
      <c r="H215" s="45" t="n">
        <v>2024</v>
      </c>
      <c r="I215" s="44" t="inlineStr">
        <is>
          <t>Line item</t>
        </is>
      </c>
    </row>
    <row r="216">
      <c r="A216" s="6" t="inlineStr">
        <is>
          <t>10350 Washington St — FY2024</t>
        </is>
      </c>
      <c r="B216" s="25" t="inlineStr">
        <is>
          <t>Expense</t>
        </is>
      </c>
      <c r="C216" s="6" t="inlineStr">
        <is>
          <t>61200 - Snow Removal/Power Sweeping</t>
        </is>
      </c>
      <c r="D216" s="22" t="n">
        <v>375</v>
      </c>
      <c r="E216" s="6" t="n"/>
      <c r="F216" s="44" t="inlineStr">
        <is>
          <t>—</t>
        </is>
      </c>
      <c r="G216" s="37" t="inlineStr">
        <is>
          <t>10350 Washington St</t>
        </is>
      </c>
      <c r="H216" s="45" t="n">
        <v>2024</v>
      </c>
      <c r="I216" s="44" t="inlineStr">
        <is>
          <t>Line item</t>
        </is>
      </c>
    </row>
    <row r="217">
      <c r="A217" s="6" t="inlineStr">
        <is>
          <t>10350 Washington St — FY2024</t>
        </is>
      </c>
      <c r="B217" s="25" t="inlineStr">
        <is>
          <t>Expense</t>
        </is>
      </c>
      <c r="C217" s="6" t="inlineStr">
        <is>
          <t>61300 - Trash Services</t>
        </is>
      </c>
      <c r="D217" s="22" t="n">
        <v>5322.58</v>
      </c>
      <c r="E217" s="6" t="n"/>
      <c r="F217" s="44" t="inlineStr">
        <is>
          <t>—</t>
        </is>
      </c>
      <c r="G217" s="37" t="inlineStr">
        <is>
          <t>10350 Washington St</t>
        </is>
      </c>
      <c r="H217" s="45" t="n">
        <v>2024</v>
      </c>
      <c r="I217" s="44" t="inlineStr">
        <is>
          <t>Line item</t>
        </is>
      </c>
    </row>
    <row r="218">
      <c r="A218" s="6" t="inlineStr">
        <is>
          <t>10350 Washington St — FY2024</t>
        </is>
      </c>
      <c r="B218" s="25" t="inlineStr">
        <is>
          <t>Expense</t>
        </is>
      </c>
      <c r="C218" s="6" t="inlineStr">
        <is>
          <t>61400 - Ground Maintenance</t>
        </is>
      </c>
      <c r="D218" s="22" t="n">
        <v>1044</v>
      </c>
      <c r="E218" s="6" t="n"/>
      <c r="F218" s="44" t="inlineStr">
        <is>
          <t>—</t>
        </is>
      </c>
      <c r="G218" s="37" t="inlineStr">
        <is>
          <t>10350 Washington St</t>
        </is>
      </c>
      <c r="H218" s="45" t="n">
        <v>2024</v>
      </c>
      <c r="I218" s="44" t="inlineStr">
        <is>
          <t>Line item</t>
        </is>
      </c>
    </row>
    <row r="219">
      <c r="A219" s="6" t="inlineStr">
        <is>
          <t>10350 Washington St — FY2024</t>
        </is>
      </c>
      <c r="B219" s="25" t="inlineStr">
        <is>
          <t>Expense</t>
        </is>
      </c>
      <c r="C219" s="6" t="inlineStr">
        <is>
          <t>61500 - Truck - Lease</t>
        </is>
      </c>
      <c r="D219" s="22" t="n">
        <v>15600</v>
      </c>
      <c r="E219" s="6" t="n"/>
      <c r="F219" s="44" t="inlineStr">
        <is>
          <t>—</t>
        </is>
      </c>
      <c r="G219" s="37" t="inlineStr">
        <is>
          <t>10350 Washington St</t>
        </is>
      </c>
      <c r="H219" s="45" t="n">
        <v>2024</v>
      </c>
      <c r="I219" s="44" t="inlineStr">
        <is>
          <t>Line item</t>
        </is>
      </c>
    </row>
    <row r="220">
      <c r="A220" s="6" t="inlineStr">
        <is>
          <t>10350 Washington St — FY2024</t>
        </is>
      </c>
      <c r="B220" s="25" t="inlineStr">
        <is>
          <t>Expense</t>
        </is>
      </c>
      <c r="C220" s="6" t="inlineStr">
        <is>
          <t>61700 - Truck - Maintenance</t>
        </is>
      </c>
      <c r="D220" s="22" t="n">
        <v>368.7</v>
      </c>
      <c r="E220" s="6" t="n"/>
      <c r="F220" s="44" t="inlineStr">
        <is>
          <t>—</t>
        </is>
      </c>
      <c r="G220" s="37" t="inlineStr">
        <is>
          <t>10350 Washington St</t>
        </is>
      </c>
      <c r="H220" s="45" t="n">
        <v>2024</v>
      </c>
      <c r="I220" s="44" t="inlineStr">
        <is>
          <t>Line item</t>
        </is>
      </c>
    </row>
    <row r="221">
      <c r="A221" s="6" t="inlineStr">
        <is>
          <t>10350 Washington St — FY2024</t>
        </is>
      </c>
      <c r="B221" s="25" t="inlineStr">
        <is>
          <t>Expense</t>
        </is>
      </c>
      <c r="C221" s="6" t="inlineStr">
        <is>
          <t>61800 - Truck - Commercial Commissions</t>
        </is>
      </c>
      <c r="D221" s="22" t="n">
        <v>330</v>
      </c>
      <c r="E221" s="6" t="n"/>
      <c r="F221" s="44" t="inlineStr">
        <is>
          <t>—</t>
        </is>
      </c>
      <c r="G221" s="37" t="inlineStr">
        <is>
          <t>10350 Washington St</t>
        </is>
      </c>
      <c r="H221" s="45" t="n">
        <v>2024</v>
      </c>
      <c r="I221" s="44" t="inlineStr">
        <is>
          <t>Line item</t>
        </is>
      </c>
    </row>
    <row r="222">
      <c r="A222" s="6" t="inlineStr">
        <is>
          <t>10350 Washington St — FY2024</t>
        </is>
      </c>
      <c r="B222" s="25" t="inlineStr">
        <is>
          <t>Expense</t>
        </is>
      </c>
      <c r="C222" s="6" t="inlineStr">
        <is>
          <t>61900 - Truck - Penske Commissions</t>
        </is>
      </c>
      <c r="D222" s="22" t="n">
        <v>5908.99</v>
      </c>
      <c r="E222" s="6" t="inlineStr">
        <is>
          <t>R&amp;M subtotal $43,520.80</t>
        </is>
      </c>
      <c r="F222" s="44" t="inlineStr">
        <is>
          <t>—</t>
        </is>
      </c>
      <c r="G222" s="37" t="inlineStr">
        <is>
          <t>10350 Washington St</t>
        </is>
      </c>
      <c r="H222" s="45" t="n">
        <v>2024</v>
      </c>
      <c r="I222" s="44" t="inlineStr">
        <is>
          <t>Line item</t>
        </is>
      </c>
    </row>
    <row r="223">
      <c r="A223" s="6" t="inlineStr">
        <is>
          <t>10350 Washington St — FY2024</t>
        </is>
      </c>
      <c r="B223" s="25" t="inlineStr">
        <is>
          <t>Expense</t>
        </is>
      </c>
      <c r="C223" s="6" t="inlineStr">
        <is>
          <t>62000 - Utilities - Electric</t>
        </is>
      </c>
      <c r="D223" s="22" t="n">
        <v>2647.46</v>
      </c>
      <c r="E223" s="6" t="n"/>
      <c r="F223" s="44" t="inlineStr">
        <is>
          <t>—</t>
        </is>
      </c>
      <c r="G223" s="37" t="inlineStr">
        <is>
          <t>10350 Washington St</t>
        </is>
      </c>
      <c r="H223" s="45" t="n">
        <v>2024</v>
      </c>
      <c r="I223" s="44" t="inlineStr">
        <is>
          <t>Line item</t>
        </is>
      </c>
    </row>
    <row r="224">
      <c r="A224" s="6" t="inlineStr">
        <is>
          <t>10350 Washington St — FY2024</t>
        </is>
      </c>
      <c r="B224" s="25" t="inlineStr">
        <is>
          <t>Expense</t>
        </is>
      </c>
      <c r="C224" s="6" t="inlineStr">
        <is>
          <t>62100 - Utilities - Water and Sewer</t>
        </is>
      </c>
      <c r="D224" s="22" t="n">
        <v>2643.74</v>
      </c>
      <c r="E224" s="6" t="n"/>
      <c r="F224" s="44" t="inlineStr">
        <is>
          <t>—</t>
        </is>
      </c>
      <c r="G224" s="37" t="inlineStr">
        <is>
          <t>10350 Washington St</t>
        </is>
      </c>
      <c r="H224" s="45" t="n">
        <v>2024</v>
      </c>
      <c r="I224" s="44" t="inlineStr">
        <is>
          <t>Line item</t>
        </is>
      </c>
    </row>
    <row r="225">
      <c r="A225" s="6" t="inlineStr">
        <is>
          <t>10350 Washington St — FY2024</t>
        </is>
      </c>
      <c r="B225" s="25" t="inlineStr">
        <is>
          <t>Expense</t>
        </is>
      </c>
      <c r="C225" s="6" t="inlineStr">
        <is>
          <t>62200 - Utilities - Gas</t>
        </is>
      </c>
      <c r="D225" s="22" t="n">
        <v>2.21</v>
      </c>
      <c r="E225" s="6" t="n"/>
      <c r="F225" s="44" t="inlineStr">
        <is>
          <t>—</t>
        </is>
      </c>
      <c r="G225" s="37" t="inlineStr">
        <is>
          <t>10350 Washington St</t>
        </is>
      </c>
      <c r="H225" s="45" t="n">
        <v>2024</v>
      </c>
      <c r="I225" s="44" t="inlineStr">
        <is>
          <t>Line item</t>
        </is>
      </c>
    </row>
    <row r="226">
      <c r="A226" s="6" t="inlineStr">
        <is>
          <t>10350 Washington St — FY2024</t>
        </is>
      </c>
      <c r="B226" s="25" t="inlineStr">
        <is>
          <t>Expense</t>
        </is>
      </c>
      <c r="C226" s="6" t="inlineStr">
        <is>
          <t>62500 - Security Alarm Service</t>
        </is>
      </c>
      <c r="D226" s="22" t="n">
        <v>1857.52</v>
      </c>
      <c r="E226" s="6" t="inlineStr">
        <is>
          <t>Utilities subtotal $7,150.93</t>
        </is>
      </c>
      <c r="F226" s="44" t="inlineStr">
        <is>
          <t>—</t>
        </is>
      </c>
      <c r="G226" s="37" t="inlineStr">
        <is>
          <t>10350 Washington St</t>
        </is>
      </c>
      <c r="H226" s="45" t="n">
        <v>2024</v>
      </c>
      <c r="I226" s="44" t="inlineStr">
        <is>
          <t>Line item</t>
        </is>
      </c>
    </row>
    <row r="227">
      <c r="A227" s="6" t="inlineStr">
        <is>
          <t>10350 Washington St — FY2024</t>
        </is>
      </c>
      <c r="B227" s="25" t="inlineStr">
        <is>
          <t>Expense</t>
        </is>
      </c>
      <c r="C227" s="6" t="inlineStr">
        <is>
          <t>63000 - Management Fee</t>
        </is>
      </c>
      <c r="D227" s="22" t="n">
        <v>47235.68</v>
      </c>
      <c r="E227" s="6" t="n"/>
      <c r="F227" s="44" t="inlineStr">
        <is>
          <t>—</t>
        </is>
      </c>
      <c r="G227" s="37" t="inlineStr">
        <is>
          <t>10350 Washington St</t>
        </is>
      </c>
      <c r="H227" s="45" t="n">
        <v>2024</v>
      </c>
      <c r="I227" s="44" t="inlineStr">
        <is>
          <t>Line item</t>
        </is>
      </c>
    </row>
    <row r="228">
      <c r="A228" s="6" t="inlineStr">
        <is>
          <t>10350 Washington St — FY2024</t>
        </is>
      </c>
      <c r="B228" s="25" t="inlineStr">
        <is>
          <t>Expense</t>
        </is>
      </c>
      <c r="C228" s="6" t="inlineStr">
        <is>
          <t>65000 - Legal and Professional Services</t>
        </is>
      </c>
      <c r="D228" s="22" t="n">
        <v>10238.1</v>
      </c>
      <c r="E228" s="6" t="n"/>
      <c r="F228" s="44" t="inlineStr">
        <is>
          <t>—</t>
        </is>
      </c>
      <c r="G228" s="37" t="inlineStr">
        <is>
          <t>10350 Washington St</t>
        </is>
      </c>
      <c r="H228" s="45" t="n">
        <v>2024</v>
      </c>
      <c r="I228" s="44" t="inlineStr">
        <is>
          <t>Line item</t>
        </is>
      </c>
    </row>
    <row r="229">
      <c r="A229" s="6" t="inlineStr">
        <is>
          <t>10350 Washington St — FY2024</t>
        </is>
      </c>
      <c r="B229" s="25" t="inlineStr">
        <is>
          <t>Expense</t>
        </is>
      </c>
      <c r="C229" s="6" t="inlineStr">
        <is>
          <t>66000 - Dues and Subscriptions</t>
        </is>
      </c>
      <c r="D229" s="22" t="n">
        <v>98.05</v>
      </c>
      <c r="E229" s="6" t="n"/>
      <c r="F229" s="44" t="inlineStr">
        <is>
          <t>—</t>
        </is>
      </c>
      <c r="G229" s="37" t="inlineStr">
        <is>
          <t>10350 Washington St</t>
        </is>
      </c>
      <c r="H229" s="45" t="n">
        <v>2024</v>
      </c>
      <c r="I229" s="44" t="inlineStr">
        <is>
          <t>Line item</t>
        </is>
      </c>
    </row>
    <row r="230">
      <c r="A230" s="6" t="inlineStr">
        <is>
          <t>10350 Washington St — FY2024</t>
        </is>
      </c>
      <c r="B230" s="25" t="inlineStr">
        <is>
          <t>Expense</t>
        </is>
      </c>
      <c r="C230" s="6" t="inlineStr">
        <is>
          <t>66050 - Office Supplies</t>
        </is>
      </c>
      <c r="D230" s="22" t="n">
        <v>934.66</v>
      </c>
      <c r="E230" s="6" t="n"/>
      <c r="F230" s="44" t="inlineStr">
        <is>
          <t>—</t>
        </is>
      </c>
      <c r="G230" s="37" t="inlineStr">
        <is>
          <t>10350 Washington St</t>
        </is>
      </c>
      <c r="H230" s="45" t="n">
        <v>2024</v>
      </c>
      <c r="I230" s="44" t="inlineStr">
        <is>
          <t>Line item</t>
        </is>
      </c>
    </row>
    <row r="231">
      <c r="A231" s="6" t="inlineStr">
        <is>
          <t>10350 Washington St — FY2024</t>
        </is>
      </c>
      <c r="B231" s="25" t="inlineStr">
        <is>
          <t>Expense</t>
        </is>
      </c>
      <c r="C231" s="6" t="inlineStr">
        <is>
          <t>66100 - Postage &amp; Delivery</t>
        </is>
      </c>
      <c r="D231" s="22" t="n">
        <v>645.37</v>
      </c>
      <c r="E231" s="6" t="n"/>
      <c r="F231" s="44" t="inlineStr">
        <is>
          <t>—</t>
        </is>
      </c>
      <c r="G231" s="37" t="inlineStr">
        <is>
          <t>10350 Washington St</t>
        </is>
      </c>
      <c r="H231" s="45" t="n">
        <v>2024</v>
      </c>
      <c r="I231" s="44" t="inlineStr">
        <is>
          <t>Line item</t>
        </is>
      </c>
    </row>
    <row r="232">
      <c r="A232" s="6" t="inlineStr">
        <is>
          <t>10350 Washington St — FY2024</t>
        </is>
      </c>
      <c r="B232" s="25" t="inlineStr">
        <is>
          <t>Expense</t>
        </is>
      </c>
      <c r="C232" s="6" t="inlineStr">
        <is>
          <t>66200 - Telephone</t>
        </is>
      </c>
      <c r="D232" s="22" t="n">
        <v>9403.110000000001</v>
      </c>
      <c r="E232" s="6" t="n"/>
      <c r="F232" s="44" t="inlineStr">
        <is>
          <t>—</t>
        </is>
      </c>
      <c r="G232" s="37" t="inlineStr">
        <is>
          <t>10350 Washington St</t>
        </is>
      </c>
      <c r="H232" s="45" t="n">
        <v>2024</v>
      </c>
      <c r="I232" s="44" t="inlineStr">
        <is>
          <t>Line item</t>
        </is>
      </c>
    </row>
    <row r="233">
      <c r="A233" s="6" t="inlineStr">
        <is>
          <t>10350 Washington St — FY2024</t>
        </is>
      </c>
      <c r="B233" s="25" t="inlineStr">
        <is>
          <t>Expense</t>
        </is>
      </c>
      <c r="C233" s="6" t="inlineStr">
        <is>
          <t>66300 - Call Center Allocation</t>
        </is>
      </c>
      <c r="D233" s="22" t="n">
        <v>1399.74</v>
      </c>
      <c r="E233" s="6" t="n"/>
      <c r="F233" s="44" t="inlineStr">
        <is>
          <t>—</t>
        </is>
      </c>
      <c r="G233" s="37" t="inlineStr">
        <is>
          <t>10350 Washington St</t>
        </is>
      </c>
      <c r="H233" s="45" t="n">
        <v>2024</v>
      </c>
      <c r="I233" s="44" t="inlineStr">
        <is>
          <t>Line item</t>
        </is>
      </c>
    </row>
    <row r="234">
      <c r="A234" s="6" t="inlineStr">
        <is>
          <t>10350 Washington St — FY2024</t>
        </is>
      </c>
      <c r="B234" s="25" t="inlineStr">
        <is>
          <t>Expense</t>
        </is>
      </c>
      <c r="C234" s="6" t="inlineStr">
        <is>
          <t>69300 - Petty Cash Expenses</t>
        </is>
      </c>
      <c r="D234" s="22" t="n">
        <v>3422.72</v>
      </c>
      <c r="E234" s="6" t="inlineStr">
        <is>
          <t>Administrative subtotal $15,903.65</t>
        </is>
      </c>
      <c r="F234" s="44" t="inlineStr">
        <is>
          <t>—</t>
        </is>
      </c>
      <c r="G234" s="37" t="inlineStr">
        <is>
          <t>10350 Washington St</t>
        </is>
      </c>
      <c r="H234" s="45" t="n">
        <v>2024</v>
      </c>
      <c r="I234" s="44" t="inlineStr">
        <is>
          <t>Line item</t>
        </is>
      </c>
    </row>
    <row r="235">
      <c r="A235" s="6" t="inlineStr">
        <is>
          <t>10350 Washington St — FY2024</t>
        </is>
      </c>
      <c r="B235" s="25" t="inlineStr">
        <is>
          <t>Expense</t>
        </is>
      </c>
      <c r="C235" s="6" t="inlineStr">
        <is>
          <t>69000 - Travel</t>
        </is>
      </c>
      <c r="D235" s="22" t="n">
        <v>53.72</v>
      </c>
      <c r="E235" s="6" t="n"/>
      <c r="F235" s="44" t="inlineStr">
        <is>
          <t>—</t>
        </is>
      </c>
      <c r="G235" s="37" t="inlineStr">
        <is>
          <t>10350 Washington St</t>
        </is>
      </c>
      <c r="H235" s="45" t="n">
        <v>2024</v>
      </c>
      <c r="I235" s="44" t="inlineStr">
        <is>
          <t>Line item</t>
        </is>
      </c>
    </row>
    <row r="236">
      <c r="A236" s="6" t="inlineStr">
        <is>
          <t>10350 Washington St — FY2024</t>
        </is>
      </c>
      <c r="B236" s="25" t="inlineStr">
        <is>
          <t>Expense</t>
        </is>
      </c>
      <c r="C236" s="6" t="inlineStr">
        <is>
          <t>56100 - Travel - Property Management</t>
        </is>
      </c>
      <c r="D236" s="22" t="n">
        <v>14.16</v>
      </c>
      <c r="E236" s="6" t="inlineStr">
        <is>
          <t>Travel subtotal $67.88</t>
        </is>
      </c>
      <c r="F236" s="44" t="inlineStr">
        <is>
          <t>—</t>
        </is>
      </c>
      <c r="G236" s="37" t="inlineStr">
        <is>
          <t>10350 Washington St</t>
        </is>
      </c>
      <c r="H236" s="45" t="n">
        <v>2024</v>
      </c>
      <c r="I236" s="44" t="inlineStr">
        <is>
          <t>Line item</t>
        </is>
      </c>
    </row>
    <row r="237">
      <c r="A237" s="6" t="inlineStr">
        <is>
          <t>10350 Washington St — FY2024</t>
        </is>
      </c>
      <c r="B237" s="25" t="inlineStr">
        <is>
          <t>Expense</t>
        </is>
      </c>
      <c r="C237" s="6" t="inlineStr">
        <is>
          <t>64000 - Promotional Advertising</t>
        </is>
      </c>
      <c r="D237" s="22" t="n">
        <v>8781.219999999999</v>
      </c>
      <c r="E237" s="6" t="n"/>
      <c r="F237" s="44" t="inlineStr">
        <is>
          <t>—</t>
        </is>
      </c>
      <c r="G237" s="37" t="inlineStr">
        <is>
          <t>10350 Washington St</t>
        </is>
      </c>
      <c r="H237" s="45" t="n">
        <v>2024</v>
      </c>
      <c r="I237" s="44" t="inlineStr">
        <is>
          <t>Line item</t>
        </is>
      </c>
    </row>
    <row r="238">
      <c r="A238" s="6" t="inlineStr">
        <is>
          <t>10350 Washington St — FY2024</t>
        </is>
      </c>
      <c r="B238" s="25" t="inlineStr">
        <is>
          <t>Expense</t>
        </is>
      </c>
      <c r="C238" s="6" t="inlineStr">
        <is>
          <t>64100 - Google</t>
        </is>
      </c>
      <c r="D238" s="22" t="n">
        <v>6532.72</v>
      </c>
      <c r="E238" s="6" t="n"/>
      <c r="F238" s="44" t="inlineStr">
        <is>
          <t>—</t>
        </is>
      </c>
      <c r="G238" s="37" t="inlineStr">
        <is>
          <t>10350 Washington St</t>
        </is>
      </c>
      <c r="H238" s="45" t="n">
        <v>2024</v>
      </c>
      <c r="I238" s="44" t="inlineStr">
        <is>
          <t>Line item</t>
        </is>
      </c>
    </row>
    <row r="239">
      <c r="A239" s="6" t="inlineStr">
        <is>
          <t>10350 Washington St — FY2024</t>
        </is>
      </c>
      <c r="B239" s="25" t="inlineStr">
        <is>
          <t>Expense</t>
        </is>
      </c>
      <c r="C239" s="6" t="inlineStr">
        <is>
          <t>64150 - Sparefoot/Storagefront</t>
        </is>
      </c>
      <c r="D239" s="22" t="n">
        <v>18968.73</v>
      </c>
      <c r="E239" s="6" t="n"/>
      <c r="F239" s="44" t="inlineStr">
        <is>
          <t>—</t>
        </is>
      </c>
      <c r="G239" s="37" t="inlineStr">
        <is>
          <t>10350 Washington St</t>
        </is>
      </c>
      <c r="H239" s="45" t="n">
        <v>2024</v>
      </c>
      <c r="I239" s="44" t="inlineStr">
        <is>
          <t>Line item</t>
        </is>
      </c>
    </row>
    <row r="240">
      <c r="A240" s="6" t="inlineStr">
        <is>
          <t>10350 Washington St — FY2024</t>
        </is>
      </c>
      <c r="B240" s="25" t="inlineStr">
        <is>
          <t>Expense</t>
        </is>
      </c>
      <c r="C240" s="6" t="inlineStr">
        <is>
          <t>64300 - Employee Promotions</t>
        </is>
      </c>
      <c r="D240" s="22" t="n">
        <v>4302.18</v>
      </c>
      <c r="E240" s="6" t="inlineStr">
        <is>
          <t>Advertising subtotal $38,584.85</t>
        </is>
      </c>
      <c r="F240" s="44" t="inlineStr">
        <is>
          <t>—</t>
        </is>
      </c>
      <c r="G240" s="37" t="inlineStr">
        <is>
          <t>10350 Washington St</t>
        </is>
      </c>
      <c r="H240" s="45" t="n">
        <v>2024</v>
      </c>
      <c r="I240" s="44" t="inlineStr">
        <is>
          <t>Line item</t>
        </is>
      </c>
    </row>
    <row r="241">
      <c r="A241" s="6" t="inlineStr">
        <is>
          <t>10350 Washington St — FY2024</t>
        </is>
      </c>
      <c r="B241" s="25" t="inlineStr">
        <is>
          <t>Expense</t>
        </is>
      </c>
      <c r="C241" s="6" t="inlineStr">
        <is>
          <t>68000 - Fire and Liability Insurance</t>
        </is>
      </c>
      <c r="D241" s="22" t="n">
        <v>12049.98</v>
      </c>
      <c r="E241" s="6" t="n"/>
      <c r="F241" s="44" t="inlineStr">
        <is>
          <t>—</t>
        </is>
      </c>
      <c r="G241" s="37" t="inlineStr">
        <is>
          <t>10350 Washington St</t>
        </is>
      </c>
      <c r="H241" s="45" t="n">
        <v>2024</v>
      </c>
      <c r="I241" s="44" t="inlineStr">
        <is>
          <t>Line item</t>
        </is>
      </c>
    </row>
    <row r="242">
      <c r="A242" s="6" t="inlineStr">
        <is>
          <t>10350 Washington St — FY2024</t>
        </is>
      </c>
      <c r="B242" s="25" t="inlineStr">
        <is>
          <t>Expense</t>
        </is>
      </c>
      <c r="C242" s="6" t="inlineStr">
        <is>
          <t>68100 - Workers Compensation</t>
        </is>
      </c>
      <c r="D242" s="22" t="n">
        <v>2700.3</v>
      </c>
      <c r="E242" s="6" t="n"/>
      <c r="F242" s="44" t="inlineStr">
        <is>
          <t>—</t>
        </is>
      </c>
      <c r="G242" s="37" t="inlineStr">
        <is>
          <t>10350 Washington St</t>
        </is>
      </c>
      <c r="H242" s="45" t="n">
        <v>2024</v>
      </c>
      <c r="I242" s="44" t="inlineStr">
        <is>
          <t>Line item</t>
        </is>
      </c>
    </row>
    <row r="243">
      <c r="A243" s="6" t="inlineStr">
        <is>
          <t>10350 Washington St — FY2024</t>
        </is>
      </c>
      <c r="B243" s="25" t="inlineStr">
        <is>
          <t>Expense</t>
        </is>
      </c>
      <c r="C243" s="6" t="inlineStr">
        <is>
          <t>68200 - Medical Insurance</t>
        </is>
      </c>
      <c r="D243" s="22" t="n">
        <v>11170.57</v>
      </c>
      <c r="E243" s="6" t="inlineStr">
        <is>
          <t>Insurance subtotal $25,920.85</t>
        </is>
      </c>
      <c r="F243" s="44" t="inlineStr">
        <is>
          <t>—</t>
        </is>
      </c>
      <c r="G243" s="37" t="inlineStr">
        <is>
          <t>10350 Washington St</t>
        </is>
      </c>
      <c r="H243" s="45" t="n">
        <v>2024</v>
      </c>
      <c r="I243" s="44" t="inlineStr">
        <is>
          <t>Line item</t>
        </is>
      </c>
    </row>
    <row r="244">
      <c r="A244" s="6" t="inlineStr">
        <is>
          <t>10350 Washington St — FY2024</t>
        </is>
      </c>
      <c r="B244" s="25" t="inlineStr">
        <is>
          <t>Expense</t>
        </is>
      </c>
      <c r="C244" s="6" t="inlineStr">
        <is>
          <t>67000 - Real Estate Taxes</t>
        </is>
      </c>
      <c r="D244" s="22" t="n">
        <v>221073.2</v>
      </c>
      <c r="E244" s="6" t="n"/>
      <c r="F244" s="44" t="inlineStr">
        <is>
          <t>—</t>
        </is>
      </c>
      <c r="G244" s="37" t="inlineStr">
        <is>
          <t>10350 Washington St</t>
        </is>
      </c>
      <c r="H244" s="45" t="n">
        <v>2024</v>
      </c>
      <c r="I244" s="44" t="inlineStr">
        <is>
          <t>Line item</t>
        </is>
      </c>
    </row>
    <row r="245">
      <c r="A245" s="6" t="inlineStr">
        <is>
          <t>10350 Washington St — FY2024</t>
        </is>
      </c>
      <c r="B245" s="25" t="inlineStr">
        <is>
          <t>Expense</t>
        </is>
      </c>
      <c r="C245" s="6" t="inlineStr">
        <is>
          <t>67200 - Other Taxes and Licenses</t>
        </is>
      </c>
      <c r="D245" s="22" t="n">
        <v>267.73</v>
      </c>
      <c r="E245" s="6" t="inlineStr">
        <is>
          <t>Taxes subtotal $221,340.93</t>
        </is>
      </c>
      <c r="F245" s="44" t="inlineStr">
        <is>
          <t>—</t>
        </is>
      </c>
      <c r="G245" s="37" t="inlineStr">
        <is>
          <t>10350 Washington St</t>
        </is>
      </c>
      <c r="H245" s="45" t="n">
        <v>2024</v>
      </c>
      <c r="I245" s="44" t="inlineStr">
        <is>
          <t>Line item</t>
        </is>
      </c>
    </row>
    <row r="246">
      <c r="A246" s="6" t="inlineStr">
        <is>
          <t>10350 Washington St — FY2024</t>
        </is>
      </c>
      <c r="B246" s="25" t="inlineStr">
        <is>
          <t>Expense</t>
        </is>
      </c>
      <c r="C246" s="6" t="inlineStr">
        <is>
          <t>69100 - Bank Charges and Payroll Fees</t>
        </is>
      </c>
      <c r="D246" s="22" t="n">
        <v>1348.1</v>
      </c>
      <c r="E246" s="6" t="n"/>
      <c r="F246" s="44" t="inlineStr">
        <is>
          <t>—</t>
        </is>
      </c>
      <c r="G246" s="37" t="inlineStr">
        <is>
          <t>10350 Washington St</t>
        </is>
      </c>
      <c r="H246" s="45" t="n">
        <v>2024</v>
      </c>
      <c r="I246" s="44" t="inlineStr">
        <is>
          <t>Line item</t>
        </is>
      </c>
    </row>
    <row r="247">
      <c r="A247" s="6" t="inlineStr">
        <is>
          <t>10350 Washington St — FY2024</t>
        </is>
      </c>
      <c r="B247" s="25" t="inlineStr">
        <is>
          <t>Expense</t>
        </is>
      </c>
      <c r="C247" s="6" t="inlineStr">
        <is>
          <t>69200 - Credit Card Fees</t>
        </is>
      </c>
      <c r="D247" s="22" t="n">
        <v>28027.29</v>
      </c>
      <c r="E247" s="6" t="n"/>
      <c r="F247" s="44" t="inlineStr">
        <is>
          <t>—</t>
        </is>
      </c>
      <c r="G247" s="37" t="inlineStr">
        <is>
          <t>10350 Washington St</t>
        </is>
      </c>
      <c r="H247" s="45" t="n">
        <v>2024</v>
      </c>
      <c r="I247" s="44" t="inlineStr">
        <is>
          <t>Line item</t>
        </is>
      </c>
    </row>
    <row r="248">
      <c r="A248" s="6" t="inlineStr">
        <is>
          <t>10350 Washington St — FY2024</t>
        </is>
      </c>
      <c r="B248" s="25" t="inlineStr">
        <is>
          <t>Expense</t>
        </is>
      </c>
      <c r="C248" s="6" t="inlineStr">
        <is>
          <t>57500 - Credit Card Fees</t>
        </is>
      </c>
      <c r="D248" s="22" t="n">
        <v>17.19</v>
      </c>
      <c r="E248" s="6" t="inlineStr">
        <is>
          <t>Fees &amp; commissions subtotal $29,392.58</t>
        </is>
      </c>
      <c r="F248" s="44" t="inlineStr">
        <is>
          <t>—</t>
        </is>
      </c>
      <c r="G248" s="37" t="inlineStr">
        <is>
          <t>10350 Washington St</t>
        </is>
      </c>
      <c r="H248" s="45" t="n">
        <v>2024</v>
      </c>
      <c r="I248" s="44" t="inlineStr">
        <is>
          <t>Line item</t>
        </is>
      </c>
    </row>
    <row r="249">
      <c r="A249" s="11" t="inlineStr">
        <is>
          <t>10350 Washington St — FY2024</t>
        </is>
      </c>
      <c r="B249" s="26" t="inlineStr">
        <is>
          <t>Expense</t>
        </is>
      </c>
      <c r="C249" s="12" t="inlineStr">
        <is>
          <t>TOTAL EXPENSE</t>
        </is>
      </c>
      <c r="D249" s="23">
        <f>SUM(D211:D248)</f>
        <v/>
      </c>
      <c r="E249" s="18" t="inlineStr">
        <is>
          <t>Printed total: $533,121.11. NOI per statement $257,265.10. FY2023 comparative: revenue $899,471.29 / expenses $590,318.63 / NOI $309,152.66 (see Summary).</t>
        </is>
      </c>
      <c r="F249" s="46" t="inlineStr">
        <is>
          <t>—</t>
        </is>
      </c>
      <c r="G249" s="36" t="inlineStr">
        <is>
          <t>10350 Washington St</t>
        </is>
      </c>
      <c r="H249" s="47" t="n">
        <v>2024</v>
      </c>
      <c r="I249" s="46" t="inlineStr">
        <is>
          <t>Total</t>
        </is>
      </c>
    </row>
    <row r="250">
      <c r="A250" s="6" t="inlineStr">
        <is>
          <t>10350 Washington St — FY2024</t>
        </is>
      </c>
      <c r="B250" s="25" t="inlineStr">
        <is>
          <t>Memo (below NOI)</t>
        </is>
      </c>
      <c r="C250" s="6" t="inlineStr">
        <is>
          <t>Interest Expense (73000/57300)</t>
        </is>
      </c>
      <c r="D250" s="22" t="n">
        <v>79320.35000000001</v>
      </c>
      <c r="E250" s="6" t="inlineStr">
        <is>
          <t>Below NOI; not in totals above</t>
        </is>
      </c>
      <c r="F250" s="44" t="inlineStr">
        <is>
          <t>—</t>
        </is>
      </c>
      <c r="G250" s="37" t="inlineStr">
        <is>
          <t>10350 Washington St</t>
        </is>
      </c>
      <c r="H250" s="45" t="n">
        <v>2024</v>
      </c>
      <c r="I250" s="44" t="inlineStr">
        <is>
          <t>Memo</t>
        </is>
      </c>
    </row>
    <row r="251">
      <c r="A251" s="6" t="inlineStr">
        <is>
          <t>10350 Washington St — FY2024</t>
        </is>
      </c>
      <c r="B251" s="25" t="inlineStr">
        <is>
          <t>Memo (below NOI)</t>
        </is>
      </c>
      <c r="C251" s="6" t="inlineStr">
        <is>
          <t>Extraordinary - Participation Management Fee (63500)</t>
        </is>
      </c>
      <c r="D251" s="22" t="n">
        <v>19200</v>
      </c>
      <c r="E251" s="6" t="inlineStr">
        <is>
          <t>Below NOI</t>
        </is>
      </c>
      <c r="F251" s="44" t="inlineStr">
        <is>
          <t>—</t>
        </is>
      </c>
      <c r="G251" s="37" t="inlineStr">
        <is>
          <t>10350 Washington St</t>
        </is>
      </c>
      <c r="H251" s="45" t="n">
        <v>2024</v>
      </c>
      <c r="I251" s="44" t="inlineStr">
        <is>
          <t>Memo</t>
        </is>
      </c>
    </row>
    <row r="252">
      <c r="A252" s="6" t="inlineStr">
        <is>
          <t>10350 Washington St — FY2024</t>
        </is>
      </c>
      <c r="B252" s="25" t="inlineStr">
        <is>
          <t>Memo (below NOI)</t>
        </is>
      </c>
      <c r="C252" s="6" t="inlineStr">
        <is>
          <t>Depreciation &amp; Amortization</t>
        </is>
      </c>
      <c r="D252" s="22" t="n">
        <v>8922.84</v>
      </c>
      <c r="E252" s="6" t="inlineStr">
        <is>
          <t>Below NOI</t>
        </is>
      </c>
      <c r="F252" s="44" t="inlineStr">
        <is>
          <t>—</t>
        </is>
      </c>
      <c r="G252" s="37" t="inlineStr">
        <is>
          <t>10350 Washington St</t>
        </is>
      </c>
      <c r="H252" s="45" t="n">
        <v>2024</v>
      </c>
      <c r="I252" s="44" t="inlineStr">
        <is>
          <t>Memo</t>
        </is>
      </c>
    </row>
    <row r="253">
      <c r="A253" s="6" t="inlineStr">
        <is>
          <t>10350 Washington St — FY2024</t>
        </is>
      </c>
      <c r="B253" s="25" t="inlineStr">
        <is>
          <t>Memo (below NOI)</t>
        </is>
      </c>
      <c r="C253" s="6" t="inlineStr">
        <is>
          <t>Net Cash Flow Before Dep. &amp; Amort.</t>
        </is>
      </c>
      <c r="D253" s="22" t="n">
        <v>158744.75</v>
      </c>
      <c r="E253" s="6" t="inlineStr">
        <is>
          <t>Per statement (FY2023: $162,198.05)</t>
        </is>
      </c>
      <c r="F253" s="44" t="inlineStr">
        <is>
          <t>—</t>
        </is>
      </c>
      <c r="G253" s="37" t="inlineStr">
        <is>
          <t>10350 Washington St</t>
        </is>
      </c>
      <c r="H253" s="45" t="n">
        <v>2024</v>
      </c>
      <c r="I253" s="44" t="inlineStr">
        <is>
          <t>Memo</t>
        </is>
      </c>
    </row>
    <row r="254">
      <c r="A254" s="6" t="inlineStr">
        <is>
          <t>10350 Washington St — FY2024</t>
        </is>
      </c>
      <c r="B254" s="25" t="inlineStr">
        <is>
          <t>Memo (below NOI)</t>
        </is>
      </c>
      <c r="C254" s="6" t="inlineStr">
        <is>
          <t>Net Taxable Income</t>
        </is>
      </c>
      <c r="D254" s="22" t="n">
        <v>149821.91</v>
      </c>
      <c r="E254" s="6" t="inlineStr">
        <is>
          <t>Per statement (FY2023: $124,600.41)</t>
        </is>
      </c>
      <c r="F254" s="44" t="inlineStr">
        <is>
          <t>—</t>
        </is>
      </c>
      <c r="G254" s="37" t="inlineStr">
        <is>
          <t>10350 Washington St</t>
        </is>
      </c>
      <c r="H254" s="45" t="n">
        <v>2024</v>
      </c>
      <c r="I254" s="44" t="inlineStr">
        <is>
          <t>Memo</t>
        </is>
      </c>
    </row>
    <row r="255">
      <c r="A255" s="6" t="inlineStr">
        <is>
          <t>6125 E. 56th Ave (R0091909) — FY2023</t>
        </is>
      </c>
      <c r="B255" s="25" t="inlineStr">
        <is>
          <t>Income</t>
        </is>
      </c>
      <c r="C255" s="6" t="inlineStr">
        <is>
          <t>51105 - Rent</t>
        </is>
      </c>
      <c r="D255" s="22" t="n">
        <v>335870.74</v>
      </c>
      <c r="E255" s="6" t="n"/>
      <c r="F255" s="44" t="inlineStr">
        <is>
          <t>R0091909</t>
        </is>
      </c>
      <c r="G255" s="37" t="inlineStr">
        <is>
          <t>6125 E. 56th Ave</t>
        </is>
      </c>
      <c r="H255" s="45" t="n">
        <v>2023</v>
      </c>
      <c r="I255" s="44" t="inlineStr">
        <is>
          <t>Line item</t>
        </is>
      </c>
    </row>
    <row r="256">
      <c r="A256" s="6" t="inlineStr">
        <is>
          <t>6125 E. 56th Ave (R0091909) — FY2023</t>
        </is>
      </c>
      <c r="B256" s="25" t="inlineStr">
        <is>
          <t>Income</t>
        </is>
      </c>
      <c r="C256" s="6" t="inlineStr">
        <is>
          <t>51205 - CAM Reimbursement Current</t>
        </is>
      </c>
      <c r="D256" s="22" t="n">
        <v>55533.44</v>
      </c>
      <c r="E256" s="6" t="n"/>
      <c r="F256" s="44" t="inlineStr">
        <is>
          <t>R0091909</t>
        </is>
      </c>
      <c r="G256" s="37" t="inlineStr">
        <is>
          <t>6125 E. 56th Ave</t>
        </is>
      </c>
      <c r="H256" s="45" t="n">
        <v>2023</v>
      </c>
      <c r="I256" s="44" t="inlineStr">
        <is>
          <t>Line item</t>
        </is>
      </c>
    </row>
    <row r="257">
      <c r="A257" s="6" t="inlineStr">
        <is>
          <t>6125 E. 56th Ave (R0091909) — FY2023</t>
        </is>
      </c>
      <c r="B257" s="25" t="inlineStr">
        <is>
          <t>Income</t>
        </is>
      </c>
      <c r="C257" s="6" t="inlineStr">
        <is>
          <t>51210 - Operating Expense Recovery</t>
        </is>
      </c>
      <c r="D257" s="22" t="n">
        <v>-2910.43</v>
      </c>
      <c r="E257" s="6" t="n"/>
      <c r="F257" s="44" t="inlineStr">
        <is>
          <t>R0091909</t>
        </is>
      </c>
      <c r="G257" s="37" t="inlineStr">
        <is>
          <t>6125 E. 56th Ave</t>
        </is>
      </c>
      <c r="H257" s="45" t="n">
        <v>2023</v>
      </c>
      <c r="I257" s="44" t="inlineStr">
        <is>
          <t>Line item</t>
        </is>
      </c>
    </row>
    <row r="258">
      <c r="A258" s="6" t="inlineStr">
        <is>
          <t>6125 E. 56th Ave (R0091909) — FY2023</t>
        </is>
      </c>
      <c r="B258" s="25" t="inlineStr">
        <is>
          <t>Income</t>
        </is>
      </c>
      <c r="C258" s="6" t="inlineStr">
        <is>
          <t>51215 - Insurance Reimbursement</t>
        </is>
      </c>
      <c r="D258" s="22" t="n">
        <v>6085.08</v>
      </c>
      <c r="E258" s="6" t="n"/>
      <c r="F258" s="44" t="inlineStr">
        <is>
          <t>R0091909</t>
        </is>
      </c>
      <c r="G258" s="37" t="inlineStr">
        <is>
          <t>6125 E. 56th Ave</t>
        </is>
      </c>
      <c r="H258" s="45" t="n">
        <v>2023</v>
      </c>
      <c r="I258" s="44" t="inlineStr">
        <is>
          <t>Line item</t>
        </is>
      </c>
    </row>
    <row r="259">
      <c r="A259" s="6" t="inlineStr">
        <is>
          <t>6125 E. 56th Ave (R0091909) — FY2023</t>
        </is>
      </c>
      <c r="B259" s="25" t="inlineStr">
        <is>
          <t>Income</t>
        </is>
      </c>
      <c r="C259" s="6" t="inlineStr">
        <is>
          <t>51225 - RE Tax Reimbursement</t>
        </is>
      </c>
      <c r="D259" s="22" t="n">
        <v>82275.88</v>
      </c>
      <c r="E259" s="6" t="n"/>
      <c r="F259" s="44" t="inlineStr">
        <is>
          <t>R0091909</t>
        </is>
      </c>
      <c r="G259" s="37" t="inlineStr">
        <is>
          <t>6125 E. 56th Ave</t>
        </is>
      </c>
      <c r="H259" s="45" t="n">
        <v>2023</v>
      </c>
      <c r="I259" s="44" t="inlineStr">
        <is>
          <t>Line item</t>
        </is>
      </c>
    </row>
    <row r="260">
      <c r="A260" s="6" t="inlineStr">
        <is>
          <t>6125 E. 56th Ave (R0091909) — FY2023</t>
        </is>
      </c>
      <c r="B260" s="25" t="inlineStr">
        <is>
          <t>Income</t>
        </is>
      </c>
      <c r="C260" s="6" t="inlineStr">
        <is>
          <t>51320 - Late Fees &amp; Other Charges</t>
        </is>
      </c>
      <c r="D260" s="22" t="n">
        <v>16450.74</v>
      </c>
      <c r="E260" s="6" t="n"/>
      <c r="F260" s="44" t="inlineStr">
        <is>
          <t>R0091909</t>
        </is>
      </c>
      <c r="G260" s="37" t="inlineStr">
        <is>
          <t>6125 E. 56th Ave</t>
        </is>
      </c>
      <c r="H260" s="45" t="n">
        <v>2023</v>
      </c>
      <c r="I260" s="44" t="inlineStr">
        <is>
          <t>Line item</t>
        </is>
      </c>
    </row>
    <row r="261">
      <c r="A261" s="11" t="inlineStr">
        <is>
          <t>6125 E. 56th Ave (R0091909) — FY2023</t>
        </is>
      </c>
      <c r="B261" s="26" t="inlineStr">
        <is>
          <t>Income</t>
        </is>
      </c>
      <c r="C261" s="12" t="inlineStr">
        <is>
          <t>TOTAL OPERATING REVENUES</t>
        </is>
      </c>
      <c r="D261" s="23">
        <f>SUM(D255:D260)</f>
        <v/>
      </c>
      <c r="E261" s="18" t="inlineStr">
        <is>
          <t>Printed total: $493,305.45.</t>
        </is>
      </c>
      <c r="F261" s="46" t="inlineStr">
        <is>
          <t>R0091909</t>
        </is>
      </c>
      <c r="G261" s="36" t="inlineStr">
        <is>
          <t>6125 E. 56th Ave</t>
        </is>
      </c>
      <c r="H261" s="47" t="n">
        <v>2023</v>
      </c>
      <c r="I261" s="46" t="inlineStr">
        <is>
          <t>Total</t>
        </is>
      </c>
    </row>
    <row r="262">
      <c r="A262" s="6" t="inlineStr">
        <is>
          <t>6125 E. 56th Ave (R0091909) — FY2023</t>
        </is>
      </c>
      <c r="B262" s="25" t="inlineStr">
        <is>
          <t>Expense</t>
        </is>
      </c>
      <c r="C262" s="6" t="inlineStr">
        <is>
          <t>60105 - Elec House Meters</t>
        </is>
      </c>
      <c r="D262" s="22" t="n">
        <v>184.31</v>
      </c>
      <c r="E262" s="6" t="n"/>
      <c r="F262" s="44" t="inlineStr">
        <is>
          <t>R0091909</t>
        </is>
      </c>
      <c r="G262" s="37" t="inlineStr">
        <is>
          <t>6125 E. 56th Ave</t>
        </is>
      </c>
      <c r="H262" s="45" t="n">
        <v>2023</v>
      </c>
      <c r="I262" s="44" t="inlineStr">
        <is>
          <t>Line item</t>
        </is>
      </c>
    </row>
    <row r="263">
      <c r="A263" s="6" t="inlineStr">
        <is>
          <t>6125 E. 56th Ave (R0091909) — FY2023</t>
        </is>
      </c>
      <c r="B263" s="25" t="inlineStr">
        <is>
          <t>Expense</t>
        </is>
      </c>
      <c r="C263" s="6" t="inlineStr">
        <is>
          <t>60115 - Water/Sewer</t>
        </is>
      </c>
      <c r="D263" s="22" t="n">
        <v>4337.5</v>
      </c>
      <c r="E263" s="6" t="n"/>
      <c r="F263" s="44" t="inlineStr">
        <is>
          <t>R0091909</t>
        </is>
      </c>
      <c r="G263" s="37" t="inlineStr">
        <is>
          <t>6125 E. 56th Ave</t>
        </is>
      </c>
      <c r="H263" s="45" t="n">
        <v>2023</v>
      </c>
      <c r="I263" s="44" t="inlineStr">
        <is>
          <t>Line item</t>
        </is>
      </c>
    </row>
    <row r="264">
      <c r="A264" s="6" t="inlineStr">
        <is>
          <t>6125 E. 56th Ave (R0091909) — FY2023</t>
        </is>
      </c>
      <c r="B264" s="25" t="inlineStr">
        <is>
          <t>Expense</t>
        </is>
      </c>
      <c r="C264" s="6" t="inlineStr">
        <is>
          <t>60220 - Parking Sweep Contract</t>
        </is>
      </c>
      <c r="D264" s="22" t="n">
        <v>960</v>
      </c>
      <c r="E264" s="6" t="n"/>
      <c r="F264" s="44" t="inlineStr">
        <is>
          <t>R0091909</t>
        </is>
      </c>
      <c r="G264" s="37" t="inlineStr">
        <is>
          <t>6125 E. 56th Ave</t>
        </is>
      </c>
      <c r="H264" s="45" t="n">
        <v>2023</v>
      </c>
      <c r="I264" s="44" t="inlineStr">
        <is>
          <t>Line item</t>
        </is>
      </c>
    </row>
    <row r="265">
      <c r="A265" s="6" t="inlineStr">
        <is>
          <t>6125 E. 56th Ave (R0091909) — FY2023</t>
        </is>
      </c>
      <c r="B265" s="25" t="inlineStr">
        <is>
          <t>Expense</t>
        </is>
      </c>
      <c r="C265" s="6" t="inlineStr">
        <is>
          <t>60235 - Trash Removal Contract</t>
        </is>
      </c>
      <c r="D265" s="22" t="n">
        <v>310.03</v>
      </c>
      <c r="E265" s="6" t="n"/>
      <c r="F265" s="44" t="inlineStr">
        <is>
          <t>R0091909</t>
        </is>
      </c>
      <c r="G265" s="37" t="inlineStr">
        <is>
          <t>6125 E. 56th Ave</t>
        </is>
      </c>
      <c r="H265" s="45" t="n">
        <v>2023</v>
      </c>
      <c r="I265" s="44" t="inlineStr">
        <is>
          <t>Line item</t>
        </is>
      </c>
    </row>
    <row r="266">
      <c r="A266" s="6" t="inlineStr">
        <is>
          <t>6125 E. 56th Ave (R0091909) — FY2023</t>
        </is>
      </c>
      <c r="B266" s="25" t="inlineStr">
        <is>
          <t>Expense</t>
        </is>
      </c>
      <c r="C266" s="6" t="inlineStr">
        <is>
          <t>60310 - Ceilings/Tiles R&amp;M</t>
        </is>
      </c>
      <c r="D266" s="22" t="n">
        <v>419.54</v>
      </c>
      <c r="E266" s="6" t="n"/>
      <c r="F266" s="44" t="inlineStr">
        <is>
          <t>R0091909</t>
        </is>
      </c>
      <c r="G266" s="37" t="inlineStr">
        <is>
          <t>6125 E. 56th Ave</t>
        </is>
      </c>
      <c r="H266" s="45" t="n">
        <v>2023</v>
      </c>
      <c r="I266" s="44" t="inlineStr">
        <is>
          <t>Line item</t>
        </is>
      </c>
    </row>
    <row r="267">
      <c r="A267" s="6" t="inlineStr">
        <is>
          <t>6125 E. 56th Ave (R0091909) — FY2023</t>
        </is>
      </c>
      <c r="B267" s="25" t="inlineStr">
        <is>
          <t>Expense</t>
        </is>
      </c>
      <c r="C267" s="6" t="inlineStr">
        <is>
          <t>60315 - Door/Keys R&amp;M</t>
        </is>
      </c>
      <c r="D267" s="22" t="n">
        <v>1.02</v>
      </c>
      <c r="E267" s="6" t="n"/>
      <c r="F267" s="44" t="inlineStr">
        <is>
          <t>R0091909</t>
        </is>
      </c>
      <c r="G267" s="37" t="inlineStr">
        <is>
          <t>6125 E. 56th Ave</t>
        </is>
      </c>
      <c r="H267" s="45" t="n">
        <v>2023</v>
      </c>
      <c r="I267" s="44" t="inlineStr">
        <is>
          <t>Line item</t>
        </is>
      </c>
    </row>
    <row r="268">
      <c r="A268" s="6" t="inlineStr">
        <is>
          <t>6125 E. 56th Ave (R0091909) — FY2023</t>
        </is>
      </c>
      <c r="B268" s="25" t="inlineStr">
        <is>
          <t>Expense</t>
        </is>
      </c>
      <c r="C268" s="6" t="inlineStr">
        <is>
          <t>60405 - Backflow Inspections</t>
        </is>
      </c>
      <c r="D268" s="22" t="n">
        <v>110</v>
      </c>
      <c r="E268" s="6" t="n"/>
      <c r="F268" s="44" t="inlineStr">
        <is>
          <t>R0091909</t>
        </is>
      </c>
      <c r="G268" s="37" t="inlineStr">
        <is>
          <t>6125 E. 56th Ave</t>
        </is>
      </c>
      <c r="H268" s="45" t="n">
        <v>2023</v>
      </c>
      <c r="I268" s="44" t="inlineStr">
        <is>
          <t>Line item</t>
        </is>
      </c>
    </row>
    <row r="269">
      <c r="A269" s="6" t="inlineStr">
        <is>
          <t>6125 E. 56th Ave (R0091909) — FY2023</t>
        </is>
      </c>
      <c r="B269" s="25" t="inlineStr">
        <is>
          <t>Expense</t>
        </is>
      </c>
      <c r="C269" s="6" t="inlineStr">
        <is>
          <t>60410 - Backflow R&amp;M</t>
        </is>
      </c>
      <c r="D269" s="22" t="n">
        <v>1353.38</v>
      </c>
      <c r="E269" s="6" t="n"/>
      <c r="F269" s="44" t="inlineStr">
        <is>
          <t>R0091909</t>
        </is>
      </c>
      <c r="G269" s="37" t="inlineStr">
        <is>
          <t>6125 E. 56th Ave</t>
        </is>
      </c>
      <c r="H269" s="45" t="n">
        <v>2023</v>
      </c>
      <c r="I269" s="44" t="inlineStr">
        <is>
          <t>Line item</t>
        </is>
      </c>
    </row>
    <row r="270">
      <c r="A270" s="6" t="inlineStr">
        <is>
          <t>6125 E. 56th Ave (R0091909) — FY2023</t>
        </is>
      </c>
      <c r="B270" s="25" t="inlineStr">
        <is>
          <t>Expense</t>
        </is>
      </c>
      <c r="C270" s="6" t="inlineStr">
        <is>
          <t>60420 - Plumbing/Sewer R&amp;M</t>
        </is>
      </c>
      <c r="D270" s="22" t="n">
        <v>1382.16</v>
      </c>
      <c r="E270" s="6" t="n"/>
      <c r="F270" s="44" t="inlineStr">
        <is>
          <t>R0091909</t>
        </is>
      </c>
      <c r="G270" s="37" t="inlineStr">
        <is>
          <t>6125 E. 56th Ave</t>
        </is>
      </c>
      <c r="H270" s="45" t="n">
        <v>2023</v>
      </c>
      <c r="I270" s="44" t="inlineStr">
        <is>
          <t>Line item</t>
        </is>
      </c>
    </row>
    <row r="271">
      <c r="A271" s="6" t="inlineStr">
        <is>
          <t>6125 E. 56th Ave (R0091909) — FY2023</t>
        </is>
      </c>
      <c r="B271" s="25" t="inlineStr">
        <is>
          <t>Expense</t>
        </is>
      </c>
      <c r="C271" s="6" t="inlineStr">
        <is>
          <t>60535 - Irrig Sprinklers R&amp;M</t>
        </is>
      </c>
      <c r="D271" s="22" t="n">
        <v>87.08</v>
      </c>
      <c r="E271" s="6" t="n"/>
      <c r="F271" s="44" t="inlineStr">
        <is>
          <t>R0091909</t>
        </is>
      </c>
      <c r="G271" s="37" t="inlineStr">
        <is>
          <t>6125 E. 56th Ave</t>
        </is>
      </c>
      <c r="H271" s="45" t="n">
        <v>2023</v>
      </c>
      <c r="I271" s="44" t="inlineStr">
        <is>
          <t>Line item</t>
        </is>
      </c>
    </row>
    <row r="272">
      <c r="A272" s="6" t="inlineStr">
        <is>
          <t>6125 E. 56th Ave (R0091909) — FY2023</t>
        </is>
      </c>
      <c r="B272" s="25" t="inlineStr">
        <is>
          <t>Expense</t>
        </is>
      </c>
      <c r="C272" s="6" t="inlineStr">
        <is>
          <t>60540 - Landscape Contract</t>
        </is>
      </c>
      <c r="D272" s="22" t="n">
        <v>1355.2</v>
      </c>
      <c r="E272" s="6" t="n"/>
      <c r="F272" s="44" t="inlineStr">
        <is>
          <t>R0091909</t>
        </is>
      </c>
      <c r="G272" s="37" t="inlineStr">
        <is>
          <t>6125 E. 56th Ave</t>
        </is>
      </c>
      <c r="H272" s="45" t="n">
        <v>2023</v>
      </c>
      <c r="I272" s="44" t="inlineStr">
        <is>
          <t>Line item</t>
        </is>
      </c>
    </row>
    <row r="273">
      <c r="A273" s="6" t="inlineStr">
        <is>
          <t>6125 E. 56th Ave (R0091909) — FY2023</t>
        </is>
      </c>
      <c r="B273" s="25" t="inlineStr">
        <is>
          <t>Expense</t>
        </is>
      </c>
      <c r="C273" s="6" t="inlineStr">
        <is>
          <t>60541 - Landscaping &amp; Irrigation Rpr &amp; Rpl</t>
        </is>
      </c>
      <c r="D273" s="22" t="n">
        <v>103.5</v>
      </c>
      <c r="E273" s="6" t="n"/>
      <c r="F273" s="44" t="inlineStr">
        <is>
          <t>R0091909</t>
        </is>
      </c>
      <c r="G273" s="37" t="inlineStr">
        <is>
          <t>6125 E. 56th Ave</t>
        </is>
      </c>
      <c r="H273" s="45" t="n">
        <v>2023</v>
      </c>
      <c r="I273" s="44" t="inlineStr">
        <is>
          <t>Line item</t>
        </is>
      </c>
    </row>
    <row r="274">
      <c r="A274" s="6" t="inlineStr">
        <is>
          <t>6125 E. 56th Ave (R0091909) — FY2023</t>
        </is>
      </c>
      <c r="B274" s="25" t="inlineStr">
        <is>
          <t>Expense</t>
        </is>
      </c>
      <c r="C274" s="6" t="inlineStr">
        <is>
          <t>60550 - Parking Lot/Sidewalk R&amp;M</t>
        </is>
      </c>
      <c r="D274" s="22" t="n">
        <v>775</v>
      </c>
      <c r="E274" s="6" t="n"/>
      <c r="F274" s="44" t="inlineStr">
        <is>
          <t>R0091909</t>
        </is>
      </c>
      <c r="G274" s="37" t="inlineStr">
        <is>
          <t>6125 E. 56th Ave</t>
        </is>
      </c>
      <c r="H274" s="45" t="n">
        <v>2023</v>
      </c>
      <c r="I274" s="44" t="inlineStr">
        <is>
          <t>Line item</t>
        </is>
      </c>
    </row>
    <row r="275">
      <c r="A275" s="6" t="inlineStr">
        <is>
          <t>6125 E. 56th Ave (R0091909) — FY2023</t>
        </is>
      </c>
      <c r="B275" s="25" t="inlineStr">
        <is>
          <t>Expense</t>
        </is>
      </c>
      <c r="C275" s="6" t="inlineStr">
        <is>
          <t>60555 - Pest Control Contract</t>
        </is>
      </c>
      <c r="D275" s="22" t="n">
        <v>1170</v>
      </c>
      <c r="E275" s="6" t="n"/>
      <c r="F275" s="44" t="inlineStr">
        <is>
          <t>R0091909</t>
        </is>
      </c>
      <c r="G275" s="37" t="inlineStr">
        <is>
          <t>6125 E. 56th Ave</t>
        </is>
      </c>
      <c r="H275" s="45" t="n">
        <v>2023</v>
      </c>
      <c r="I275" s="44" t="inlineStr">
        <is>
          <t>Line item</t>
        </is>
      </c>
    </row>
    <row r="276">
      <c r="A276" s="6" t="inlineStr">
        <is>
          <t>6125 E. 56th Ave (R0091909) — FY2023</t>
        </is>
      </c>
      <c r="B276" s="25" t="inlineStr">
        <is>
          <t>Expense</t>
        </is>
      </c>
      <c r="C276" s="6" t="inlineStr">
        <is>
          <t>60566 - Roof/Gut R&amp;M</t>
        </is>
      </c>
      <c r="D276" s="22" t="n">
        <v>7846.2</v>
      </c>
      <c r="E276" s="6" t="n"/>
      <c r="F276" s="44" t="inlineStr">
        <is>
          <t>R0091909</t>
        </is>
      </c>
      <c r="G276" s="37" t="inlineStr">
        <is>
          <t>6125 E. 56th Ave</t>
        </is>
      </c>
      <c r="H276" s="45" t="n">
        <v>2023</v>
      </c>
      <c r="I276" s="44" t="inlineStr">
        <is>
          <t>Line item</t>
        </is>
      </c>
    </row>
    <row r="277">
      <c r="A277" s="6" t="inlineStr">
        <is>
          <t>6125 E. 56th Ave (R0091909) — FY2023</t>
        </is>
      </c>
      <c r="B277" s="25" t="inlineStr">
        <is>
          <t>Expense</t>
        </is>
      </c>
      <c r="C277" s="6" t="inlineStr">
        <is>
          <t>60570 - Sealing/Caulking Exterior</t>
        </is>
      </c>
      <c r="D277" s="22" t="n">
        <v>26.02</v>
      </c>
      <c r="E277" s="6" t="n"/>
      <c r="F277" s="44" t="inlineStr">
        <is>
          <t>R0091909</t>
        </is>
      </c>
      <c r="G277" s="37" t="inlineStr">
        <is>
          <t>6125 E. 56th Ave</t>
        </is>
      </c>
      <c r="H277" s="45" t="n">
        <v>2023</v>
      </c>
      <c r="I277" s="44" t="inlineStr">
        <is>
          <t>Line item</t>
        </is>
      </c>
    </row>
    <row r="278">
      <c r="A278" s="6" t="inlineStr">
        <is>
          <t>6125 E. 56th Ave (R0091909) — FY2023</t>
        </is>
      </c>
      <c r="B278" s="25" t="inlineStr">
        <is>
          <t>Expense</t>
        </is>
      </c>
      <c r="C278" s="6" t="inlineStr">
        <is>
          <t>60575 - Snow Removal</t>
        </is>
      </c>
      <c r="D278" s="22" t="n">
        <v>3757.07</v>
      </c>
      <c r="E278" s="6" t="n"/>
      <c r="F278" s="44" t="inlineStr">
        <is>
          <t>R0091909</t>
        </is>
      </c>
      <c r="G278" s="37" t="inlineStr">
        <is>
          <t>6125 E. 56th Ave</t>
        </is>
      </c>
      <c r="H278" s="45" t="n">
        <v>2023</v>
      </c>
      <c r="I278" s="44" t="inlineStr">
        <is>
          <t>Line item</t>
        </is>
      </c>
    </row>
    <row r="279">
      <c r="A279" s="6" t="inlineStr">
        <is>
          <t>6125 E. 56th Ave (R0091909) — FY2023</t>
        </is>
      </c>
      <c r="B279" s="25" t="inlineStr">
        <is>
          <t>Expense</t>
        </is>
      </c>
      <c r="C279" s="6" t="inlineStr">
        <is>
          <t>60605 - Fire Alarm Mo/Monitor</t>
        </is>
      </c>
      <c r="D279" s="22" t="n">
        <v>500</v>
      </c>
      <c r="E279" s="6" t="n"/>
      <c r="F279" s="44" t="inlineStr">
        <is>
          <t>R0091909</t>
        </is>
      </c>
      <c r="G279" s="37" t="inlineStr">
        <is>
          <t>6125 E. 56th Ave</t>
        </is>
      </c>
      <c r="H279" s="45" t="n">
        <v>2023</v>
      </c>
      <c r="I279" s="44" t="inlineStr">
        <is>
          <t>Line item</t>
        </is>
      </c>
    </row>
    <row r="280">
      <c r="A280" s="6" t="inlineStr">
        <is>
          <t>6125 E. 56th Ave (R0091909) — FY2023</t>
        </is>
      </c>
      <c r="B280" s="25" t="inlineStr">
        <is>
          <t>Expense</t>
        </is>
      </c>
      <c r="C280" s="6" t="inlineStr">
        <is>
          <t>60610 - Fire Sprinkler, Alarm &amp; Extinguisher Inspection</t>
        </is>
      </c>
      <c r="D280" s="22" t="n">
        <v>265</v>
      </c>
      <c r="E280" s="6" t="n"/>
      <c r="F280" s="44" t="inlineStr">
        <is>
          <t>R0091909</t>
        </is>
      </c>
      <c r="G280" s="37" t="inlineStr">
        <is>
          <t>6125 E. 56th Ave</t>
        </is>
      </c>
      <c r="H280" s="45" t="n">
        <v>2023</v>
      </c>
      <c r="I280" s="44" t="inlineStr">
        <is>
          <t>Line item</t>
        </is>
      </c>
    </row>
    <row r="281">
      <c r="A281" s="6" t="inlineStr">
        <is>
          <t>6125 E. 56th Ave (R0091909) — FY2023</t>
        </is>
      </c>
      <c r="B281" s="25" t="inlineStr">
        <is>
          <t>Expense</t>
        </is>
      </c>
      <c r="C281" s="6" t="inlineStr">
        <is>
          <t>60615 - Fire Sprinkler Alarm &amp; Extinguisher R&amp;M</t>
        </is>
      </c>
      <c r="D281" s="22" t="n">
        <v>434.69</v>
      </c>
      <c r="E281" s="6" t="n"/>
      <c r="F281" s="44" t="inlineStr">
        <is>
          <t>R0091909</t>
        </is>
      </c>
      <c r="G281" s="37" t="inlineStr">
        <is>
          <t>6125 E. 56th Ave</t>
        </is>
      </c>
      <c r="H281" s="45" t="n">
        <v>2023</v>
      </c>
      <c r="I281" s="44" t="inlineStr">
        <is>
          <t>Line item</t>
        </is>
      </c>
    </row>
    <row r="282">
      <c r="A282" s="6" t="inlineStr">
        <is>
          <t>6125 E. 56th Ave (R0091909) — FY2023</t>
        </is>
      </c>
      <c r="B282" s="25" t="inlineStr">
        <is>
          <t>Expense</t>
        </is>
      </c>
      <c r="C282" s="6" t="inlineStr">
        <is>
          <t>60620 - Fire Sprinklers Inspect/R&amp;M</t>
        </is>
      </c>
      <c r="D282" s="22" t="n">
        <v>41.5</v>
      </c>
      <c r="E282" s="6" t="n"/>
      <c r="F282" s="44" t="inlineStr">
        <is>
          <t>R0091909</t>
        </is>
      </c>
      <c r="G282" s="37" t="inlineStr">
        <is>
          <t>6125 E. 56th Ave</t>
        </is>
      </c>
      <c r="H282" s="45" t="n">
        <v>2023</v>
      </c>
      <c r="I282" s="44" t="inlineStr">
        <is>
          <t>Line item</t>
        </is>
      </c>
    </row>
    <row r="283">
      <c r="A283" s="6" t="inlineStr">
        <is>
          <t>6125 E. 56th Ave (R0091909) — FY2023</t>
        </is>
      </c>
      <c r="B283" s="25" t="inlineStr">
        <is>
          <t>Expense</t>
        </is>
      </c>
      <c r="C283" s="6" t="inlineStr">
        <is>
          <t>60905 - Wages R&amp;M</t>
        </is>
      </c>
      <c r="D283" s="22" t="n">
        <v>7497.36</v>
      </c>
      <c r="E283" s="6" t="n"/>
      <c r="F283" s="44" t="inlineStr">
        <is>
          <t>R0091909</t>
        </is>
      </c>
      <c r="G283" s="37" t="inlineStr">
        <is>
          <t>6125 E. 56th Ave</t>
        </is>
      </c>
      <c r="H283" s="45" t="n">
        <v>2023</v>
      </c>
      <c r="I283" s="44" t="inlineStr">
        <is>
          <t>Line item</t>
        </is>
      </c>
    </row>
    <row r="284">
      <c r="A284" s="6" t="inlineStr">
        <is>
          <t>6125 E. 56th Ave (R0091909) — FY2023</t>
        </is>
      </c>
      <c r="B284" s="25" t="inlineStr">
        <is>
          <t>Expense</t>
        </is>
      </c>
      <c r="C284" s="6" t="inlineStr">
        <is>
          <t>60915 - Maint Property Costs</t>
        </is>
      </c>
      <c r="D284" s="22" t="n">
        <v>1170.61</v>
      </c>
      <c r="E284" s="6" t="n"/>
      <c r="F284" s="44" t="inlineStr">
        <is>
          <t>R0091909</t>
        </is>
      </c>
      <c r="G284" s="37" t="inlineStr">
        <is>
          <t>6125 E. 56th Ave</t>
        </is>
      </c>
      <c r="H284" s="45" t="n">
        <v>2023</v>
      </c>
      <c r="I284" s="44" t="inlineStr">
        <is>
          <t>Line item</t>
        </is>
      </c>
    </row>
    <row r="285">
      <c r="A285" s="6" t="inlineStr">
        <is>
          <t>6125 E. 56th Ave (R0091909) — FY2023</t>
        </is>
      </c>
      <c r="B285" s="25" t="inlineStr">
        <is>
          <t>Expense</t>
        </is>
      </c>
      <c r="C285" s="6" t="inlineStr">
        <is>
          <t>60920 - Small Tools &amp; Equipment</t>
        </is>
      </c>
      <c r="D285" s="22" t="n">
        <v>7.35</v>
      </c>
      <c r="E285" s="6" t="n"/>
      <c r="F285" s="44" t="inlineStr">
        <is>
          <t>R0091909</t>
        </is>
      </c>
      <c r="G285" s="37" t="inlineStr">
        <is>
          <t>6125 E. 56th Ave</t>
        </is>
      </c>
      <c r="H285" s="45" t="n">
        <v>2023</v>
      </c>
      <c r="I285" s="44" t="inlineStr">
        <is>
          <t>Line item</t>
        </is>
      </c>
    </row>
    <row r="286">
      <c r="A286" s="6" t="inlineStr">
        <is>
          <t>6125 E. 56th Ave (R0091909) — FY2023</t>
        </is>
      </c>
      <c r="B286" s="25" t="inlineStr">
        <is>
          <t>Expense</t>
        </is>
      </c>
      <c r="C286" s="6" t="inlineStr">
        <is>
          <t>60925 - Bldg Maint Supplies R&amp;M</t>
        </is>
      </c>
      <c r="D286" s="22" t="n">
        <v>20.55</v>
      </c>
      <c r="E286" s="6" t="n"/>
      <c r="F286" s="44" t="inlineStr">
        <is>
          <t>R0091909</t>
        </is>
      </c>
      <c r="G286" s="37" t="inlineStr">
        <is>
          <t>6125 E. 56th Ave</t>
        </is>
      </c>
      <c r="H286" s="45" t="n">
        <v>2023</v>
      </c>
      <c r="I286" s="44" t="inlineStr">
        <is>
          <t>Line item</t>
        </is>
      </c>
    </row>
    <row r="287">
      <c r="A287" s="6" t="inlineStr">
        <is>
          <t>6125 E. 56th Ave (R0091909) — FY2023</t>
        </is>
      </c>
      <c r="B287" s="25" t="inlineStr">
        <is>
          <t>Expense</t>
        </is>
      </c>
      <c r="C287" s="6" t="inlineStr">
        <is>
          <t>60950 - Administration Fees</t>
        </is>
      </c>
      <c r="D287" s="22" t="n">
        <v>6166.32</v>
      </c>
      <c r="E287" s="6" t="n"/>
      <c r="F287" s="44" t="inlineStr">
        <is>
          <t>R0091909</t>
        </is>
      </c>
      <c r="G287" s="37" t="inlineStr">
        <is>
          <t>6125 E. 56th Ave</t>
        </is>
      </c>
      <c r="H287" s="45" t="n">
        <v>2023</v>
      </c>
      <c r="I287" s="44" t="inlineStr">
        <is>
          <t>Line item</t>
        </is>
      </c>
    </row>
    <row r="288">
      <c r="A288" s="6" t="inlineStr">
        <is>
          <t>6125 E. 56th Ave (R0091909) — FY2023</t>
        </is>
      </c>
      <c r="B288" s="25" t="inlineStr">
        <is>
          <t>Expense</t>
        </is>
      </c>
      <c r="C288" s="6" t="inlineStr">
        <is>
          <t>60955 - Management Fees</t>
        </is>
      </c>
      <c r="D288" s="22" t="n">
        <v>18498.96</v>
      </c>
      <c r="E288" s="6" t="n"/>
      <c r="F288" s="44" t="inlineStr">
        <is>
          <t>R0091909</t>
        </is>
      </c>
      <c r="G288" s="37" t="inlineStr">
        <is>
          <t>6125 E. 56th Ave</t>
        </is>
      </c>
      <c r="H288" s="45" t="n">
        <v>2023</v>
      </c>
      <c r="I288" s="44" t="inlineStr">
        <is>
          <t>Line item</t>
        </is>
      </c>
    </row>
    <row r="289">
      <c r="A289" s="6" t="inlineStr">
        <is>
          <t>6125 E. 56th Ave (R0091909) — FY2023</t>
        </is>
      </c>
      <c r="B289" s="25" t="inlineStr">
        <is>
          <t>Expense</t>
        </is>
      </c>
      <c r="C289" s="6" t="inlineStr">
        <is>
          <t>60965 - Professional Tax Review Fee</t>
        </is>
      </c>
      <c r="D289" s="22" t="n">
        <v>101.25</v>
      </c>
      <c r="E289" s="6" t="n"/>
      <c r="F289" s="44" t="inlineStr">
        <is>
          <t>R0091909</t>
        </is>
      </c>
      <c r="G289" s="37" t="inlineStr">
        <is>
          <t>6125 E. 56th Ave</t>
        </is>
      </c>
      <c r="H289" s="45" t="n">
        <v>2023</v>
      </c>
      <c r="I289" s="44" t="inlineStr">
        <is>
          <t>Line item</t>
        </is>
      </c>
    </row>
    <row r="290">
      <c r="A290" s="6" t="inlineStr">
        <is>
          <t>6125 E. 56th Ave (R0091909) — FY2023</t>
        </is>
      </c>
      <c r="B290" s="25" t="inlineStr">
        <is>
          <t>Expense</t>
        </is>
      </c>
      <c r="C290" s="6" t="inlineStr">
        <is>
          <t>61015 - Tax Real Estate</t>
        </is>
      </c>
      <c r="D290" s="22" t="n">
        <v>119500.14</v>
      </c>
      <c r="E290" s="6" t="n"/>
      <c r="F290" s="44" t="inlineStr">
        <is>
          <t>R0091909</t>
        </is>
      </c>
      <c r="G290" s="37" t="inlineStr">
        <is>
          <t>6125 E. 56th Ave</t>
        </is>
      </c>
      <c r="H290" s="45" t="n">
        <v>2023</v>
      </c>
      <c r="I290" s="44" t="inlineStr">
        <is>
          <t>Line item</t>
        </is>
      </c>
    </row>
    <row r="291">
      <c r="A291" s="6" t="inlineStr">
        <is>
          <t>6125 E. 56th Ave (R0091909) — FY2023</t>
        </is>
      </c>
      <c r="B291" s="25" t="inlineStr">
        <is>
          <t>Expense</t>
        </is>
      </c>
      <c r="C291" s="6" t="inlineStr">
        <is>
          <t>61020 - Insurance</t>
        </is>
      </c>
      <c r="D291" s="22" t="n">
        <v>7515</v>
      </c>
      <c r="E291" s="6" t="n"/>
      <c r="F291" s="44" t="inlineStr">
        <is>
          <t>R0091909</t>
        </is>
      </c>
      <c r="G291" s="37" t="inlineStr">
        <is>
          <t>6125 E. 56th Ave</t>
        </is>
      </c>
      <c r="H291" s="45" t="n">
        <v>2023</v>
      </c>
      <c r="I291" s="44" t="inlineStr">
        <is>
          <t>Line item</t>
        </is>
      </c>
    </row>
    <row r="292">
      <c r="A292" s="11" t="inlineStr">
        <is>
          <t>6125 E. 56th Ave (R0091909) — FY2023</t>
        </is>
      </c>
      <c r="B292" s="26" t="inlineStr">
        <is>
          <t>Expense</t>
        </is>
      </c>
      <c r="C292" s="12" t="inlineStr">
        <is>
          <t>TOTAL OPERATING EXPENSES</t>
        </is>
      </c>
      <c r="D292" s="23">
        <f>SUM(D262:D291)</f>
        <v/>
      </c>
      <c r="E292" s="18" t="inlineStr">
        <is>
          <t>Printed total: $185,896.74. Property NOI $307,408.71. Zero-value accounts omitted. Sterling letter recast: RE Taxes $119,500 + CAM Reimbursable $66,397 + CAM Non-Reimbursable $1,202 = $187,099.</t>
        </is>
      </c>
      <c r="F292" s="46" t="inlineStr">
        <is>
          <t>R0091909</t>
        </is>
      </c>
      <c r="G292" s="36" t="inlineStr">
        <is>
          <t>6125 E. 56th Ave</t>
        </is>
      </c>
      <c r="H292" s="47" t="n">
        <v>2023</v>
      </c>
      <c r="I292" s="46" t="inlineStr">
        <is>
          <t>Total</t>
        </is>
      </c>
    </row>
    <row r="293">
      <c r="A293" s="6" t="inlineStr">
        <is>
          <t>6125 E. 56th Ave (R0091909) — FY2023</t>
        </is>
      </c>
      <c r="B293" s="25" t="inlineStr">
        <is>
          <t>Memo (below NOI)</t>
        </is>
      </c>
      <c r="C293" s="6" t="inlineStr">
        <is>
          <t>Total Non-CAM Expenses</t>
        </is>
      </c>
      <c r="D293" s="22" t="n">
        <v>2956.55</v>
      </c>
      <c r="E293" s="6" t="inlineStr">
        <is>
          <t>Below Total Operating Expenses; not in the total above</t>
        </is>
      </c>
      <c r="F293" s="46" t="inlineStr">
        <is>
          <t>R0091909</t>
        </is>
      </c>
      <c r="G293" s="36" t="inlineStr">
        <is>
          <t>6125 E. 56th Ave</t>
        </is>
      </c>
      <c r="H293" s="47" t="n">
        <v>2023</v>
      </c>
      <c r="I293" s="46" t="inlineStr">
        <is>
          <t>Total</t>
        </is>
      </c>
    </row>
    <row r="294">
      <c r="A294" s="6" t="inlineStr">
        <is>
          <t>6125 E. 56th Ave (R0091909) — FY2023</t>
        </is>
      </c>
      <c r="B294" s="25" t="inlineStr">
        <is>
          <t>Memo (below NOI)</t>
        </is>
      </c>
      <c r="C294" s="6" t="inlineStr">
        <is>
          <t>Net Operating Income (after non-CAM)</t>
        </is>
      </c>
      <c r="D294" s="22" t="n">
        <v>304452.16</v>
      </c>
      <c r="E294" s="6" t="inlineStr">
        <is>
          <t>Below Total Operating Expenses; not in the total above</t>
        </is>
      </c>
      <c r="F294" s="44" t="inlineStr">
        <is>
          <t>R0091909</t>
        </is>
      </c>
      <c r="G294" s="37" t="inlineStr">
        <is>
          <t>6125 E. 56th Ave</t>
        </is>
      </c>
      <c r="H294" s="45" t="n">
        <v>2023</v>
      </c>
      <c r="I294" s="44" t="inlineStr">
        <is>
          <t>Memo</t>
        </is>
      </c>
    </row>
    <row r="295">
      <c r="A295" s="6" t="inlineStr">
        <is>
          <t>6125 E. 56th Ave (R0091909) — FY2023</t>
        </is>
      </c>
      <c r="B295" s="25" t="inlineStr">
        <is>
          <t>Memo (below NOI)</t>
        </is>
      </c>
      <c r="C295" s="6" t="inlineStr">
        <is>
          <t>Mortgage Interest</t>
        </is>
      </c>
      <c r="D295" s="22" t="n">
        <v>90508.85000000001</v>
      </c>
      <c r="E295" s="6" t="inlineStr">
        <is>
          <t>Below Total Operating Expenses; not in the total above</t>
        </is>
      </c>
      <c r="F295" s="44" t="inlineStr">
        <is>
          <t>R0091909</t>
        </is>
      </c>
      <c r="G295" s="37" t="inlineStr">
        <is>
          <t>6125 E. 56th Ave</t>
        </is>
      </c>
      <c r="H295" s="45" t="n">
        <v>2023</v>
      </c>
      <c r="I295" s="44" t="inlineStr">
        <is>
          <t>Memo</t>
        </is>
      </c>
    </row>
    <row r="296">
      <c r="A296" s="6" t="inlineStr">
        <is>
          <t>6125 E. 56th Ave (R0091909) — FY2023</t>
        </is>
      </c>
      <c r="B296" s="25" t="inlineStr">
        <is>
          <t>Memo (below NOI)</t>
        </is>
      </c>
      <c r="C296" s="6" t="inlineStr">
        <is>
          <t>Total Depreciation &amp; Amortization</t>
        </is>
      </c>
      <c r="D296" s="22" t="n">
        <v>2982</v>
      </c>
      <c r="E296" s="6" t="inlineStr">
        <is>
          <t>Below Total Operating Expenses; not in the total above</t>
        </is>
      </c>
      <c r="F296" s="46" t="inlineStr">
        <is>
          <t>R0091909</t>
        </is>
      </c>
      <c r="G296" s="36" t="inlineStr">
        <is>
          <t>6125 E. 56th Ave</t>
        </is>
      </c>
      <c r="H296" s="47" t="n">
        <v>2023</v>
      </c>
      <c r="I296" s="46" t="inlineStr">
        <is>
          <t>Total</t>
        </is>
      </c>
    </row>
    <row r="297">
      <c r="A297" s="6" t="inlineStr">
        <is>
          <t>6125 E. 56th Ave (R0091909) — FY2023</t>
        </is>
      </c>
      <c r="B297" s="25" t="inlineStr">
        <is>
          <t>Memo (below NOI)</t>
        </is>
      </c>
      <c r="C297" s="6" t="inlineStr">
        <is>
          <t>Net Income</t>
        </is>
      </c>
      <c r="D297" s="22" t="n">
        <v>210961.31</v>
      </c>
      <c r="E297" s="6" t="inlineStr">
        <is>
          <t>Below Total Operating Expenses; not in the total above</t>
        </is>
      </c>
      <c r="F297" s="44" t="inlineStr">
        <is>
          <t>R0091909</t>
        </is>
      </c>
      <c r="G297" s="37" t="inlineStr">
        <is>
          <t>6125 E. 56th Ave</t>
        </is>
      </c>
      <c r="H297" s="45" t="n">
        <v>2023</v>
      </c>
      <c r="I297" s="44" t="inlineStr">
        <is>
          <t>Memo</t>
        </is>
      </c>
    </row>
    <row r="298">
      <c r="A298" s="6" t="inlineStr">
        <is>
          <t>6125 E. 56th Ave (R0091909) — FY2024</t>
        </is>
      </c>
      <c r="B298" s="25" t="inlineStr">
        <is>
          <t>Income</t>
        </is>
      </c>
      <c r="C298" s="6" t="inlineStr">
        <is>
          <t>51105 - Rent</t>
        </is>
      </c>
      <c r="D298" s="22" t="n">
        <v>294934.97</v>
      </c>
      <c r="E298" s="6" t="n"/>
      <c r="F298" s="44" t="inlineStr">
        <is>
          <t>R0091909</t>
        </is>
      </c>
      <c r="G298" s="37" t="inlineStr">
        <is>
          <t>6125 E. 56th Ave</t>
        </is>
      </c>
      <c r="H298" s="45" t="n">
        <v>2024</v>
      </c>
      <c r="I298" s="44" t="inlineStr">
        <is>
          <t>Line item</t>
        </is>
      </c>
    </row>
    <row r="299">
      <c r="A299" s="6" t="inlineStr">
        <is>
          <t>6125 E. 56th Ave (R0091909) — FY2024</t>
        </is>
      </c>
      <c r="B299" s="25" t="inlineStr">
        <is>
          <t>Income</t>
        </is>
      </c>
      <c r="C299" s="6" t="inlineStr">
        <is>
          <t>51205 - CAM Reimbursement Current</t>
        </is>
      </c>
      <c r="D299" s="22" t="n">
        <v>46992.06</v>
      </c>
      <c r="E299" s="6" t="n"/>
      <c r="F299" s="44" t="inlineStr">
        <is>
          <t>R0091909</t>
        </is>
      </c>
      <c r="G299" s="37" t="inlineStr">
        <is>
          <t>6125 E. 56th Ave</t>
        </is>
      </c>
      <c r="H299" s="45" t="n">
        <v>2024</v>
      </c>
      <c r="I299" s="44" t="inlineStr">
        <is>
          <t>Line item</t>
        </is>
      </c>
    </row>
    <row r="300">
      <c r="A300" s="6" t="inlineStr">
        <is>
          <t>6125 E. 56th Ave (R0091909) — FY2024</t>
        </is>
      </c>
      <c r="B300" s="25" t="inlineStr">
        <is>
          <t>Income</t>
        </is>
      </c>
      <c r="C300" s="6" t="inlineStr">
        <is>
          <t>51210 - Operating Expense Recovery</t>
        </is>
      </c>
      <c r="D300" s="22" t="n">
        <v>26050.7</v>
      </c>
      <c r="E300" s="6" t="n"/>
      <c r="F300" s="44" t="inlineStr">
        <is>
          <t>R0091909</t>
        </is>
      </c>
      <c r="G300" s="37" t="inlineStr">
        <is>
          <t>6125 E. 56th Ave</t>
        </is>
      </c>
      <c r="H300" s="45" t="n">
        <v>2024</v>
      </c>
      <c r="I300" s="44" t="inlineStr">
        <is>
          <t>Line item</t>
        </is>
      </c>
    </row>
    <row r="301">
      <c r="A301" s="6" t="inlineStr">
        <is>
          <t>6125 E. 56th Ave (R0091909) — FY2024</t>
        </is>
      </c>
      <c r="B301" s="25" t="inlineStr">
        <is>
          <t>Income</t>
        </is>
      </c>
      <c r="C301" s="6" t="inlineStr">
        <is>
          <t>51215 - Insurance Reimbursement</t>
        </is>
      </c>
      <c r="D301" s="22" t="n">
        <v>7612.68</v>
      </c>
      <c r="E301" s="6" t="n"/>
      <c r="F301" s="44" t="inlineStr">
        <is>
          <t>R0091909</t>
        </is>
      </c>
      <c r="G301" s="37" t="inlineStr">
        <is>
          <t>6125 E. 56th Ave</t>
        </is>
      </c>
      <c r="H301" s="45" t="n">
        <v>2024</v>
      </c>
      <c r="I301" s="44" t="inlineStr">
        <is>
          <t>Line item</t>
        </is>
      </c>
    </row>
    <row r="302">
      <c r="A302" s="6" t="inlineStr">
        <is>
          <t>6125 E. 56th Ave (R0091909) — FY2024</t>
        </is>
      </c>
      <c r="B302" s="25" t="inlineStr">
        <is>
          <t>Income</t>
        </is>
      </c>
      <c r="C302" s="6" t="inlineStr">
        <is>
          <t>51225 - RE Tax Reimbursement</t>
        </is>
      </c>
      <c r="D302" s="22" t="n">
        <v>107656.68</v>
      </c>
      <c r="E302" s="6" t="n"/>
      <c r="F302" s="44" t="inlineStr">
        <is>
          <t>R0091909</t>
        </is>
      </c>
      <c r="G302" s="37" t="inlineStr">
        <is>
          <t>6125 E. 56th Ave</t>
        </is>
      </c>
      <c r="H302" s="45" t="n">
        <v>2024</v>
      </c>
      <c r="I302" s="44" t="inlineStr">
        <is>
          <t>Line item</t>
        </is>
      </c>
    </row>
    <row r="303">
      <c r="A303" s="6" t="inlineStr">
        <is>
          <t>6125 E. 56th Ave (R0091909) — FY2024</t>
        </is>
      </c>
      <c r="B303" s="25" t="inlineStr">
        <is>
          <t>Income</t>
        </is>
      </c>
      <c r="C303" s="6" t="inlineStr">
        <is>
          <t>51320 - Late Fees &amp; Other Charges</t>
        </is>
      </c>
      <c r="D303" s="22" t="n">
        <v>7807.2</v>
      </c>
      <c r="E303" s="6" t="n"/>
      <c r="F303" s="44" t="inlineStr">
        <is>
          <t>R0091909</t>
        </is>
      </c>
      <c r="G303" s="37" t="inlineStr">
        <is>
          <t>6125 E. 56th Ave</t>
        </is>
      </c>
      <c r="H303" s="45" t="n">
        <v>2024</v>
      </c>
      <c r="I303" s="44" t="inlineStr">
        <is>
          <t>Line item</t>
        </is>
      </c>
    </row>
    <row r="304">
      <c r="A304" s="6" t="inlineStr">
        <is>
          <t>6125 E. 56th Ave (R0091909) — FY2024</t>
        </is>
      </c>
      <c r="B304" s="25" t="inlineStr">
        <is>
          <t>Income</t>
        </is>
      </c>
      <c r="C304" s="6" t="inlineStr">
        <is>
          <t>51335 - Misc Income Property</t>
        </is>
      </c>
      <c r="D304" s="22" t="n">
        <v>2156.78</v>
      </c>
      <c r="E304" s="6" t="n"/>
      <c r="F304" s="44" t="inlineStr">
        <is>
          <t>R0091909</t>
        </is>
      </c>
      <c r="G304" s="37" t="inlineStr">
        <is>
          <t>6125 E. 56th Ave</t>
        </is>
      </c>
      <c r="H304" s="45" t="n">
        <v>2024</v>
      </c>
      <c r="I304" s="44" t="inlineStr">
        <is>
          <t>Line item</t>
        </is>
      </c>
    </row>
    <row r="305">
      <c r="A305" s="11" t="inlineStr">
        <is>
          <t>6125 E. 56th Ave (R0091909) — FY2024</t>
        </is>
      </c>
      <c r="B305" s="26" t="inlineStr">
        <is>
          <t>Income</t>
        </is>
      </c>
      <c r="C305" s="12" t="inlineStr">
        <is>
          <t>TOTAL OPERATING REVENUES</t>
        </is>
      </c>
      <c r="D305" s="23">
        <f>SUM(D298:D304)</f>
        <v/>
      </c>
      <c r="E305" s="18" t="inlineStr">
        <is>
          <t>Printed total: $493,211.07.</t>
        </is>
      </c>
      <c r="F305" s="46" t="inlineStr">
        <is>
          <t>R0091909</t>
        </is>
      </c>
      <c r="G305" s="36" t="inlineStr">
        <is>
          <t>6125 E. 56th Ave</t>
        </is>
      </c>
      <c r="H305" s="47" t="n">
        <v>2024</v>
      </c>
      <c r="I305" s="46" t="inlineStr">
        <is>
          <t>Total</t>
        </is>
      </c>
    </row>
    <row r="306">
      <c r="A306" s="6" t="inlineStr">
        <is>
          <t>6125 E. 56th Ave (R0091909) — FY2024</t>
        </is>
      </c>
      <c r="B306" s="25" t="inlineStr">
        <is>
          <t>Expense</t>
        </is>
      </c>
      <c r="C306" s="6" t="inlineStr">
        <is>
          <t>60105 - Elec House Meters</t>
        </is>
      </c>
      <c r="D306" s="22" t="n">
        <v>190.46</v>
      </c>
      <c r="E306" s="6" t="n"/>
      <c r="F306" s="44" t="inlineStr">
        <is>
          <t>R0091909</t>
        </is>
      </c>
      <c r="G306" s="37" t="inlineStr">
        <is>
          <t>6125 E. 56th Ave</t>
        </is>
      </c>
      <c r="H306" s="45" t="n">
        <v>2024</v>
      </c>
      <c r="I306" s="44" t="inlineStr">
        <is>
          <t>Line item</t>
        </is>
      </c>
    </row>
    <row r="307">
      <c r="A307" s="6" t="inlineStr">
        <is>
          <t>6125 E. 56th Ave (R0091909) — FY2024</t>
        </is>
      </c>
      <c r="B307" s="25" t="inlineStr">
        <is>
          <t>Expense</t>
        </is>
      </c>
      <c r="C307" s="6" t="inlineStr">
        <is>
          <t>60115 - Water/Sewer</t>
        </is>
      </c>
      <c r="D307" s="22" t="n">
        <v>9587.559999999999</v>
      </c>
      <c r="E307" s="6" t="n"/>
      <c r="F307" s="44" t="inlineStr">
        <is>
          <t>R0091909</t>
        </is>
      </c>
      <c r="G307" s="37" t="inlineStr">
        <is>
          <t>6125 E. 56th Ave</t>
        </is>
      </c>
      <c r="H307" s="45" t="n">
        <v>2024</v>
      </c>
      <c r="I307" s="44" t="inlineStr">
        <is>
          <t>Line item</t>
        </is>
      </c>
    </row>
    <row r="308">
      <c r="A308" s="6" t="inlineStr">
        <is>
          <t>6125 E. 56th Ave (R0091909) — FY2024</t>
        </is>
      </c>
      <c r="B308" s="25" t="inlineStr">
        <is>
          <t>Expense</t>
        </is>
      </c>
      <c r="C308" s="6" t="inlineStr">
        <is>
          <t>60220 - Parking Sweep Contract</t>
        </is>
      </c>
      <c r="D308" s="22" t="n">
        <v>960</v>
      </c>
      <c r="E308" s="6" t="n"/>
      <c r="F308" s="44" t="inlineStr">
        <is>
          <t>R0091909</t>
        </is>
      </c>
      <c r="G308" s="37" t="inlineStr">
        <is>
          <t>6125 E. 56th Ave</t>
        </is>
      </c>
      <c r="H308" s="45" t="n">
        <v>2024</v>
      </c>
      <c r="I308" s="44" t="inlineStr">
        <is>
          <t>Line item</t>
        </is>
      </c>
    </row>
    <row r="309">
      <c r="A309" s="6" t="inlineStr">
        <is>
          <t>6125 E. 56th Ave (R0091909) — FY2024</t>
        </is>
      </c>
      <c r="B309" s="25" t="inlineStr">
        <is>
          <t>Expense</t>
        </is>
      </c>
      <c r="C309" s="6" t="inlineStr">
        <is>
          <t>60235 - Trash Removal Contract</t>
        </is>
      </c>
      <c r="D309" s="22" t="n">
        <v>391.96</v>
      </c>
      <c r="E309" s="6" t="n"/>
      <c r="F309" s="44" t="inlineStr">
        <is>
          <t>R0091909</t>
        </is>
      </c>
      <c r="G309" s="37" t="inlineStr">
        <is>
          <t>6125 E. 56th Ave</t>
        </is>
      </c>
      <c r="H309" s="45" t="n">
        <v>2024</v>
      </c>
      <c r="I309" s="44" t="inlineStr">
        <is>
          <t>Line item</t>
        </is>
      </c>
    </row>
    <row r="310">
      <c r="A310" s="6" t="inlineStr">
        <is>
          <t>6125 E. 56th Ave (R0091909) — FY2024</t>
        </is>
      </c>
      <c r="B310" s="25" t="inlineStr">
        <is>
          <t>Expense</t>
        </is>
      </c>
      <c r="C310" s="6" t="inlineStr">
        <is>
          <t>60240 - Trash Removal Extra Service</t>
        </is>
      </c>
      <c r="D310" s="22" t="n">
        <v>214</v>
      </c>
      <c r="E310" s="6" t="n"/>
      <c r="F310" s="44" t="inlineStr">
        <is>
          <t>R0091909</t>
        </is>
      </c>
      <c r="G310" s="37" t="inlineStr">
        <is>
          <t>6125 E. 56th Ave</t>
        </is>
      </c>
      <c r="H310" s="45" t="n">
        <v>2024</v>
      </c>
      <c r="I310" s="44" t="inlineStr">
        <is>
          <t>Line item</t>
        </is>
      </c>
    </row>
    <row r="311">
      <c r="A311" s="6" t="inlineStr">
        <is>
          <t>6125 E. 56th Ave (R0091909) — FY2024</t>
        </is>
      </c>
      <c r="B311" s="25" t="inlineStr">
        <is>
          <t>Expense</t>
        </is>
      </c>
      <c r="C311" s="6" t="inlineStr">
        <is>
          <t>60315 - Door/Keys R&amp;M</t>
        </is>
      </c>
      <c r="D311" s="22" t="n">
        <v>2865.63</v>
      </c>
      <c r="E311" s="6" t="n"/>
      <c r="F311" s="44" t="inlineStr">
        <is>
          <t>R0091909</t>
        </is>
      </c>
      <c r="G311" s="37" t="inlineStr">
        <is>
          <t>6125 E. 56th Ave</t>
        </is>
      </c>
      <c r="H311" s="45" t="n">
        <v>2024</v>
      </c>
      <c r="I311" s="44" t="inlineStr">
        <is>
          <t>Line item</t>
        </is>
      </c>
    </row>
    <row r="312">
      <c r="A312" s="6" t="inlineStr">
        <is>
          <t>6125 E. 56th Ave (R0091909) — FY2024</t>
        </is>
      </c>
      <c r="B312" s="25" t="inlineStr">
        <is>
          <t>Expense</t>
        </is>
      </c>
      <c r="C312" s="6" t="inlineStr">
        <is>
          <t>60345 - Lighting Interior</t>
        </is>
      </c>
      <c r="D312" s="22" t="n">
        <v>45.58</v>
      </c>
      <c r="E312" s="6" t="n"/>
      <c r="F312" s="44" t="inlineStr">
        <is>
          <t>R0091909</t>
        </is>
      </c>
      <c r="G312" s="37" t="inlineStr">
        <is>
          <t>6125 E. 56th Ave</t>
        </is>
      </c>
      <c r="H312" s="45" t="n">
        <v>2024</v>
      </c>
      <c r="I312" s="44" t="inlineStr">
        <is>
          <t>Line item</t>
        </is>
      </c>
    </row>
    <row r="313">
      <c r="A313" s="6" t="inlineStr">
        <is>
          <t>6125 E. 56th Ave (R0091909) — FY2024</t>
        </is>
      </c>
      <c r="B313" s="25" t="inlineStr">
        <is>
          <t>Expense</t>
        </is>
      </c>
      <c r="C313" s="6" t="inlineStr">
        <is>
          <t>60405 - Backflow Inspections</t>
        </is>
      </c>
      <c r="D313" s="22" t="n">
        <v>50</v>
      </c>
      <c r="E313" s="6" t="n"/>
      <c r="F313" s="44" t="inlineStr">
        <is>
          <t>R0091909</t>
        </is>
      </c>
      <c r="G313" s="37" t="inlineStr">
        <is>
          <t>6125 E. 56th Ave</t>
        </is>
      </c>
      <c r="H313" s="45" t="n">
        <v>2024</v>
      </c>
      <c r="I313" s="44" t="inlineStr">
        <is>
          <t>Line item</t>
        </is>
      </c>
    </row>
    <row r="314">
      <c r="A314" s="6" t="inlineStr">
        <is>
          <t>6125 E. 56th Ave (R0091909) — FY2024</t>
        </is>
      </c>
      <c r="B314" s="25" t="inlineStr">
        <is>
          <t>Expense</t>
        </is>
      </c>
      <c r="C314" s="6" t="inlineStr">
        <is>
          <t>60420 - Plumbing/Sewer R&amp;M</t>
        </is>
      </c>
      <c r="D314" s="22" t="n">
        <v>636.63</v>
      </c>
      <c r="E314" s="6" t="n"/>
      <c r="F314" s="44" t="inlineStr">
        <is>
          <t>R0091909</t>
        </is>
      </c>
      <c r="G314" s="37" t="inlineStr">
        <is>
          <t>6125 E. 56th Ave</t>
        </is>
      </c>
      <c r="H314" s="45" t="n">
        <v>2024</v>
      </c>
      <c r="I314" s="44" t="inlineStr">
        <is>
          <t>Line item</t>
        </is>
      </c>
    </row>
    <row r="315">
      <c r="A315" s="6" t="inlineStr">
        <is>
          <t>6125 E. 56th Ave (R0091909) — FY2024</t>
        </is>
      </c>
      <c r="B315" s="25" t="inlineStr">
        <is>
          <t>Expense</t>
        </is>
      </c>
      <c r="C315" s="6" t="inlineStr">
        <is>
          <t>60540 - Landscape Contract</t>
        </is>
      </c>
      <c r="D315" s="22" t="n">
        <v>1436.4</v>
      </c>
      <c r="E315" s="6" t="n"/>
      <c r="F315" s="44" t="inlineStr">
        <is>
          <t>R0091909</t>
        </is>
      </c>
      <c r="G315" s="37" t="inlineStr">
        <is>
          <t>6125 E. 56th Ave</t>
        </is>
      </c>
      <c r="H315" s="45" t="n">
        <v>2024</v>
      </c>
      <c r="I315" s="44" t="inlineStr">
        <is>
          <t>Line item</t>
        </is>
      </c>
    </row>
    <row r="316">
      <c r="A316" s="6" t="inlineStr">
        <is>
          <t>6125 E. 56th Ave (R0091909) — FY2024</t>
        </is>
      </c>
      <c r="B316" s="25" t="inlineStr">
        <is>
          <t>Expense</t>
        </is>
      </c>
      <c r="C316" s="6" t="inlineStr">
        <is>
          <t>60541 - Landscaping &amp; Irrigation Rpr &amp; Rpl</t>
        </is>
      </c>
      <c r="D316" s="22" t="n">
        <v>1114.53</v>
      </c>
      <c r="E316" s="6" t="n"/>
      <c r="F316" s="44" t="inlineStr">
        <is>
          <t>R0091909</t>
        </is>
      </c>
      <c r="G316" s="37" t="inlineStr">
        <is>
          <t>6125 E. 56th Ave</t>
        </is>
      </c>
      <c r="H316" s="45" t="n">
        <v>2024</v>
      </c>
      <c r="I316" s="44" t="inlineStr">
        <is>
          <t>Line item</t>
        </is>
      </c>
    </row>
    <row r="317">
      <c r="A317" s="6" t="inlineStr">
        <is>
          <t>6125 E. 56th Ave (R0091909) — FY2024</t>
        </is>
      </c>
      <c r="B317" s="25" t="inlineStr">
        <is>
          <t>Expense</t>
        </is>
      </c>
      <c r="C317" s="6" t="inlineStr">
        <is>
          <t>60566 - Roof/Gut R&amp;M</t>
        </is>
      </c>
      <c r="D317" s="22" t="n">
        <v>14665</v>
      </c>
      <c r="E317" s="6" t="n"/>
      <c r="F317" s="44" t="inlineStr">
        <is>
          <t>R0091909</t>
        </is>
      </c>
      <c r="G317" s="37" t="inlineStr">
        <is>
          <t>6125 E. 56th Ave</t>
        </is>
      </c>
      <c r="H317" s="45" t="n">
        <v>2024</v>
      </c>
      <c r="I317" s="44" t="inlineStr">
        <is>
          <t>Line item</t>
        </is>
      </c>
    </row>
    <row r="318">
      <c r="A318" s="6" t="inlineStr">
        <is>
          <t>6125 E. 56th Ave (R0091909) — FY2024</t>
        </is>
      </c>
      <c r="B318" s="25" t="inlineStr">
        <is>
          <t>Expense</t>
        </is>
      </c>
      <c r="C318" s="6" t="inlineStr">
        <is>
          <t>60575 - Snow Removal</t>
        </is>
      </c>
      <c r="D318" s="22" t="n">
        <v>4984.25</v>
      </c>
      <c r="E318" s="6" t="n"/>
      <c r="F318" s="44" t="inlineStr">
        <is>
          <t>R0091909</t>
        </is>
      </c>
      <c r="G318" s="37" t="inlineStr">
        <is>
          <t>6125 E. 56th Ave</t>
        </is>
      </c>
      <c r="H318" s="45" t="n">
        <v>2024</v>
      </c>
      <c r="I318" s="44" t="inlineStr">
        <is>
          <t>Line item</t>
        </is>
      </c>
    </row>
    <row r="319">
      <c r="A319" s="6" t="inlineStr">
        <is>
          <t>6125 E. 56th Ave (R0091909) — FY2024</t>
        </is>
      </c>
      <c r="B319" s="25" t="inlineStr">
        <is>
          <t>Expense</t>
        </is>
      </c>
      <c r="C319" s="6" t="inlineStr">
        <is>
          <t>60605 - Fire Alarm Mo/Monitor</t>
        </is>
      </c>
      <c r="D319" s="22" t="n">
        <v>500</v>
      </c>
      <c r="E319" s="6" t="n"/>
      <c r="F319" s="44" t="inlineStr">
        <is>
          <t>R0091909</t>
        </is>
      </c>
      <c r="G319" s="37" t="inlineStr">
        <is>
          <t>6125 E. 56th Ave</t>
        </is>
      </c>
      <c r="H319" s="45" t="n">
        <v>2024</v>
      </c>
      <c r="I319" s="44" t="inlineStr">
        <is>
          <t>Line item</t>
        </is>
      </c>
    </row>
    <row r="320">
      <c r="A320" s="6" t="inlineStr">
        <is>
          <t>6125 E. 56th Ave (R0091909) — FY2024</t>
        </is>
      </c>
      <c r="B320" s="25" t="inlineStr">
        <is>
          <t>Expense</t>
        </is>
      </c>
      <c r="C320" s="6" t="inlineStr">
        <is>
          <t>60610 - Fire Sprinkler, Alarm &amp; Extinguisher Inspection</t>
        </is>
      </c>
      <c r="D320" s="22" t="n">
        <v>321</v>
      </c>
      <c r="E320" s="6" t="n"/>
      <c r="F320" s="44" t="inlineStr">
        <is>
          <t>R0091909</t>
        </is>
      </c>
      <c r="G320" s="37" t="inlineStr">
        <is>
          <t>6125 E. 56th Ave</t>
        </is>
      </c>
      <c r="H320" s="45" t="n">
        <v>2024</v>
      </c>
      <c r="I320" s="44" t="inlineStr">
        <is>
          <t>Line item</t>
        </is>
      </c>
    </row>
    <row r="321">
      <c r="A321" s="6" t="inlineStr">
        <is>
          <t>6125 E. 56th Ave (R0091909) — FY2024</t>
        </is>
      </c>
      <c r="B321" s="25" t="inlineStr">
        <is>
          <t>Expense</t>
        </is>
      </c>
      <c r="C321" s="6" t="inlineStr">
        <is>
          <t>60615 - Fire Sprinkler Alarm &amp; Extinguisher R&amp;M</t>
        </is>
      </c>
      <c r="D321" s="22" t="n">
        <v>1368.36</v>
      </c>
      <c r="E321" s="6" t="n"/>
      <c r="F321" s="44" t="inlineStr">
        <is>
          <t>R0091909</t>
        </is>
      </c>
      <c r="G321" s="37" t="inlineStr">
        <is>
          <t>6125 E. 56th Ave</t>
        </is>
      </c>
      <c r="H321" s="45" t="n">
        <v>2024</v>
      </c>
      <c r="I321" s="44" t="inlineStr">
        <is>
          <t>Line item</t>
        </is>
      </c>
    </row>
    <row r="322">
      <c r="A322" s="6" t="inlineStr">
        <is>
          <t>6125 E. 56th Ave (R0091909) — FY2024</t>
        </is>
      </c>
      <c r="B322" s="25" t="inlineStr">
        <is>
          <t>Expense</t>
        </is>
      </c>
      <c r="C322" s="6" t="inlineStr">
        <is>
          <t>60905 - Wages R&amp;M</t>
        </is>
      </c>
      <c r="D322" s="22" t="n">
        <v>6721.78</v>
      </c>
      <c r="E322" s="6" t="n"/>
      <c r="F322" s="44" t="inlineStr">
        <is>
          <t>R0091909</t>
        </is>
      </c>
      <c r="G322" s="37" t="inlineStr">
        <is>
          <t>6125 E. 56th Ave</t>
        </is>
      </c>
      <c r="H322" s="45" t="n">
        <v>2024</v>
      </c>
      <c r="I322" s="44" t="inlineStr">
        <is>
          <t>Line item</t>
        </is>
      </c>
    </row>
    <row r="323">
      <c r="A323" s="6" t="inlineStr">
        <is>
          <t>6125 E. 56th Ave (R0091909) — FY2024</t>
        </is>
      </c>
      <c r="B323" s="25" t="inlineStr">
        <is>
          <t>Expense</t>
        </is>
      </c>
      <c r="C323" s="6" t="inlineStr">
        <is>
          <t>60915 - Maint Property Costs</t>
        </is>
      </c>
      <c r="D323" s="22" t="n">
        <v>1244.18</v>
      </c>
      <c r="E323" s="6" t="n"/>
      <c r="F323" s="44" t="inlineStr">
        <is>
          <t>R0091909</t>
        </is>
      </c>
      <c r="G323" s="37" t="inlineStr">
        <is>
          <t>6125 E. 56th Ave</t>
        </is>
      </c>
      <c r="H323" s="45" t="n">
        <v>2024</v>
      </c>
      <c r="I323" s="44" t="inlineStr">
        <is>
          <t>Line item</t>
        </is>
      </c>
    </row>
    <row r="324">
      <c r="A324" s="6" t="inlineStr">
        <is>
          <t>6125 E. 56th Ave (R0091909) — FY2024</t>
        </is>
      </c>
      <c r="B324" s="25" t="inlineStr">
        <is>
          <t>Expense</t>
        </is>
      </c>
      <c r="C324" s="6" t="inlineStr">
        <is>
          <t>60925 - Bldg Maint Supplies R&amp;M</t>
        </is>
      </c>
      <c r="D324" s="22" t="n">
        <v>6.42</v>
      </c>
      <c r="E324" s="6" t="n"/>
      <c r="F324" s="44" t="inlineStr">
        <is>
          <t>R0091909</t>
        </is>
      </c>
      <c r="G324" s="37" t="inlineStr">
        <is>
          <t>6125 E. 56th Ave</t>
        </is>
      </c>
      <c r="H324" s="45" t="n">
        <v>2024</v>
      </c>
      <c r="I324" s="44" t="inlineStr">
        <is>
          <t>Line item</t>
        </is>
      </c>
    </row>
    <row r="325">
      <c r="A325" s="6" t="inlineStr">
        <is>
          <t>6125 E. 56th Ave (R0091909) — FY2024</t>
        </is>
      </c>
      <c r="B325" s="25" t="inlineStr">
        <is>
          <t>Expense</t>
        </is>
      </c>
      <c r="C325" s="6" t="inlineStr">
        <is>
          <t>60940 - Signage CAM</t>
        </is>
      </c>
      <c r="D325" s="22" t="n">
        <v>19.78</v>
      </c>
      <c r="E325" s="6" t="n"/>
      <c r="F325" s="44" t="inlineStr">
        <is>
          <t>R0091909</t>
        </is>
      </c>
      <c r="G325" s="37" t="inlineStr">
        <is>
          <t>6125 E. 56th Ave</t>
        </is>
      </c>
      <c r="H325" s="45" t="n">
        <v>2024</v>
      </c>
      <c r="I325" s="44" t="inlineStr">
        <is>
          <t>Line item</t>
        </is>
      </c>
    </row>
    <row r="326">
      <c r="A326" s="6" t="inlineStr">
        <is>
          <t>6125 E. 56th Ave (R0091909) — FY2024</t>
        </is>
      </c>
      <c r="B326" s="25" t="inlineStr">
        <is>
          <t>Expense</t>
        </is>
      </c>
      <c r="C326" s="6" t="inlineStr">
        <is>
          <t>60955 - Management Fees</t>
        </is>
      </c>
      <c r="D326" s="22" t="n">
        <v>24552.73</v>
      </c>
      <c r="E326" s="6" t="n"/>
      <c r="F326" s="44" t="inlineStr">
        <is>
          <t>R0091909</t>
        </is>
      </c>
      <c r="G326" s="37" t="inlineStr">
        <is>
          <t>6125 E. 56th Ave</t>
        </is>
      </c>
      <c r="H326" s="45" t="n">
        <v>2024</v>
      </c>
      <c r="I326" s="44" t="inlineStr">
        <is>
          <t>Line item</t>
        </is>
      </c>
    </row>
    <row r="327">
      <c r="A327" s="6" t="inlineStr">
        <is>
          <t>6125 E. 56th Ave (R0091909) — FY2024</t>
        </is>
      </c>
      <c r="B327" s="25" t="inlineStr">
        <is>
          <t>Expense</t>
        </is>
      </c>
      <c r="C327" s="6" t="inlineStr">
        <is>
          <t>60965 - Professional Tax Review Fee</t>
        </is>
      </c>
      <c r="D327" s="22" t="n">
        <v>101.25</v>
      </c>
      <c r="E327" s="6" t="n"/>
      <c r="F327" s="44" t="inlineStr">
        <is>
          <t>R0091909</t>
        </is>
      </c>
      <c r="G327" s="37" t="inlineStr">
        <is>
          <t>6125 E. 56th Ave</t>
        </is>
      </c>
      <c r="H327" s="45" t="n">
        <v>2024</v>
      </c>
      <c r="I327" s="44" t="inlineStr">
        <is>
          <t>Line item</t>
        </is>
      </c>
    </row>
    <row r="328">
      <c r="A328" s="6" t="inlineStr">
        <is>
          <t>6125 E. 56th Ave (R0091909) — FY2024</t>
        </is>
      </c>
      <c r="B328" s="25" t="inlineStr">
        <is>
          <t>Expense</t>
        </is>
      </c>
      <c r="C328" s="6" t="inlineStr">
        <is>
          <t>61015 - Tax Real Estate</t>
        </is>
      </c>
      <c r="D328" s="22" t="n">
        <v>123036</v>
      </c>
      <c r="E328" s="6" t="n"/>
      <c r="F328" s="44" t="inlineStr">
        <is>
          <t>R0091909</t>
        </is>
      </c>
      <c r="G328" s="37" t="inlineStr">
        <is>
          <t>6125 E. 56th Ave</t>
        </is>
      </c>
      <c r="H328" s="45" t="n">
        <v>2024</v>
      </c>
      <c r="I328" s="44" t="inlineStr">
        <is>
          <t>Line item</t>
        </is>
      </c>
    </row>
    <row r="329">
      <c r="A329" s="6" t="inlineStr">
        <is>
          <t>6125 E. 56th Ave (R0091909) — FY2024</t>
        </is>
      </c>
      <c r="B329" s="25" t="inlineStr">
        <is>
          <t>Expense</t>
        </is>
      </c>
      <c r="C329" s="6" t="inlineStr">
        <is>
          <t>61020 - Insurance</t>
        </is>
      </c>
      <c r="D329" s="22" t="n">
        <v>7413</v>
      </c>
      <c r="E329" s="6" t="n"/>
      <c r="F329" s="44" t="inlineStr">
        <is>
          <t>R0091909</t>
        </is>
      </c>
      <c r="G329" s="37" t="inlineStr">
        <is>
          <t>6125 E. 56th Ave</t>
        </is>
      </c>
      <c r="H329" s="45" t="n">
        <v>2024</v>
      </c>
      <c r="I329" s="44" t="inlineStr">
        <is>
          <t>Line item</t>
        </is>
      </c>
    </row>
    <row r="330">
      <c r="A330" s="11" t="inlineStr">
        <is>
          <t>6125 E. 56th Ave (R0091909) — FY2024</t>
        </is>
      </c>
      <c r="B330" s="26" t="inlineStr">
        <is>
          <t>Expense</t>
        </is>
      </c>
      <c r="C330" s="12" t="inlineStr">
        <is>
          <t>TOTAL OPERATING EXPENSES</t>
        </is>
      </c>
      <c r="D330" s="23">
        <f>SUM(D306:D329)</f>
        <v/>
      </c>
      <c r="E330" s="18" t="inlineStr">
        <is>
          <t>Printed total: $202,426.50. Property NOI $290,784.57. Zero-value accounts omitted. Sterling letter recast: RE Taxes $123,036 + CAM Reimbursable $79,391 + CAM Non-Reimbursable $3,937 = $206,364.</t>
        </is>
      </c>
      <c r="F330" s="46" t="inlineStr">
        <is>
          <t>R0091909</t>
        </is>
      </c>
      <c r="G330" s="36" t="inlineStr">
        <is>
          <t>6125 E. 56th Ave</t>
        </is>
      </c>
      <c r="H330" s="47" t="n">
        <v>2024</v>
      </c>
      <c r="I330" s="46" t="inlineStr">
        <is>
          <t>Total</t>
        </is>
      </c>
    </row>
    <row r="331">
      <c r="A331" s="6" t="inlineStr">
        <is>
          <t>6125 E. 56th Ave (R0091909) — FY2024</t>
        </is>
      </c>
      <c r="B331" s="25" t="inlineStr">
        <is>
          <t>Memo (below NOI)</t>
        </is>
      </c>
      <c r="C331" s="6" t="inlineStr">
        <is>
          <t>Total Non-CAM Expenses</t>
        </is>
      </c>
      <c r="D331" s="22" t="n">
        <v>5690.66</v>
      </c>
      <c r="E331" s="6" t="inlineStr">
        <is>
          <t>Below Total Operating Expenses; not in the total above</t>
        </is>
      </c>
      <c r="F331" s="46" t="inlineStr">
        <is>
          <t>R0091909</t>
        </is>
      </c>
      <c r="G331" s="36" t="inlineStr">
        <is>
          <t>6125 E. 56th Ave</t>
        </is>
      </c>
      <c r="H331" s="47" t="n">
        <v>2024</v>
      </c>
      <c r="I331" s="46" t="inlineStr">
        <is>
          <t>Total</t>
        </is>
      </c>
    </row>
    <row r="332">
      <c r="A332" s="6" t="inlineStr">
        <is>
          <t>6125 E. 56th Ave (R0091909) — FY2024</t>
        </is>
      </c>
      <c r="B332" s="25" t="inlineStr">
        <is>
          <t>Memo (below NOI)</t>
        </is>
      </c>
      <c r="C332" s="6" t="inlineStr">
        <is>
          <t>Net Operating Income (after non-CAM)</t>
        </is>
      </c>
      <c r="D332" s="22" t="n">
        <v>285093.91</v>
      </c>
      <c r="E332" s="6" t="inlineStr">
        <is>
          <t>Below Total Operating Expenses; not in the total above</t>
        </is>
      </c>
      <c r="F332" s="44" t="inlineStr">
        <is>
          <t>R0091909</t>
        </is>
      </c>
      <c r="G332" s="37" t="inlineStr">
        <is>
          <t>6125 E. 56th Ave</t>
        </is>
      </c>
      <c r="H332" s="45" t="n">
        <v>2024</v>
      </c>
      <c r="I332" s="44" t="inlineStr">
        <is>
          <t>Memo</t>
        </is>
      </c>
    </row>
    <row r="333">
      <c r="A333" s="6" t="inlineStr">
        <is>
          <t>6125 E. 56th Ave (R0091909) — FY2024</t>
        </is>
      </c>
      <c r="B333" s="25" t="inlineStr">
        <is>
          <t>Memo (below NOI)</t>
        </is>
      </c>
      <c r="C333" s="6" t="inlineStr">
        <is>
          <t>Mortgage Interest</t>
        </is>
      </c>
      <c r="D333" s="22" t="n">
        <v>88433.45</v>
      </c>
      <c r="E333" s="6" t="inlineStr">
        <is>
          <t>Below Total Operating Expenses; not in the total above</t>
        </is>
      </c>
      <c r="F333" s="44" t="inlineStr">
        <is>
          <t>R0091909</t>
        </is>
      </c>
      <c r="G333" s="37" t="inlineStr">
        <is>
          <t>6125 E. 56th Ave</t>
        </is>
      </c>
      <c r="H333" s="45" t="n">
        <v>2024</v>
      </c>
      <c r="I333" s="44" t="inlineStr">
        <is>
          <t>Memo</t>
        </is>
      </c>
    </row>
    <row r="334">
      <c r="A334" s="6" t="inlineStr">
        <is>
          <t>6125 E. 56th Ave (R0091909) — FY2024</t>
        </is>
      </c>
      <c r="B334" s="25" t="inlineStr">
        <is>
          <t>Memo (below NOI)</t>
        </is>
      </c>
      <c r="C334" s="6" t="inlineStr">
        <is>
          <t>Total Depreciation &amp; Amortization</t>
        </is>
      </c>
      <c r="D334" s="22" t="n">
        <v>9945</v>
      </c>
      <c r="E334" s="6" t="inlineStr">
        <is>
          <t>Below Total Operating Expenses; not in the total above</t>
        </is>
      </c>
      <c r="F334" s="46" t="inlineStr">
        <is>
          <t>R0091909</t>
        </is>
      </c>
      <c r="G334" s="36" t="inlineStr">
        <is>
          <t>6125 E. 56th Ave</t>
        </is>
      </c>
      <c r="H334" s="47" t="n">
        <v>2024</v>
      </c>
      <c r="I334" s="46" t="inlineStr">
        <is>
          <t>Total</t>
        </is>
      </c>
    </row>
    <row r="335">
      <c r="A335" s="6" t="inlineStr">
        <is>
          <t>6125 E. 56th Ave (R0091909) — FY2024</t>
        </is>
      </c>
      <c r="B335" s="25" t="inlineStr">
        <is>
          <t>Memo (below NOI)</t>
        </is>
      </c>
      <c r="C335" s="6" t="inlineStr">
        <is>
          <t>Net Income</t>
        </is>
      </c>
      <c r="D335" s="22" t="n">
        <v>186715.46</v>
      </c>
      <c r="E335" s="6" t="inlineStr">
        <is>
          <t>Below Total Operating Expenses; not in the total above</t>
        </is>
      </c>
      <c r="F335" s="44" t="inlineStr">
        <is>
          <t>R0091909</t>
        </is>
      </c>
      <c r="G335" s="37" t="inlineStr">
        <is>
          <t>6125 E. 56th Ave</t>
        </is>
      </c>
      <c r="H335" s="45" t="n">
        <v>2024</v>
      </c>
      <c r="I335" s="44" t="inlineStr">
        <is>
          <t>Memo</t>
        </is>
      </c>
    </row>
    <row r="336">
      <c r="A336" s="6" t="inlineStr">
        <is>
          <t>6300 E. 58th Ave (R0091931) — FY2023</t>
        </is>
      </c>
      <c r="B336" s="25" t="inlineStr">
        <is>
          <t>Income</t>
        </is>
      </c>
      <c r="C336" s="6" t="inlineStr">
        <is>
          <t>51105 - Rent</t>
        </is>
      </c>
      <c r="D336" s="22" t="n">
        <v>949132.29</v>
      </c>
      <c r="E336" s="6" t="n"/>
      <c r="F336" s="44" t="inlineStr">
        <is>
          <t>R0091931</t>
        </is>
      </c>
      <c r="G336" s="37" t="inlineStr">
        <is>
          <t>6300 E. 58th Ave</t>
        </is>
      </c>
      <c r="H336" s="45" t="n">
        <v>2023</v>
      </c>
      <c r="I336" s="44" t="inlineStr">
        <is>
          <t>Line item</t>
        </is>
      </c>
    </row>
    <row r="337">
      <c r="A337" s="6" t="inlineStr">
        <is>
          <t>6300 E. 58th Ave (R0091931) — FY2023</t>
        </is>
      </c>
      <c r="B337" s="25" t="inlineStr">
        <is>
          <t>Income</t>
        </is>
      </c>
      <c r="C337" s="6" t="inlineStr">
        <is>
          <t>51205 - CAM Reimbursement Current</t>
        </is>
      </c>
      <c r="D337" s="22" t="n">
        <v>171756.32</v>
      </c>
      <c r="E337" s="6" t="n"/>
      <c r="F337" s="44" t="inlineStr">
        <is>
          <t>R0091931</t>
        </is>
      </c>
      <c r="G337" s="37" t="inlineStr">
        <is>
          <t>6300 E. 58th Ave</t>
        </is>
      </c>
      <c r="H337" s="45" t="n">
        <v>2023</v>
      </c>
      <c r="I337" s="44" t="inlineStr">
        <is>
          <t>Line item</t>
        </is>
      </c>
    </row>
    <row r="338">
      <c r="A338" s="6" t="inlineStr">
        <is>
          <t>6300 E. 58th Ave (R0091931) — FY2023</t>
        </is>
      </c>
      <c r="B338" s="25" t="inlineStr">
        <is>
          <t>Income</t>
        </is>
      </c>
      <c r="C338" s="6" t="inlineStr">
        <is>
          <t>51210 - Operating Expense Recovery</t>
        </is>
      </c>
      <c r="D338" s="22" t="n">
        <v>9030.51</v>
      </c>
      <c r="E338" s="6" t="n"/>
      <c r="F338" s="44" t="inlineStr">
        <is>
          <t>R0091931</t>
        </is>
      </c>
      <c r="G338" s="37" t="inlineStr">
        <is>
          <t>6300 E. 58th Ave</t>
        </is>
      </c>
      <c r="H338" s="45" t="n">
        <v>2023</v>
      </c>
      <c r="I338" s="44" t="inlineStr">
        <is>
          <t>Line item</t>
        </is>
      </c>
    </row>
    <row r="339">
      <c r="A339" s="6" t="inlineStr">
        <is>
          <t>6300 E. 58th Ave (R0091931) — FY2023</t>
        </is>
      </c>
      <c r="B339" s="25" t="inlineStr">
        <is>
          <t>Income</t>
        </is>
      </c>
      <c r="C339" s="6" t="inlineStr">
        <is>
          <t>51215 - Insurance Reimbursement</t>
        </is>
      </c>
      <c r="D339" s="22" t="n">
        <v>5715.64</v>
      </c>
      <c r="E339" s="6" t="n"/>
      <c r="F339" s="44" t="inlineStr">
        <is>
          <t>R0091931</t>
        </is>
      </c>
      <c r="G339" s="37" t="inlineStr">
        <is>
          <t>6300 E. 58th Ave</t>
        </is>
      </c>
      <c r="H339" s="45" t="n">
        <v>2023</v>
      </c>
      <c r="I339" s="44" t="inlineStr">
        <is>
          <t>Line item</t>
        </is>
      </c>
    </row>
    <row r="340">
      <c r="A340" s="6" t="inlineStr">
        <is>
          <t>6300 E. 58th Ave (R0091931) — FY2023</t>
        </is>
      </c>
      <c r="B340" s="25" t="inlineStr">
        <is>
          <t>Income</t>
        </is>
      </c>
      <c r="C340" s="6" t="inlineStr">
        <is>
          <t>51225 - RE Tax Reimbursement</t>
        </is>
      </c>
      <c r="D340" s="22" t="n">
        <v>99520.95</v>
      </c>
      <c r="E340" s="6" t="n"/>
      <c r="F340" s="44" t="inlineStr">
        <is>
          <t>R0091931</t>
        </is>
      </c>
      <c r="G340" s="37" t="inlineStr">
        <is>
          <t>6300 E. 58th Ave</t>
        </is>
      </c>
      <c r="H340" s="45" t="n">
        <v>2023</v>
      </c>
      <c r="I340" s="44" t="inlineStr">
        <is>
          <t>Line item</t>
        </is>
      </c>
    </row>
    <row r="341">
      <c r="A341" s="6" t="inlineStr">
        <is>
          <t>6300 E. 58th Ave (R0091931) — FY2023</t>
        </is>
      </c>
      <c r="B341" s="25" t="inlineStr">
        <is>
          <t>Income</t>
        </is>
      </c>
      <c r="C341" s="6" t="inlineStr">
        <is>
          <t>51320 - Late Fees &amp; Other Charges</t>
        </is>
      </c>
      <c r="D341" s="22" t="n">
        <v>3194.37</v>
      </c>
      <c r="E341" s="6" t="n"/>
      <c r="F341" s="44" t="inlineStr">
        <is>
          <t>R0091931</t>
        </is>
      </c>
      <c r="G341" s="37" t="inlineStr">
        <is>
          <t>6300 E. 58th Ave</t>
        </is>
      </c>
      <c r="H341" s="45" t="n">
        <v>2023</v>
      </c>
      <c r="I341" s="44" t="inlineStr">
        <is>
          <t>Line item</t>
        </is>
      </c>
    </row>
    <row r="342">
      <c r="A342" s="11" t="inlineStr">
        <is>
          <t>6300 E. 58th Ave (R0091931) — FY2023</t>
        </is>
      </c>
      <c r="B342" s="26" t="inlineStr">
        <is>
          <t>Income</t>
        </is>
      </c>
      <c r="C342" s="12" t="inlineStr">
        <is>
          <t>TOTAL OPERATING REVENUES</t>
        </is>
      </c>
      <c r="D342" s="23">
        <f>SUM(D336:D341)</f>
        <v/>
      </c>
      <c r="E342" s="18" t="inlineStr">
        <is>
          <t>Printed total: $1,238,350.08.</t>
        </is>
      </c>
      <c r="F342" s="46" t="inlineStr">
        <is>
          <t>R0091931</t>
        </is>
      </c>
      <c r="G342" s="36" t="inlineStr">
        <is>
          <t>6300 E. 58th Ave</t>
        </is>
      </c>
      <c r="H342" s="47" t="n">
        <v>2023</v>
      </c>
      <c r="I342" s="46" t="inlineStr">
        <is>
          <t>Total</t>
        </is>
      </c>
    </row>
    <row r="343">
      <c r="A343" s="6" t="inlineStr">
        <is>
          <t>6300 E. 58th Ave (R0091931) — FY2023</t>
        </is>
      </c>
      <c r="B343" s="25" t="inlineStr">
        <is>
          <t>Expense</t>
        </is>
      </c>
      <c r="C343" s="6" t="inlineStr">
        <is>
          <t>60105 - Elec House Meters</t>
        </is>
      </c>
      <c r="D343" s="22" t="n">
        <v>5593.1</v>
      </c>
      <c r="E343" s="6" t="n"/>
      <c r="F343" s="44" t="inlineStr">
        <is>
          <t>R0091931</t>
        </is>
      </c>
      <c r="G343" s="37" t="inlineStr">
        <is>
          <t>6300 E. 58th Ave</t>
        </is>
      </c>
      <c r="H343" s="45" t="n">
        <v>2023</v>
      </c>
      <c r="I343" s="44" t="inlineStr">
        <is>
          <t>Line item</t>
        </is>
      </c>
    </row>
    <row r="344">
      <c r="A344" s="6" t="inlineStr">
        <is>
          <t>6300 E. 58th Ave (R0091931) — FY2023</t>
        </is>
      </c>
      <c r="B344" s="25" t="inlineStr">
        <is>
          <t>Expense</t>
        </is>
      </c>
      <c r="C344" s="6" t="inlineStr">
        <is>
          <t>60115 - Water/Sewer</t>
        </is>
      </c>
      <c r="D344" s="22" t="n">
        <v>14166.64</v>
      </c>
      <c r="E344" s="6" t="n"/>
      <c r="F344" s="44" t="inlineStr">
        <is>
          <t>R0091931</t>
        </is>
      </c>
      <c r="G344" s="37" t="inlineStr">
        <is>
          <t>6300 E. 58th Ave</t>
        </is>
      </c>
      <c r="H344" s="45" t="n">
        <v>2023</v>
      </c>
      <c r="I344" s="44" t="inlineStr">
        <is>
          <t>Line item</t>
        </is>
      </c>
    </row>
    <row r="345">
      <c r="A345" s="6" t="inlineStr">
        <is>
          <t>6300 E. 58th Ave (R0091931) — FY2023</t>
        </is>
      </c>
      <c r="B345" s="25" t="inlineStr">
        <is>
          <t>Expense</t>
        </is>
      </c>
      <c r="C345" s="6" t="inlineStr">
        <is>
          <t>60220 - Parking Sweep Contract</t>
        </is>
      </c>
      <c r="D345" s="22" t="n">
        <v>2880</v>
      </c>
      <c r="E345" s="6" t="n"/>
      <c r="F345" s="44" t="inlineStr">
        <is>
          <t>R0091931</t>
        </is>
      </c>
      <c r="G345" s="37" t="inlineStr">
        <is>
          <t>6300 E. 58th Ave</t>
        </is>
      </c>
      <c r="H345" s="45" t="n">
        <v>2023</v>
      </c>
      <c r="I345" s="44" t="inlineStr">
        <is>
          <t>Line item</t>
        </is>
      </c>
    </row>
    <row r="346">
      <c r="A346" s="6" t="inlineStr">
        <is>
          <t>6300 E. 58th Ave (R0091931) — FY2023</t>
        </is>
      </c>
      <c r="B346" s="25" t="inlineStr">
        <is>
          <t>Expense</t>
        </is>
      </c>
      <c r="C346" s="6" t="inlineStr">
        <is>
          <t>60235 - Trash Removal Contract</t>
        </is>
      </c>
      <c r="D346" s="22" t="n">
        <v>930.1799999999999</v>
      </c>
      <c r="E346" s="6" t="n"/>
      <c r="F346" s="44" t="inlineStr">
        <is>
          <t>R0091931</t>
        </is>
      </c>
      <c r="G346" s="37" t="inlineStr">
        <is>
          <t>6300 E. 58th Ave</t>
        </is>
      </c>
      <c r="H346" s="45" t="n">
        <v>2023</v>
      </c>
      <c r="I346" s="44" t="inlineStr">
        <is>
          <t>Line item</t>
        </is>
      </c>
    </row>
    <row r="347">
      <c r="A347" s="6" t="inlineStr">
        <is>
          <t>6300 E. 58th Ave (R0091931) — FY2023</t>
        </is>
      </c>
      <c r="B347" s="25" t="inlineStr">
        <is>
          <t>Expense</t>
        </is>
      </c>
      <c r="C347" s="6" t="inlineStr">
        <is>
          <t>60315 - Door/Keys R&amp;M</t>
        </is>
      </c>
      <c r="D347" s="22" t="n">
        <v>3.06</v>
      </c>
      <c r="E347" s="6" t="n"/>
      <c r="F347" s="44" t="inlineStr">
        <is>
          <t>R0091931</t>
        </is>
      </c>
      <c r="G347" s="37" t="inlineStr">
        <is>
          <t>6300 E. 58th Ave</t>
        </is>
      </c>
      <c r="H347" s="45" t="n">
        <v>2023</v>
      </c>
      <c r="I347" s="44" t="inlineStr">
        <is>
          <t>Line item</t>
        </is>
      </c>
    </row>
    <row r="348">
      <c r="A348" s="6" t="inlineStr">
        <is>
          <t>6300 E. 58th Ave (R0091931) — FY2023</t>
        </is>
      </c>
      <c r="B348" s="25" t="inlineStr">
        <is>
          <t>Expense</t>
        </is>
      </c>
      <c r="C348" s="6" t="inlineStr">
        <is>
          <t>60405 - Backflow Inspections</t>
        </is>
      </c>
      <c r="D348" s="22" t="n">
        <v>490</v>
      </c>
      <c r="E348" s="6" t="n"/>
      <c r="F348" s="44" t="inlineStr">
        <is>
          <t>R0091931</t>
        </is>
      </c>
      <c r="G348" s="37" t="inlineStr">
        <is>
          <t>6300 E. 58th Ave</t>
        </is>
      </c>
      <c r="H348" s="45" t="n">
        <v>2023</v>
      </c>
      <c r="I348" s="44" t="inlineStr">
        <is>
          <t>Line item</t>
        </is>
      </c>
    </row>
    <row r="349">
      <c r="A349" s="6" t="inlineStr">
        <is>
          <t>6300 E. 58th Ave (R0091931) — FY2023</t>
        </is>
      </c>
      <c r="B349" s="25" t="inlineStr">
        <is>
          <t>Expense</t>
        </is>
      </c>
      <c r="C349" s="6" t="inlineStr">
        <is>
          <t>60410 - Backflow R&amp;M</t>
        </is>
      </c>
      <c r="D349" s="22" t="n">
        <v>3203.1</v>
      </c>
      <c r="E349" s="6" t="n"/>
      <c r="F349" s="44" t="inlineStr">
        <is>
          <t>R0091931</t>
        </is>
      </c>
      <c r="G349" s="37" t="inlineStr">
        <is>
          <t>6300 E. 58th Ave</t>
        </is>
      </c>
      <c r="H349" s="45" t="n">
        <v>2023</v>
      </c>
      <c r="I349" s="44" t="inlineStr">
        <is>
          <t>Line item</t>
        </is>
      </c>
    </row>
    <row r="350">
      <c r="A350" s="6" t="inlineStr">
        <is>
          <t>6300 E. 58th Ave (R0091931) — FY2023</t>
        </is>
      </c>
      <c r="B350" s="25" t="inlineStr">
        <is>
          <t>Expense</t>
        </is>
      </c>
      <c r="C350" s="6" t="inlineStr">
        <is>
          <t>60420 - Plumbing/Sewer R&amp;M</t>
        </is>
      </c>
      <c r="D350" s="22" t="n">
        <v>274.74</v>
      </c>
      <c r="E350" s="6" t="n"/>
      <c r="F350" s="44" t="inlineStr">
        <is>
          <t>R0091931</t>
        </is>
      </c>
      <c r="G350" s="37" t="inlineStr">
        <is>
          <t>6300 E. 58th Ave</t>
        </is>
      </c>
      <c r="H350" s="45" t="n">
        <v>2023</v>
      </c>
      <c r="I350" s="44" t="inlineStr">
        <is>
          <t>Line item</t>
        </is>
      </c>
    </row>
    <row r="351">
      <c r="A351" s="6" t="inlineStr">
        <is>
          <t>6300 E. 58th Ave (R0091931) — FY2023</t>
        </is>
      </c>
      <c r="B351" s="25" t="inlineStr">
        <is>
          <t>Expense</t>
        </is>
      </c>
      <c r="C351" s="6" t="inlineStr">
        <is>
          <t>60535 - Irrig Sprinklers R&amp;M</t>
        </is>
      </c>
      <c r="D351" s="22" t="n">
        <v>496.46</v>
      </c>
      <c r="E351" s="6" t="n"/>
      <c r="F351" s="44" t="inlineStr">
        <is>
          <t>R0091931</t>
        </is>
      </c>
      <c r="G351" s="37" t="inlineStr">
        <is>
          <t>6300 E. 58th Ave</t>
        </is>
      </c>
      <c r="H351" s="45" t="n">
        <v>2023</v>
      </c>
      <c r="I351" s="44" t="inlineStr">
        <is>
          <t>Line item</t>
        </is>
      </c>
    </row>
    <row r="352">
      <c r="A352" s="6" t="inlineStr">
        <is>
          <t>6300 E. 58th Ave (R0091931) — FY2023</t>
        </is>
      </c>
      <c r="B352" s="25" t="inlineStr">
        <is>
          <t>Expense</t>
        </is>
      </c>
      <c r="C352" s="6" t="inlineStr">
        <is>
          <t>60540 - Landscape Contract</t>
        </is>
      </c>
      <c r="D352" s="22" t="n">
        <v>4065.6</v>
      </c>
      <c r="E352" s="6" t="n"/>
      <c r="F352" s="44" t="inlineStr">
        <is>
          <t>R0091931</t>
        </is>
      </c>
      <c r="G352" s="37" t="inlineStr">
        <is>
          <t>6300 E. 58th Ave</t>
        </is>
      </c>
      <c r="H352" s="45" t="n">
        <v>2023</v>
      </c>
      <c r="I352" s="44" t="inlineStr">
        <is>
          <t>Line item</t>
        </is>
      </c>
    </row>
    <row r="353">
      <c r="A353" s="6" t="inlineStr">
        <is>
          <t>6300 E. 58th Ave (R0091931) — FY2023</t>
        </is>
      </c>
      <c r="B353" s="25" t="inlineStr">
        <is>
          <t>Expense</t>
        </is>
      </c>
      <c r="C353" s="6" t="inlineStr">
        <is>
          <t>60541 - Landscaping &amp; Irrigation Rpr &amp; Rpl</t>
        </is>
      </c>
      <c r="D353" s="22" t="n">
        <v>310.5</v>
      </c>
      <c r="E353" s="6" t="n"/>
      <c r="F353" s="44" t="inlineStr">
        <is>
          <t>R0091931</t>
        </is>
      </c>
      <c r="G353" s="37" t="inlineStr">
        <is>
          <t>6300 E. 58th Ave</t>
        </is>
      </c>
      <c r="H353" s="45" t="n">
        <v>2023</v>
      </c>
      <c r="I353" s="44" t="inlineStr">
        <is>
          <t>Line item</t>
        </is>
      </c>
    </row>
    <row r="354">
      <c r="A354" s="6" t="inlineStr">
        <is>
          <t>6300 E. 58th Ave (R0091931) — FY2023</t>
        </is>
      </c>
      <c r="B354" s="25" t="inlineStr">
        <is>
          <t>Expense</t>
        </is>
      </c>
      <c r="C354" s="6" t="inlineStr">
        <is>
          <t>60545 - Light R&amp;M Exterior</t>
        </is>
      </c>
      <c r="D354" s="22" t="n">
        <v>712.1</v>
      </c>
      <c r="E354" s="6" t="n"/>
      <c r="F354" s="44" t="inlineStr">
        <is>
          <t>R0091931</t>
        </is>
      </c>
      <c r="G354" s="37" t="inlineStr">
        <is>
          <t>6300 E. 58th Ave</t>
        </is>
      </c>
      <c r="H354" s="45" t="n">
        <v>2023</v>
      </c>
      <c r="I354" s="44" t="inlineStr">
        <is>
          <t>Line item</t>
        </is>
      </c>
    </row>
    <row r="355">
      <c r="A355" s="6" t="inlineStr">
        <is>
          <t>6300 E. 58th Ave (R0091931) — FY2023</t>
        </is>
      </c>
      <c r="B355" s="25" t="inlineStr">
        <is>
          <t>Expense</t>
        </is>
      </c>
      <c r="C355" s="6" t="inlineStr">
        <is>
          <t>60550 - Parking Lot/Sidewalk R&amp;M</t>
        </is>
      </c>
      <c r="D355" s="22" t="n">
        <v>3615</v>
      </c>
      <c r="E355" s="6" t="n"/>
      <c r="F355" s="44" t="inlineStr">
        <is>
          <t>R0091931</t>
        </is>
      </c>
      <c r="G355" s="37" t="inlineStr">
        <is>
          <t>6300 E. 58th Ave</t>
        </is>
      </c>
      <c r="H355" s="45" t="n">
        <v>2023</v>
      </c>
      <c r="I355" s="44" t="inlineStr">
        <is>
          <t>Line item</t>
        </is>
      </c>
    </row>
    <row r="356">
      <c r="A356" s="6" t="inlineStr">
        <is>
          <t>6300 E. 58th Ave (R0091931) — FY2023</t>
        </is>
      </c>
      <c r="B356" s="25" t="inlineStr">
        <is>
          <t>Expense</t>
        </is>
      </c>
      <c r="C356" s="6" t="inlineStr">
        <is>
          <t>60566 - Roof/Gut R&amp;M</t>
        </is>
      </c>
      <c r="D356" s="22" t="n">
        <v>6820.86</v>
      </c>
      <c r="E356" s="6" t="n"/>
      <c r="F356" s="44" t="inlineStr">
        <is>
          <t>R0091931</t>
        </is>
      </c>
      <c r="G356" s="37" t="inlineStr">
        <is>
          <t>6300 E. 58th Ave</t>
        </is>
      </c>
      <c r="H356" s="45" t="n">
        <v>2023</v>
      </c>
      <c r="I356" s="44" t="inlineStr">
        <is>
          <t>Line item</t>
        </is>
      </c>
    </row>
    <row r="357">
      <c r="A357" s="6" t="inlineStr">
        <is>
          <t>6300 E. 58th Ave (R0091931) — FY2023</t>
        </is>
      </c>
      <c r="B357" s="25" t="inlineStr">
        <is>
          <t>Expense</t>
        </is>
      </c>
      <c r="C357" s="6" t="inlineStr">
        <is>
          <t>60575 - Snow Removal</t>
        </is>
      </c>
      <c r="D357" s="22" t="n">
        <v>11271.25</v>
      </c>
      <c r="E357" s="6" t="n"/>
      <c r="F357" s="44" t="inlineStr">
        <is>
          <t>R0091931</t>
        </is>
      </c>
      <c r="G357" s="37" t="inlineStr">
        <is>
          <t>6300 E. 58th Ave</t>
        </is>
      </c>
      <c r="H357" s="45" t="n">
        <v>2023</v>
      </c>
      <c r="I357" s="44" t="inlineStr">
        <is>
          <t>Line item</t>
        </is>
      </c>
    </row>
    <row r="358">
      <c r="A358" s="6" t="inlineStr">
        <is>
          <t>6300 E. 58th Ave (R0091931) — FY2023</t>
        </is>
      </c>
      <c r="B358" s="25" t="inlineStr">
        <is>
          <t>Expense</t>
        </is>
      </c>
      <c r="C358" s="6" t="inlineStr">
        <is>
          <t>60605 - Fire Alarm Mo/Monitor</t>
        </is>
      </c>
      <c r="D358" s="22" t="n">
        <v>1500</v>
      </c>
      <c r="E358" s="6" t="n"/>
      <c r="F358" s="44" t="inlineStr">
        <is>
          <t>R0091931</t>
        </is>
      </c>
      <c r="G358" s="37" t="inlineStr">
        <is>
          <t>6300 E. 58th Ave</t>
        </is>
      </c>
      <c r="H358" s="45" t="n">
        <v>2023</v>
      </c>
      <c r="I358" s="44" t="inlineStr">
        <is>
          <t>Line item</t>
        </is>
      </c>
    </row>
    <row r="359">
      <c r="A359" s="6" t="inlineStr">
        <is>
          <t>6300 E. 58th Ave (R0091931) — FY2023</t>
        </is>
      </c>
      <c r="B359" s="25" t="inlineStr">
        <is>
          <t>Expense</t>
        </is>
      </c>
      <c r="C359" s="6" t="inlineStr">
        <is>
          <t>60610 - Fire Sprinkler, Alarm &amp; Extinguisher Inspection</t>
        </is>
      </c>
      <c r="D359" s="22" t="n">
        <v>640</v>
      </c>
      <c r="E359" s="6" t="n"/>
      <c r="F359" s="44" t="inlineStr">
        <is>
          <t>R0091931</t>
        </is>
      </c>
      <c r="G359" s="37" t="inlineStr">
        <is>
          <t>6300 E. 58th Ave</t>
        </is>
      </c>
      <c r="H359" s="45" t="n">
        <v>2023</v>
      </c>
      <c r="I359" s="44" t="inlineStr">
        <is>
          <t>Line item</t>
        </is>
      </c>
    </row>
    <row r="360">
      <c r="A360" s="6" t="inlineStr">
        <is>
          <t>6300 E. 58th Ave (R0091931) — FY2023</t>
        </is>
      </c>
      <c r="B360" s="25" t="inlineStr">
        <is>
          <t>Expense</t>
        </is>
      </c>
      <c r="C360" s="6" t="inlineStr">
        <is>
          <t>60615 - Fire Sprinkler Alarm &amp; Extinguisher R&amp;M</t>
        </is>
      </c>
      <c r="D360" s="22" t="n">
        <v>4287.04</v>
      </c>
      <c r="E360" s="6" t="n"/>
      <c r="F360" s="44" t="inlineStr">
        <is>
          <t>R0091931</t>
        </is>
      </c>
      <c r="G360" s="37" t="inlineStr">
        <is>
          <t>6300 E. 58th Ave</t>
        </is>
      </c>
      <c r="H360" s="45" t="n">
        <v>2023</v>
      </c>
      <c r="I360" s="44" t="inlineStr">
        <is>
          <t>Line item</t>
        </is>
      </c>
    </row>
    <row r="361">
      <c r="A361" s="6" t="inlineStr">
        <is>
          <t>6300 E. 58th Ave (R0091931) — FY2023</t>
        </is>
      </c>
      <c r="B361" s="25" t="inlineStr">
        <is>
          <t>Expense</t>
        </is>
      </c>
      <c r="C361" s="6" t="inlineStr">
        <is>
          <t>60620 - Fire Sprinklers Inspect/R&amp;M</t>
        </is>
      </c>
      <c r="D361" s="22" t="n">
        <v>150</v>
      </c>
      <c r="E361" s="6" t="n"/>
      <c r="F361" s="44" t="inlineStr">
        <is>
          <t>R0091931</t>
        </is>
      </c>
      <c r="G361" s="37" t="inlineStr">
        <is>
          <t>6300 E. 58th Ave</t>
        </is>
      </c>
      <c r="H361" s="45" t="n">
        <v>2023</v>
      </c>
      <c r="I361" s="44" t="inlineStr">
        <is>
          <t>Line item</t>
        </is>
      </c>
    </row>
    <row r="362">
      <c r="A362" s="6" t="inlineStr">
        <is>
          <t>6300 E. 58th Ave (R0091931) — FY2023</t>
        </is>
      </c>
      <c r="B362" s="25" t="inlineStr">
        <is>
          <t>Expense</t>
        </is>
      </c>
      <c r="C362" s="6" t="inlineStr">
        <is>
          <t>60905 - Wages R&amp;M</t>
        </is>
      </c>
      <c r="D362" s="22" t="n">
        <v>19449.69</v>
      </c>
      <c r="E362" s="6" t="n"/>
      <c r="F362" s="44" t="inlineStr">
        <is>
          <t>R0091931</t>
        </is>
      </c>
      <c r="G362" s="37" t="inlineStr">
        <is>
          <t>6300 E. 58th Ave</t>
        </is>
      </c>
      <c r="H362" s="45" t="n">
        <v>2023</v>
      </c>
      <c r="I362" s="44" t="inlineStr">
        <is>
          <t>Line item</t>
        </is>
      </c>
    </row>
    <row r="363">
      <c r="A363" s="6" t="inlineStr">
        <is>
          <t>6300 E. 58th Ave (R0091931) — FY2023</t>
        </is>
      </c>
      <c r="B363" s="25" t="inlineStr">
        <is>
          <t>Expense</t>
        </is>
      </c>
      <c r="C363" s="6" t="inlineStr">
        <is>
          <t>60915 - Maint Property Costs</t>
        </is>
      </c>
      <c r="D363" s="22" t="n">
        <v>3517.38</v>
      </c>
      <c r="E363" s="6" t="n"/>
      <c r="F363" s="44" t="inlineStr">
        <is>
          <t>R0091931</t>
        </is>
      </c>
      <c r="G363" s="37" t="inlineStr">
        <is>
          <t>6300 E. 58th Ave</t>
        </is>
      </c>
      <c r="H363" s="45" t="n">
        <v>2023</v>
      </c>
      <c r="I363" s="44" t="inlineStr">
        <is>
          <t>Line item</t>
        </is>
      </c>
    </row>
    <row r="364">
      <c r="A364" s="6" t="inlineStr">
        <is>
          <t>6300 E. 58th Ave (R0091931) — FY2023</t>
        </is>
      </c>
      <c r="B364" s="25" t="inlineStr">
        <is>
          <t>Expense</t>
        </is>
      </c>
      <c r="C364" s="6" t="inlineStr">
        <is>
          <t>60920 - Small Tools &amp; Equipment</t>
        </is>
      </c>
      <c r="D364" s="22" t="n">
        <v>22.05</v>
      </c>
      <c r="E364" s="6" t="n"/>
      <c r="F364" s="44" t="inlineStr">
        <is>
          <t>R0091931</t>
        </is>
      </c>
      <c r="G364" s="37" t="inlineStr">
        <is>
          <t>6300 E. 58th Ave</t>
        </is>
      </c>
      <c r="H364" s="45" t="n">
        <v>2023</v>
      </c>
      <c r="I364" s="44" t="inlineStr">
        <is>
          <t>Line item</t>
        </is>
      </c>
    </row>
    <row r="365">
      <c r="A365" s="6" t="inlineStr">
        <is>
          <t>6300 E. 58th Ave (R0091931) — FY2023</t>
        </is>
      </c>
      <c r="B365" s="25" t="inlineStr">
        <is>
          <t>Expense</t>
        </is>
      </c>
      <c r="C365" s="6" t="inlineStr">
        <is>
          <t>60925 - Bldg Maint Supplies R&amp;M</t>
        </is>
      </c>
      <c r="D365" s="22" t="n">
        <v>225.36</v>
      </c>
      <c r="E365" s="6" t="n"/>
      <c r="F365" s="44" t="inlineStr">
        <is>
          <t>R0091931</t>
        </is>
      </c>
      <c r="G365" s="37" t="inlineStr">
        <is>
          <t>6300 E. 58th Ave</t>
        </is>
      </c>
      <c r="H365" s="45" t="n">
        <v>2023</v>
      </c>
      <c r="I365" s="44" t="inlineStr">
        <is>
          <t>Line item</t>
        </is>
      </c>
    </row>
    <row r="366">
      <c r="A366" s="6" t="inlineStr">
        <is>
          <t>6300 E. 58th Ave (R0091931) — FY2023</t>
        </is>
      </c>
      <c r="B366" s="25" t="inlineStr">
        <is>
          <t>Expense</t>
        </is>
      </c>
      <c r="C366" s="6" t="inlineStr">
        <is>
          <t>60950 - Administration Fees</t>
        </is>
      </c>
      <c r="D366" s="22" t="n">
        <v>15479.38</v>
      </c>
      <c r="E366" s="6" t="n"/>
      <c r="F366" s="44" t="inlineStr">
        <is>
          <t>R0091931</t>
        </is>
      </c>
      <c r="G366" s="37" t="inlineStr">
        <is>
          <t>6300 E. 58th Ave</t>
        </is>
      </c>
      <c r="H366" s="45" t="n">
        <v>2023</v>
      </c>
      <c r="I366" s="44" t="inlineStr">
        <is>
          <t>Line item</t>
        </is>
      </c>
    </row>
    <row r="367">
      <c r="A367" s="6" t="inlineStr">
        <is>
          <t>6300 E. 58th Ave (R0091931) — FY2023</t>
        </is>
      </c>
      <c r="B367" s="25" t="inlineStr">
        <is>
          <t>Expense</t>
        </is>
      </c>
      <c r="C367" s="6" t="inlineStr">
        <is>
          <t>60955 - Management Fees</t>
        </is>
      </c>
      <c r="D367" s="22" t="n">
        <v>46438.12</v>
      </c>
      <c r="E367" s="6" t="n"/>
      <c r="F367" s="44" t="inlineStr">
        <is>
          <t>R0091931</t>
        </is>
      </c>
      <c r="G367" s="37" t="inlineStr">
        <is>
          <t>6300 E. 58th Ave</t>
        </is>
      </c>
      <c r="H367" s="45" t="n">
        <v>2023</v>
      </c>
      <c r="I367" s="44" t="inlineStr">
        <is>
          <t>Line item</t>
        </is>
      </c>
    </row>
    <row r="368">
      <c r="A368" s="6" t="inlineStr">
        <is>
          <t>6300 E. 58th Ave (R0091931) — FY2023</t>
        </is>
      </c>
      <c r="B368" s="25" t="inlineStr">
        <is>
          <t>Expense</t>
        </is>
      </c>
      <c r="C368" s="6" t="inlineStr">
        <is>
          <t>60965 - Professional Tax Review Fee</t>
        </is>
      </c>
      <c r="D368" s="22" t="n">
        <v>101.25</v>
      </c>
      <c r="E368" s="6" t="n"/>
      <c r="F368" s="44" t="inlineStr">
        <is>
          <t>R0091931</t>
        </is>
      </c>
      <c r="G368" s="37" t="inlineStr">
        <is>
          <t>6300 E. 58th Ave</t>
        </is>
      </c>
      <c r="H368" s="45" t="n">
        <v>2023</v>
      </c>
      <c r="I368" s="44" t="inlineStr">
        <is>
          <t>Line item</t>
        </is>
      </c>
    </row>
    <row r="369">
      <c r="A369" s="6" t="inlineStr">
        <is>
          <t>6300 E. 58th Ave (R0091931) — FY2023</t>
        </is>
      </c>
      <c r="B369" s="25" t="inlineStr">
        <is>
          <t>Expense</t>
        </is>
      </c>
      <c r="C369" s="6" t="inlineStr">
        <is>
          <t>61015 - Tax Real Estate</t>
        </is>
      </c>
      <c r="D369" s="22" t="n">
        <v>283603.36</v>
      </c>
      <c r="E369" s="6" t="n"/>
      <c r="F369" s="44" t="inlineStr">
        <is>
          <t>R0091931</t>
        </is>
      </c>
      <c r="G369" s="37" t="inlineStr">
        <is>
          <t>6300 E. 58th Ave</t>
        </is>
      </c>
      <c r="H369" s="45" t="n">
        <v>2023</v>
      </c>
      <c r="I369" s="44" t="inlineStr">
        <is>
          <t>Line item</t>
        </is>
      </c>
    </row>
    <row r="370">
      <c r="A370" s="6" t="inlineStr">
        <is>
          <t>6300 E. 58th Ave (R0091931) — FY2023</t>
        </is>
      </c>
      <c r="B370" s="25" t="inlineStr">
        <is>
          <t>Expense</t>
        </is>
      </c>
      <c r="C370" s="6" t="inlineStr">
        <is>
          <t>61020 - Insurance</t>
        </is>
      </c>
      <c r="D370" s="22" t="n">
        <v>15839</v>
      </c>
      <c r="E370" s="6" t="n"/>
      <c r="F370" s="44" t="inlineStr">
        <is>
          <t>R0091931</t>
        </is>
      </c>
      <c r="G370" s="37" t="inlineStr">
        <is>
          <t>6300 E. 58th Ave</t>
        </is>
      </c>
      <c r="H370" s="45" t="n">
        <v>2023</v>
      </c>
      <c r="I370" s="44" t="inlineStr">
        <is>
          <t>Line item</t>
        </is>
      </c>
    </row>
    <row r="371">
      <c r="A371" s="11" t="inlineStr">
        <is>
          <t>6300 E. 58th Ave (R0091931) — FY2023</t>
        </is>
      </c>
      <c r="B371" s="26" t="inlineStr">
        <is>
          <t>Expense</t>
        </is>
      </c>
      <c r="C371" s="12" t="inlineStr">
        <is>
          <t>TOTAL OPERATING EXPENSES</t>
        </is>
      </c>
      <c r="D371" s="23">
        <f>SUM(D343:D370)</f>
        <v/>
      </c>
      <c r="E371" s="18" t="inlineStr">
        <is>
          <t>Printed total: $446,085.22. Property NOI $792,264.86. Zero-value accounts omitted. Sterling letter recast: RE Taxes $283,603 + CAM Reimbursable $162,482 + CAM Non-Reimbursable $92,819 = $538,904.</t>
        </is>
      </c>
      <c r="F371" s="46" t="inlineStr">
        <is>
          <t>R0091931</t>
        </is>
      </c>
      <c r="G371" s="36" t="inlineStr">
        <is>
          <t>6300 E. 58th Ave</t>
        </is>
      </c>
      <c r="H371" s="47" t="n">
        <v>2023</v>
      </c>
      <c r="I371" s="46" t="inlineStr">
        <is>
          <t>Total</t>
        </is>
      </c>
    </row>
    <row r="372">
      <c r="A372" s="6" t="inlineStr">
        <is>
          <t>6300 E. 58th Ave (R0091931) — FY2023</t>
        </is>
      </c>
      <c r="B372" s="25" t="inlineStr">
        <is>
          <t>Memo (below NOI)</t>
        </is>
      </c>
      <c r="C372" s="6" t="inlineStr">
        <is>
          <t>Total Non-CAM Expenses</t>
        </is>
      </c>
      <c r="D372" s="22" t="n">
        <v>106300.92</v>
      </c>
      <c r="E372" s="6" t="inlineStr">
        <is>
          <t>Below Total Operating Expenses; not in the total above</t>
        </is>
      </c>
      <c r="F372" s="46" t="inlineStr">
        <is>
          <t>R0091931</t>
        </is>
      </c>
      <c r="G372" s="36" t="inlineStr">
        <is>
          <t>6300 E. 58th Ave</t>
        </is>
      </c>
      <c r="H372" s="47" t="n">
        <v>2023</v>
      </c>
      <c r="I372" s="46" t="inlineStr">
        <is>
          <t>Total</t>
        </is>
      </c>
    </row>
    <row r="373">
      <c r="A373" s="6" t="inlineStr">
        <is>
          <t>6300 E. 58th Ave (R0091931) — FY2023</t>
        </is>
      </c>
      <c r="B373" s="25" t="inlineStr">
        <is>
          <t>Memo (below NOI)</t>
        </is>
      </c>
      <c r="C373" s="6" t="inlineStr">
        <is>
          <t>Net Operating Income (after non-CAM)</t>
        </is>
      </c>
      <c r="D373" s="22" t="n">
        <v>685963.9399999999</v>
      </c>
      <c r="E373" s="6" t="inlineStr">
        <is>
          <t>Below Total Operating Expenses; not in the total above</t>
        </is>
      </c>
      <c r="F373" s="44" t="inlineStr">
        <is>
          <t>R0091931</t>
        </is>
      </c>
      <c r="G373" s="37" t="inlineStr">
        <is>
          <t>6300 E. 58th Ave</t>
        </is>
      </c>
      <c r="H373" s="45" t="n">
        <v>2023</v>
      </c>
      <c r="I373" s="44" t="inlineStr">
        <is>
          <t>Memo</t>
        </is>
      </c>
    </row>
    <row r="374">
      <c r="A374" s="6" t="inlineStr">
        <is>
          <t>6300 E. 58th Ave (R0091931) — FY2023</t>
        </is>
      </c>
      <c r="B374" s="25" t="inlineStr">
        <is>
          <t>Memo (below NOI)</t>
        </is>
      </c>
      <c r="C374" s="6" t="inlineStr">
        <is>
          <t>Mortgage Interest</t>
        </is>
      </c>
      <c r="D374" s="22" t="n">
        <v>203644.95</v>
      </c>
      <c r="E374" s="6" t="inlineStr">
        <is>
          <t>Below Total Operating Expenses; not in the total above</t>
        </is>
      </c>
      <c r="F374" s="44" t="inlineStr">
        <is>
          <t>R0091931</t>
        </is>
      </c>
      <c r="G374" s="37" t="inlineStr">
        <is>
          <t>6300 E. 58th Ave</t>
        </is>
      </c>
      <c r="H374" s="45" t="n">
        <v>2023</v>
      </c>
      <c r="I374" s="44" t="inlineStr">
        <is>
          <t>Memo</t>
        </is>
      </c>
    </row>
    <row r="375">
      <c r="A375" s="6" t="inlineStr">
        <is>
          <t>6300 E. 58th Ave (R0091931) — FY2023</t>
        </is>
      </c>
      <c r="B375" s="25" t="inlineStr">
        <is>
          <t>Memo (below NOI)</t>
        </is>
      </c>
      <c r="C375" s="6" t="inlineStr">
        <is>
          <t>Total Depreciation &amp; Amortization</t>
        </is>
      </c>
      <c r="D375" s="22" t="n">
        <v>101299</v>
      </c>
      <c r="E375" s="6" t="inlineStr">
        <is>
          <t>Below Total Operating Expenses; not in the total above</t>
        </is>
      </c>
      <c r="F375" s="46" t="inlineStr">
        <is>
          <t>R0091931</t>
        </is>
      </c>
      <c r="G375" s="36" t="inlineStr">
        <is>
          <t>6300 E. 58th Ave</t>
        </is>
      </c>
      <c r="H375" s="47" t="n">
        <v>2023</v>
      </c>
      <c r="I375" s="46" t="inlineStr">
        <is>
          <t>Total</t>
        </is>
      </c>
    </row>
    <row r="376">
      <c r="A376" s="6" t="inlineStr">
        <is>
          <t>6300 E. 58th Ave (R0091931) — FY2023</t>
        </is>
      </c>
      <c r="B376" s="25" t="inlineStr">
        <is>
          <t>Memo (below NOI)</t>
        </is>
      </c>
      <c r="C376" s="6" t="inlineStr">
        <is>
          <t>Net Income</t>
        </is>
      </c>
      <c r="D376" s="22" t="n">
        <v>381019.99</v>
      </c>
      <c r="E376" s="6" t="inlineStr">
        <is>
          <t>Below Total Operating Expenses; not in the total above</t>
        </is>
      </c>
      <c r="F376" s="44" t="inlineStr">
        <is>
          <t>R0091931</t>
        </is>
      </c>
      <c r="G376" s="37" t="inlineStr">
        <is>
          <t>6300 E. 58th Ave</t>
        </is>
      </c>
      <c r="H376" s="45" t="n">
        <v>2023</v>
      </c>
      <c r="I376" s="44" t="inlineStr">
        <is>
          <t>Memo</t>
        </is>
      </c>
    </row>
    <row r="377">
      <c r="A377" s="6" t="inlineStr">
        <is>
          <t>6300 E. 58th Ave (R0091931) — FY2024</t>
        </is>
      </c>
      <c r="B377" s="25" t="inlineStr">
        <is>
          <t>Income</t>
        </is>
      </c>
      <c r="C377" s="6" t="inlineStr">
        <is>
          <t>51105 - Rent</t>
        </is>
      </c>
      <c r="D377" s="22" t="n">
        <v>911910.75</v>
      </c>
      <c r="E377" s="6" t="n"/>
      <c r="F377" s="44" t="inlineStr">
        <is>
          <t>R0091931</t>
        </is>
      </c>
      <c r="G377" s="37" t="inlineStr">
        <is>
          <t>6300 E. 58th Ave</t>
        </is>
      </c>
      <c r="H377" s="45" t="n">
        <v>2024</v>
      </c>
      <c r="I377" s="44" t="inlineStr">
        <is>
          <t>Line item</t>
        </is>
      </c>
    </row>
    <row r="378">
      <c r="A378" s="6" t="inlineStr">
        <is>
          <t>6300 E. 58th Ave (R0091931) — FY2024</t>
        </is>
      </c>
      <c r="B378" s="25" t="inlineStr">
        <is>
          <t>Income</t>
        </is>
      </c>
      <c r="C378" s="6" t="inlineStr">
        <is>
          <t>51205 - CAM Reimbursement Current</t>
        </is>
      </c>
      <c r="D378" s="22" t="n">
        <v>195793.69</v>
      </c>
      <c r="E378" s="6" t="n"/>
      <c r="F378" s="44" t="inlineStr">
        <is>
          <t>R0091931</t>
        </is>
      </c>
      <c r="G378" s="37" t="inlineStr">
        <is>
          <t>6300 E. 58th Ave</t>
        </is>
      </c>
      <c r="H378" s="45" t="n">
        <v>2024</v>
      </c>
      <c r="I378" s="44" t="inlineStr">
        <is>
          <t>Line item</t>
        </is>
      </c>
    </row>
    <row r="379">
      <c r="A379" s="6" t="inlineStr">
        <is>
          <t>6300 E. 58th Ave (R0091931) — FY2024</t>
        </is>
      </c>
      <c r="B379" s="25" t="inlineStr">
        <is>
          <t>Income</t>
        </is>
      </c>
      <c r="C379" s="6" t="inlineStr">
        <is>
          <t>51210 - Operating Expense Recovery</t>
        </is>
      </c>
      <c r="D379" s="22" t="n">
        <v>41442.85</v>
      </c>
      <c r="E379" s="6" t="n"/>
      <c r="F379" s="44" t="inlineStr">
        <is>
          <t>R0091931</t>
        </is>
      </c>
      <c r="G379" s="37" t="inlineStr">
        <is>
          <t>6300 E. 58th Ave</t>
        </is>
      </c>
      <c r="H379" s="45" t="n">
        <v>2024</v>
      </c>
      <c r="I379" s="44" t="inlineStr">
        <is>
          <t>Line item</t>
        </is>
      </c>
    </row>
    <row r="380">
      <c r="A380" s="6" t="inlineStr">
        <is>
          <t>6300 E. 58th Ave (R0091931) — FY2024</t>
        </is>
      </c>
      <c r="B380" s="25" t="inlineStr">
        <is>
          <t>Income</t>
        </is>
      </c>
      <c r="C380" s="6" t="inlineStr">
        <is>
          <t>51215 - Insurance Reimbursement</t>
        </is>
      </c>
      <c r="D380" s="22" t="n">
        <v>8696.98</v>
      </c>
      <c r="E380" s="6" t="n"/>
      <c r="F380" s="44" t="inlineStr">
        <is>
          <t>R0091931</t>
        </is>
      </c>
      <c r="G380" s="37" t="inlineStr">
        <is>
          <t>6300 E. 58th Ave</t>
        </is>
      </c>
      <c r="H380" s="45" t="n">
        <v>2024</v>
      </c>
      <c r="I380" s="44" t="inlineStr">
        <is>
          <t>Line item</t>
        </is>
      </c>
    </row>
    <row r="381">
      <c r="A381" s="6" t="inlineStr">
        <is>
          <t>6300 E. 58th Ave (R0091931) — FY2024</t>
        </is>
      </c>
      <c r="B381" s="25" t="inlineStr">
        <is>
          <t>Income</t>
        </is>
      </c>
      <c r="C381" s="6" t="inlineStr">
        <is>
          <t>51225 - RE Tax Reimbursement</t>
        </is>
      </c>
      <c r="D381" s="22" t="n">
        <v>141281.19</v>
      </c>
      <c r="E381" s="6" t="n"/>
      <c r="F381" s="44" t="inlineStr">
        <is>
          <t>R0091931</t>
        </is>
      </c>
      <c r="G381" s="37" t="inlineStr">
        <is>
          <t>6300 E. 58th Ave</t>
        </is>
      </c>
      <c r="H381" s="45" t="n">
        <v>2024</v>
      </c>
      <c r="I381" s="44" t="inlineStr">
        <is>
          <t>Line item</t>
        </is>
      </c>
    </row>
    <row r="382">
      <c r="A382" s="6" t="inlineStr">
        <is>
          <t>6300 E. 58th Ave (R0091931) — FY2024</t>
        </is>
      </c>
      <c r="B382" s="25" t="inlineStr">
        <is>
          <t>Income</t>
        </is>
      </c>
      <c r="C382" s="6" t="inlineStr">
        <is>
          <t>51310 - Holdover Income</t>
        </is>
      </c>
      <c r="D382" s="22" t="n">
        <v>3750</v>
      </c>
      <c r="E382" s="6" t="n"/>
      <c r="F382" s="44" t="inlineStr">
        <is>
          <t>R0091931</t>
        </is>
      </c>
      <c r="G382" s="37" t="inlineStr">
        <is>
          <t>6300 E. 58th Ave</t>
        </is>
      </c>
      <c r="H382" s="45" t="n">
        <v>2024</v>
      </c>
      <c r="I382" s="44" t="inlineStr">
        <is>
          <t>Line item</t>
        </is>
      </c>
    </row>
    <row r="383">
      <c r="A383" s="6" t="inlineStr">
        <is>
          <t>6300 E. 58th Ave (R0091931) — FY2024</t>
        </is>
      </c>
      <c r="B383" s="25" t="inlineStr">
        <is>
          <t>Income</t>
        </is>
      </c>
      <c r="C383" s="6" t="inlineStr">
        <is>
          <t>51320 - Late Fees &amp; Other Charges</t>
        </is>
      </c>
      <c r="D383" s="22" t="n">
        <v>2391.07</v>
      </c>
      <c r="E383" s="6" t="n"/>
      <c r="F383" s="44" t="inlineStr">
        <is>
          <t>R0091931</t>
        </is>
      </c>
      <c r="G383" s="37" t="inlineStr">
        <is>
          <t>6300 E. 58th Ave</t>
        </is>
      </c>
      <c r="H383" s="45" t="n">
        <v>2024</v>
      </c>
      <c r="I383" s="44" t="inlineStr">
        <is>
          <t>Line item</t>
        </is>
      </c>
    </row>
    <row r="384">
      <c r="A384" s="6" t="inlineStr">
        <is>
          <t>6300 E. 58th Ave (R0091931) — FY2024</t>
        </is>
      </c>
      <c r="B384" s="25" t="inlineStr">
        <is>
          <t>Income</t>
        </is>
      </c>
      <c r="C384" s="6" t="inlineStr">
        <is>
          <t>51335 - Misc Income Property</t>
        </is>
      </c>
      <c r="D384" s="22" t="n">
        <v>1911.46</v>
      </c>
      <c r="E384" s="6" t="n"/>
      <c r="F384" s="44" t="inlineStr">
        <is>
          <t>R0091931</t>
        </is>
      </c>
      <c r="G384" s="37" t="inlineStr">
        <is>
          <t>6300 E. 58th Ave</t>
        </is>
      </c>
      <c r="H384" s="45" t="n">
        <v>2024</v>
      </c>
      <c r="I384" s="44" t="inlineStr">
        <is>
          <t>Line item</t>
        </is>
      </c>
    </row>
    <row r="385">
      <c r="A385" s="11" t="inlineStr">
        <is>
          <t>6300 E. 58th Ave (R0091931) — FY2024</t>
        </is>
      </c>
      <c r="B385" s="26" t="inlineStr">
        <is>
          <t>Income</t>
        </is>
      </c>
      <c r="C385" s="12" t="inlineStr">
        <is>
          <t>TOTAL OPERATING REVENUES</t>
        </is>
      </c>
      <c r="D385" s="23">
        <f>SUM(D377:D384)</f>
        <v/>
      </c>
      <c r="E385" s="18" t="inlineStr">
        <is>
          <t>Printed total: $1,307,177.99.</t>
        </is>
      </c>
      <c r="F385" s="46" t="inlineStr">
        <is>
          <t>R0091931</t>
        </is>
      </c>
      <c r="G385" s="36" t="inlineStr">
        <is>
          <t>6300 E. 58th Ave</t>
        </is>
      </c>
      <c r="H385" s="47" t="n">
        <v>2024</v>
      </c>
      <c r="I385" s="46" t="inlineStr">
        <is>
          <t>Total</t>
        </is>
      </c>
    </row>
    <row r="386">
      <c r="A386" s="6" t="inlineStr">
        <is>
          <t>6300 E. 58th Ave (R0091931) — FY2024</t>
        </is>
      </c>
      <c r="B386" s="25" t="inlineStr">
        <is>
          <t>Expense</t>
        </is>
      </c>
      <c r="C386" s="6" t="inlineStr">
        <is>
          <t>60105 - Elec House Meters</t>
        </is>
      </c>
      <c r="D386" s="22" t="n">
        <v>5731.03</v>
      </c>
      <c r="E386" s="6" t="n"/>
      <c r="F386" s="44" t="inlineStr">
        <is>
          <t>R0091931</t>
        </is>
      </c>
      <c r="G386" s="37" t="inlineStr">
        <is>
          <t>6300 E. 58th Ave</t>
        </is>
      </c>
      <c r="H386" s="45" t="n">
        <v>2024</v>
      </c>
      <c r="I386" s="44" t="inlineStr">
        <is>
          <t>Line item</t>
        </is>
      </c>
    </row>
    <row r="387">
      <c r="A387" s="6" t="inlineStr">
        <is>
          <t>6300 E. 58th Ave (R0091931) — FY2024</t>
        </is>
      </c>
      <c r="B387" s="25" t="inlineStr">
        <is>
          <t>Expense</t>
        </is>
      </c>
      <c r="C387" s="6" t="inlineStr">
        <is>
          <t>60115 - Water/Sewer</t>
        </is>
      </c>
      <c r="D387" s="22" t="n">
        <v>15736.02</v>
      </c>
      <c r="E387" s="6" t="n"/>
      <c r="F387" s="44" t="inlineStr">
        <is>
          <t>R0091931</t>
        </is>
      </c>
      <c r="G387" s="37" t="inlineStr">
        <is>
          <t>6300 E. 58th Ave</t>
        </is>
      </c>
      <c r="H387" s="45" t="n">
        <v>2024</v>
      </c>
      <c r="I387" s="44" t="inlineStr">
        <is>
          <t>Line item</t>
        </is>
      </c>
    </row>
    <row r="388">
      <c r="A388" s="6" t="inlineStr">
        <is>
          <t>6300 E. 58th Ave (R0091931) — FY2024</t>
        </is>
      </c>
      <c r="B388" s="25" t="inlineStr">
        <is>
          <t>Expense</t>
        </is>
      </c>
      <c r="C388" s="6" t="inlineStr">
        <is>
          <t>60220 - Parking Sweep Contract</t>
        </is>
      </c>
      <c r="D388" s="22" t="n">
        <v>2880</v>
      </c>
      <c r="E388" s="6" t="n"/>
      <c r="F388" s="44" t="inlineStr">
        <is>
          <t>R0091931</t>
        </is>
      </c>
      <c r="G388" s="37" t="inlineStr">
        <is>
          <t>6300 E. 58th Ave</t>
        </is>
      </c>
      <c r="H388" s="45" t="n">
        <v>2024</v>
      </c>
      <c r="I388" s="44" t="inlineStr">
        <is>
          <t>Line item</t>
        </is>
      </c>
    </row>
    <row r="389">
      <c r="A389" s="6" t="inlineStr">
        <is>
          <t>6300 E. 58th Ave (R0091931) — FY2024</t>
        </is>
      </c>
      <c r="B389" s="25" t="inlineStr">
        <is>
          <t>Expense</t>
        </is>
      </c>
      <c r="C389" s="6" t="inlineStr">
        <is>
          <t>60235 - Trash Removal Contract</t>
        </is>
      </c>
      <c r="D389" s="22" t="n">
        <v>1175.76</v>
      </c>
      <c r="E389" s="6" t="n"/>
      <c r="F389" s="44" t="inlineStr">
        <is>
          <t>R0091931</t>
        </is>
      </c>
      <c r="G389" s="37" t="inlineStr">
        <is>
          <t>6300 E. 58th Ave</t>
        </is>
      </c>
      <c r="H389" s="45" t="n">
        <v>2024</v>
      </c>
      <c r="I389" s="44" t="inlineStr">
        <is>
          <t>Line item</t>
        </is>
      </c>
    </row>
    <row r="390">
      <c r="A390" s="6" t="inlineStr">
        <is>
          <t>6300 E. 58th Ave (R0091931) — FY2024</t>
        </is>
      </c>
      <c r="B390" s="25" t="inlineStr">
        <is>
          <t>Expense</t>
        </is>
      </c>
      <c r="C390" s="6" t="inlineStr">
        <is>
          <t>60240 - Trash Removal Extra Service</t>
        </is>
      </c>
      <c r="D390" s="22" t="n">
        <v>72</v>
      </c>
      <c r="E390" s="6" t="n"/>
      <c r="F390" s="44" t="inlineStr">
        <is>
          <t>R0091931</t>
        </is>
      </c>
      <c r="G390" s="37" t="inlineStr">
        <is>
          <t>6300 E. 58th Ave</t>
        </is>
      </c>
      <c r="H390" s="45" t="n">
        <v>2024</v>
      </c>
      <c r="I390" s="44" t="inlineStr">
        <is>
          <t>Line item</t>
        </is>
      </c>
    </row>
    <row r="391">
      <c r="A391" s="6" t="inlineStr">
        <is>
          <t>6300 E. 58th Ave (R0091931) — FY2024</t>
        </is>
      </c>
      <c r="B391" s="25" t="inlineStr">
        <is>
          <t>Expense</t>
        </is>
      </c>
      <c r="C391" s="6" t="inlineStr">
        <is>
          <t>60315 - Door/Keys R&amp;M</t>
        </is>
      </c>
      <c r="D391" s="22" t="n">
        <v>79.31999999999999</v>
      </c>
      <c r="E391" s="6" t="n"/>
      <c r="F391" s="44" t="inlineStr">
        <is>
          <t>R0091931</t>
        </is>
      </c>
      <c r="G391" s="37" t="inlineStr">
        <is>
          <t>6300 E. 58th Ave</t>
        </is>
      </c>
      <c r="H391" s="45" t="n">
        <v>2024</v>
      </c>
      <c r="I391" s="44" t="inlineStr">
        <is>
          <t>Line item</t>
        </is>
      </c>
    </row>
    <row r="392">
      <c r="A392" s="6" t="inlineStr">
        <is>
          <t>6300 E. 58th Ave (R0091931) — FY2024</t>
        </is>
      </c>
      <c r="B392" s="25" t="inlineStr">
        <is>
          <t>Expense</t>
        </is>
      </c>
      <c r="C392" s="6" t="inlineStr">
        <is>
          <t>60345 - Lighting Interior</t>
        </is>
      </c>
      <c r="D392" s="22" t="n">
        <v>136.71</v>
      </c>
      <c r="E392" s="6" t="n"/>
      <c r="F392" s="44" t="inlineStr">
        <is>
          <t>R0091931</t>
        </is>
      </c>
      <c r="G392" s="37" t="inlineStr">
        <is>
          <t>6300 E. 58th Ave</t>
        </is>
      </c>
      <c r="H392" s="45" t="n">
        <v>2024</v>
      </c>
      <c r="I392" s="44" t="inlineStr">
        <is>
          <t>Line item</t>
        </is>
      </c>
    </row>
    <row r="393">
      <c r="A393" s="6" t="inlineStr">
        <is>
          <t>6300 E. 58th Ave (R0091931) — FY2024</t>
        </is>
      </c>
      <c r="B393" s="25" t="inlineStr">
        <is>
          <t>Expense</t>
        </is>
      </c>
      <c r="C393" s="6" t="inlineStr">
        <is>
          <t>60405 - Backflow Inspections</t>
        </is>
      </c>
      <c r="D393" s="22" t="n">
        <v>300</v>
      </c>
      <c r="E393" s="6" t="n"/>
      <c r="F393" s="44" t="inlineStr">
        <is>
          <t>R0091931</t>
        </is>
      </c>
      <c r="G393" s="37" t="inlineStr">
        <is>
          <t>6300 E. 58th Ave</t>
        </is>
      </c>
      <c r="H393" s="45" t="n">
        <v>2024</v>
      </c>
      <c r="I393" s="44" t="inlineStr">
        <is>
          <t>Line item</t>
        </is>
      </c>
    </row>
    <row r="394">
      <c r="A394" s="6" t="inlineStr">
        <is>
          <t>6300 E. 58th Ave (R0091931) — FY2024</t>
        </is>
      </c>
      <c r="B394" s="25" t="inlineStr">
        <is>
          <t>Expense</t>
        </is>
      </c>
      <c r="C394" s="6" t="inlineStr">
        <is>
          <t>60420 - Plumbing/Sewer R&amp;M</t>
        </is>
      </c>
      <c r="D394" s="22" t="n">
        <v>320.1</v>
      </c>
      <c r="E394" s="6" t="n"/>
      <c r="F394" s="44" t="inlineStr">
        <is>
          <t>R0091931</t>
        </is>
      </c>
      <c r="G394" s="37" t="inlineStr">
        <is>
          <t>6300 E. 58th Ave</t>
        </is>
      </c>
      <c r="H394" s="45" t="n">
        <v>2024</v>
      </c>
      <c r="I394" s="44" t="inlineStr">
        <is>
          <t>Line item</t>
        </is>
      </c>
    </row>
    <row r="395">
      <c r="A395" s="6" t="inlineStr">
        <is>
          <t>6300 E. 58th Ave (R0091931) — FY2024</t>
        </is>
      </c>
      <c r="B395" s="25" t="inlineStr">
        <is>
          <t>Expense</t>
        </is>
      </c>
      <c r="C395" s="6" t="inlineStr">
        <is>
          <t>60540 - Landscape Contract</t>
        </is>
      </c>
      <c r="D395" s="22" t="n">
        <v>4309.2</v>
      </c>
      <c r="E395" s="6" t="n"/>
      <c r="F395" s="44" t="inlineStr">
        <is>
          <t>R0091931</t>
        </is>
      </c>
      <c r="G395" s="37" t="inlineStr">
        <is>
          <t>6300 E. 58th Ave</t>
        </is>
      </c>
      <c r="H395" s="45" t="n">
        <v>2024</v>
      </c>
      <c r="I395" s="44" t="inlineStr">
        <is>
          <t>Line item</t>
        </is>
      </c>
    </row>
    <row r="396">
      <c r="A396" s="6" t="inlineStr">
        <is>
          <t>6300 E. 58th Ave (R0091931) — FY2024</t>
        </is>
      </c>
      <c r="B396" s="25" t="inlineStr">
        <is>
          <t>Expense</t>
        </is>
      </c>
      <c r="C396" s="6" t="inlineStr">
        <is>
          <t>60541 - Landscaping &amp; Irrigation Rpr &amp; Rpl</t>
        </is>
      </c>
      <c r="D396" s="22" t="n">
        <v>3343.29</v>
      </c>
      <c r="E396" s="6" t="n"/>
      <c r="F396" s="44" t="inlineStr">
        <is>
          <t>R0091931</t>
        </is>
      </c>
      <c r="G396" s="37" t="inlineStr">
        <is>
          <t>6300 E. 58th Ave</t>
        </is>
      </c>
      <c r="H396" s="45" t="n">
        <v>2024</v>
      </c>
      <c r="I396" s="44" t="inlineStr">
        <is>
          <t>Line item</t>
        </is>
      </c>
    </row>
    <row r="397">
      <c r="A397" s="6" t="inlineStr">
        <is>
          <t>6300 E. 58th Ave (R0091931) — FY2024</t>
        </is>
      </c>
      <c r="B397" s="25" t="inlineStr">
        <is>
          <t>Expense</t>
        </is>
      </c>
      <c r="C397" s="6" t="inlineStr">
        <is>
          <t>60545 - Light R&amp;M Exterior</t>
        </is>
      </c>
      <c r="D397" s="22" t="n">
        <v>154.47</v>
      </c>
      <c r="E397" s="6" t="n"/>
      <c r="F397" s="44" t="inlineStr">
        <is>
          <t>R0091931</t>
        </is>
      </c>
      <c r="G397" s="37" t="inlineStr">
        <is>
          <t>6300 E. 58th Ave</t>
        </is>
      </c>
      <c r="H397" s="45" t="n">
        <v>2024</v>
      </c>
      <c r="I397" s="44" t="inlineStr">
        <is>
          <t>Line item</t>
        </is>
      </c>
    </row>
    <row r="398">
      <c r="A398" s="6" t="inlineStr">
        <is>
          <t>6300 E. 58th Ave (R0091931) — FY2024</t>
        </is>
      </c>
      <c r="B398" s="25" t="inlineStr">
        <is>
          <t>Expense</t>
        </is>
      </c>
      <c r="C398" s="6" t="inlineStr">
        <is>
          <t>60566 - Roof/Gut R&amp;M</t>
        </is>
      </c>
      <c r="D398" s="22" t="n">
        <v>13201.49</v>
      </c>
      <c r="E398" s="6" t="n"/>
      <c r="F398" s="44" t="inlineStr">
        <is>
          <t>R0091931</t>
        </is>
      </c>
      <c r="G398" s="37" t="inlineStr">
        <is>
          <t>6300 E. 58th Ave</t>
        </is>
      </c>
      <c r="H398" s="45" t="n">
        <v>2024</v>
      </c>
      <c r="I398" s="44" t="inlineStr">
        <is>
          <t>Line item</t>
        </is>
      </c>
    </row>
    <row r="399">
      <c r="A399" s="6" t="inlineStr">
        <is>
          <t>6300 E. 58th Ave (R0091931) — FY2024</t>
        </is>
      </c>
      <c r="B399" s="25" t="inlineStr">
        <is>
          <t>Expense</t>
        </is>
      </c>
      <c r="C399" s="6" t="inlineStr">
        <is>
          <t>60575 - Snow Removal</t>
        </is>
      </c>
      <c r="D399" s="22" t="n">
        <v>14952.75</v>
      </c>
      <c r="E399" s="6" t="n"/>
      <c r="F399" s="44" t="inlineStr">
        <is>
          <t>R0091931</t>
        </is>
      </c>
      <c r="G399" s="37" t="inlineStr">
        <is>
          <t>6300 E. 58th Ave</t>
        </is>
      </c>
      <c r="H399" s="45" t="n">
        <v>2024</v>
      </c>
      <c r="I399" s="44" t="inlineStr">
        <is>
          <t>Line item</t>
        </is>
      </c>
    </row>
    <row r="400">
      <c r="A400" s="6" t="inlineStr">
        <is>
          <t>6300 E. 58th Ave (R0091931) — FY2024</t>
        </is>
      </c>
      <c r="B400" s="25" t="inlineStr">
        <is>
          <t>Expense</t>
        </is>
      </c>
      <c r="C400" s="6" t="inlineStr">
        <is>
          <t>60605 - Fire Alarm Mo/Monitor</t>
        </is>
      </c>
      <c r="D400" s="22" t="n">
        <v>1500</v>
      </c>
      <c r="E400" s="6" t="n"/>
      <c r="F400" s="44" t="inlineStr">
        <is>
          <t>R0091931</t>
        </is>
      </c>
      <c r="G400" s="37" t="inlineStr">
        <is>
          <t>6300 E. 58th Ave</t>
        </is>
      </c>
      <c r="H400" s="45" t="n">
        <v>2024</v>
      </c>
      <c r="I400" s="44" t="inlineStr">
        <is>
          <t>Line item</t>
        </is>
      </c>
    </row>
    <row r="401">
      <c r="A401" s="6" t="inlineStr">
        <is>
          <t>6300 E. 58th Ave (R0091931) — FY2024</t>
        </is>
      </c>
      <c r="B401" s="25" t="inlineStr">
        <is>
          <t>Expense</t>
        </is>
      </c>
      <c r="C401" s="6" t="inlineStr">
        <is>
          <t>60610 - Fire Sprinkler, Alarm &amp; Extinguisher Inspection</t>
        </is>
      </c>
      <c r="D401" s="22" t="n">
        <v>888</v>
      </c>
      <c r="E401" s="6" t="n"/>
      <c r="F401" s="44" t="inlineStr">
        <is>
          <t>R0091931</t>
        </is>
      </c>
      <c r="G401" s="37" t="inlineStr">
        <is>
          <t>6300 E. 58th Ave</t>
        </is>
      </c>
      <c r="H401" s="45" t="n">
        <v>2024</v>
      </c>
      <c r="I401" s="44" t="inlineStr">
        <is>
          <t>Line item</t>
        </is>
      </c>
    </row>
    <row r="402">
      <c r="A402" s="6" t="inlineStr">
        <is>
          <t>6300 E. 58th Ave (R0091931) — FY2024</t>
        </is>
      </c>
      <c r="B402" s="25" t="inlineStr">
        <is>
          <t>Expense</t>
        </is>
      </c>
      <c r="C402" s="6" t="inlineStr">
        <is>
          <t>60615 - Fire Sprinkler Alarm &amp; Extinguisher R&amp;M</t>
        </is>
      </c>
      <c r="D402" s="22" t="n">
        <v>5445.26</v>
      </c>
      <c r="E402" s="6" t="n"/>
      <c r="F402" s="44" t="inlineStr">
        <is>
          <t>R0091931</t>
        </is>
      </c>
      <c r="G402" s="37" t="inlineStr">
        <is>
          <t>6300 E. 58th Ave</t>
        </is>
      </c>
      <c r="H402" s="45" t="n">
        <v>2024</v>
      </c>
      <c r="I402" s="44" t="inlineStr">
        <is>
          <t>Line item</t>
        </is>
      </c>
    </row>
    <row r="403">
      <c r="A403" s="6" t="inlineStr">
        <is>
          <t>6300 E. 58th Ave (R0091931) — FY2024</t>
        </is>
      </c>
      <c r="B403" s="25" t="inlineStr">
        <is>
          <t>Expense</t>
        </is>
      </c>
      <c r="C403" s="6" t="inlineStr">
        <is>
          <t>60905 - Wages R&amp;M</t>
        </is>
      </c>
      <c r="D403" s="22" t="n">
        <v>18245.58</v>
      </c>
      <c r="E403" s="6" t="n"/>
      <c r="F403" s="44" t="inlineStr">
        <is>
          <t>R0091931</t>
        </is>
      </c>
      <c r="G403" s="37" t="inlineStr">
        <is>
          <t>6300 E. 58th Ave</t>
        </is>
      </c>
      <c r="H403" s="45" t="n">
        <v>2024</v>
      </c>
      <c r="I403" s="44" t="inlineStr">
        <is>
          <t>Line item</t>
        </is>
      </c>
    </row>
    <row r="404">
      <c r="A404" s="6" t="inlineStr">
        <is>
          <t>6300 E. 58th Ave (R0091931) — FY2024</t>
        </is>
      </c>
      <c r="B404" s="25" t="inlineStr">
        <is>
          <t>Expense</t>
        </is>
      </c>
      <c r="C404" s="6" t="inlineStr">
        <is>
          <t>60915 - Maint Property Costs</t>
        </is>
      </c>
      <c r="D404" s="22" t="n">
        <v>3732.51</v>
      </c>
      <c r="E404" s="6" t="n"/>
      <c r="F404" s="44" t="inlineStr">
        <is>
          <t>R0091931</t>
        </is>
      </c>
      <c r="G404" s="37" t="inlineStr">
        <is>
          <t>6300 E. 58th Ave</t>
        </is>
      </c>
      <c r="H404" s="45" t="n">
        <v>2024</v>
      </c>
      <c r="I404" s="44" t="inlineStr">
        <is>
          <t>Line item</t>
        </is>
      </c>
    </row>
    <row r="405">
      <c r="A405" s="6" t="inlineStr">
        <is>
          <t>6300 E. 58th Ave (R0091931) — FY2024</t>
        </is>
      </c>
      <c r="B405" s="25" t="inlineStr">
        <is>
          <t>Expense</t>
        </is>
      </c>
      <c r="C405" s="6" t="inlineStr">
        <is>
          <t>60925 - Bldg Maint Supplies R&amp;M</t>
        </is>
      </c>
      <c r="D405" s="22" t="n">
        <v>19.26</v>
      </c>
      <c r="E405" s="6" t="n"/>
      <c r="F405" s="44" t="inlineStr">
        <is>
          <t>R0091931</t>
        </is>
      </c>
      <c r="G405" s="37" t="inlineStr">
        <is>
          <t>6300 E. 58th Ave</t>
        </is>
      </c>
      <c r="H405" s="45" t="n">
        <v>2024</v>
      </c>
      <c r="I405" s="44" t="inlineStr">
        <is>
          <t>Line item</t>
        </is>
      </c>
    </row>
    <row r="406">
      <c r="A406" s="6" t="inlineStr">
        <is>
          <t>6300 E. 58th Ave (R0091931) — FY2024</t>
        </is>
      </c>
      <c r="B406" s="25" t="inlineStr">
        <is>
          <t>Expense</t>
        </is>
      </c>
      <c r="C406" s="6" t="inlineStr">
        <is>
          <t>60940 - Signage CAM</t>
        </is>
      </c>
      <c r="D406" s="22" t="n">
        <v>59.29</v>
      </c>
      <c r="E406" s="6" t="n"/>
      <c r="F406" s="44" t="inlineStr">
        <is>
          <t>R0091931</t>
        </is>
      </c>
      <c r="G406" s="37" t="inlineStr">
        <is>
          <t>6300 E. 58th Ave</t>
        </is>
      </c>
      <c r="H406" s="45" t="n">
        <v>2024</v>
      </c>
      <c r="I406" s="44" t="inlineStr">
        <is>
          <t>Line item</t>
        </is>
      </c>
    </row>
    <row r="407">
      <c r="A407" s="6" t="inlineStr">
        <is>
          <t>6300 E. 58th Ave (R0091931) — FY2024</t>
        </is>
      </c>
      <c r="B407" s="25" t="inlineStr">
        <is>
          <t>Expense</t>
        </is>
      </c>
      <c r="C407" s="6" t="inlineStr">
        <is>
          <t>60955 - Management Fees</t>
        </is>
      </c>
      <c r="D407" s="22" t="n">
        <v>65263.31</v>
      </c>
      <c r="E407" s="6" t="n"/>
      <c r="F407" s="44" t="inlineStr">
        <is>
          <t>R0091931</t>
        </is>
      </c>
      <c r="G407" s="37" t="inlineStr">
        <is>
          <t>6300 E. 58th Ave</t>
        </is>
      </c>
      <c r="H407" s="45" t="n">
        <v>2024</v>
      </c>
      <c r="I407" s="44" t="inlineStr">
        <is>
          <t>Line item</t>
        </is>
      </c>
    </row>
    <row r="408">
      <c r="A408" s="6" t="inlineStr">
        <is>
          <t>6300 E. 58th Ave (R0091931) — FY2024</t>
        </is>
      </c>
      <c r="B408" s="25" t="inlineStr">
        <is>
          <t>Expense</t>
        </is>
      </c>
      <c r="C408" s="6" t="inlineStr">
        <is>
          <t>60965 - Professional Tax Review Fee</t>
        </is>
      </c>
      <c r="D408" s="22" t="n">
        <v>101.25</v>
      </c>
      <c r="E408" s="6" t="n"/>
      <c r="F408" s="44" t="inlineStr">
        <is>
          <t>R0091931</t>
        </is>
      </c>
      <c r="G408" s="37" t="inlineStr">
        <is>
          <t>6300 E. 58th Ave</t>
        </is>
      </c>
      <c r="H408" s="45" t="n">
        <v>2024</v>
      </c>
      <c r="I408" s="44" t="inlineStr">
        <is>
          <t>Line item</t>
        </is>
      </c>
    </row>
    <row r="409">
      <c r="A409" s="6" t="inlineStr">
        <is>
          <t>6300 E. 58th Ave (R0091931) — FY2024</t>
        </is>
      </c>
      <c r="B409" s="25" t="inlineStr">
        <is>
          <t>Expense</t>
        </is>
      </c>
      <c r="C409" s="6" t="inlineStr">
        <is>
          <t>61015 - Tax Real Estate</t>
        </is>
      </c>
      <c r="D409" s="22" t="n">
        <v>290988</v>
      </c>
      <c r="E409" s="6" t="n"/>
      <c r="F409" s="44" t="inlineStr">
        <is>
          <t>R0091931</t>
        </is>
      </c>
      <c r="G409" s="37" t="inlineStr">
        <is>
          <t>6300 E. 58th Ave</t>
        </is>
      </c>
      <c r="H409" s="45" t="n">
        <v>2024</v>
      </c>
      <c r="I409" s="44" t="inlineStr">
        <is>
          <t>Line item</t>
        </is>
      </c>
    </row>
    <row r="410">
      <c r="A410" s="6" t="inlineStr">
        <is>
          <t>6300 E. 58th Ave (R0091931) — FY2024</t>
        </is>
      </c>
      <c r="B410" s="25" t="inlineStr">
        <is>
          <t>Expense</t>
        </is>
      </c>
      <c r="C410" s="6" t="inlineStr">
        <is>
          <t>61020 - Insurance</t>
        </is>
      </c>
      <c r="D410" s="22" t="n">
        <v>15815</v>
      </c>
      <c r="E410" s="6" t="n"/>
      <c r="F410" s="44" t="inlineStr">
        <is>
          <t>R0091931</t>
        </is>
      </c>
      <c r="G410" s="37" t="inlineStr">
        <is>
          <t>6300 E. 58th Ave</t>
        </is>
      </c>
      <c r="H410" s="45" t="n">
        <v>2024</v>
      </c>
      <c r="I410" s="44" t="inlineStr">
        <is>
          <t>Line item</t>
        </is>
      </c>
    </row>
    <row r="411">
      <c r="A411" s="11" t="inlineStr">
        <is>
          <t>6300 E. 58th Ave (R0091931) — FY2024</t>
        </is>
      </c>
      <c r="B411" s="26" t="inlineStr">
        <is>
          <t>Expense</t>
        </is>
      </c>
      <c r="C411" s="12" t="inlineStr">
        <is>
          <t>TOTAL OPERATING EXPENSES</t>
        </is>
      </c>
      <c r="D411" s="23">
        <f>SUM(D386:D410)</f>
        <v/>
      </c>
      <c r="E411" s="18" t="inlineStr">
        <is>
          <t>Printed total: $464,449.60. Property NOI $842,728.39. Zero-value accounts omitted. Sterling letter recast: RE Taxes $290,988 + CAM Reimbursable $173,462 + CAM Non-Reimbursable $9,033 = $473,483.</t>
        </is>
      </c>
      <c r="F411" s="46" t="inlineStr">
        <is>
          <t>R0091931</t>
        </is>
      </c>
      <c r="G411" s="36" t="inlineStr">
        <is>
          <t>6300 E. 58th Ave</t>
        </is>
      </c>
      <c r="H411" s="47" t="n">
        <v>2024</v>
      </c>
      <c r="I411" s="46" t="inlineStr">
        <is>
          <t>Total</t>
        </is>
      </c>
    </row>
    <row r="412">
      <c r="A412" s="6" t="inlineStr">
        <is>
          <t>6300 E. 58th Ave (R0091931) — FY2024</t>
        </is>
      </c>
      <c r="B412" s="25" t="inlineStr">
        <is>
          <t>Memo (below NOI)</t>
        </is>
      </c>
      <c r="C412" s="6" t="inlineStr">
        <is>
          <t>Total Non-CAM Expenses</t>
        </is>
      </c>
      <c r="D412" s="22" t="n">
        <v>29893.1</v>
      </c>
      <c r="E412" s="6" t="inlineStr">
        <is>
          <t>Below Total Operating Expenses; not in the total above</t>
        </is>
      </c>
      <c r="F412" s="46" t="inlineStr">
        <is>
          <t>R0091931</t>
        </is>
      </c>
      <c r="G412" s="36" t="inlineStr">
        <is>
          <t>6300 E. 58th Ave</t>
        </is>
      </c>
      <c r="H412" s="47" t="n">
        <v>2024</v>
      </c>
      <c r="I412" s="46" t="inlineStr">
        <is>
          <t>Total</t>
        </is>
      </c>
    </row>
    <row r="413">
      <c r="A413" s="6" t="inlineStr">
        <is>
          <t>6300 E. 58th Ave (R0091931) — FY2024</t>
        </is>
      </c>
      <c r="B413" s="25" t="inlineStr">
        <is>
          <t>Memo (below NOI)</t>
        </is>
      </c>
      <c r="C413" s="6" t="inlineStr">
        <is>
          <t>Net Operating Income (after non-CAM)</t>
        </is>
      </c>
      <c r="D413" s="22" t="n">
        <v>812835.29</v>
      </c>
      <c r="E413" s="6" t="inlineStr">
        <is>
          <t>Below Total Operating Expenses; not in the total above</t>
        </is>
      </c>
      <c r="F413" s="44" t="inlineStr">
        <is>
          <t>R0091931</t>
        </is>
      </c>
      <c r="G413" s="37" t="inlineStr">
        <is>
          <t>6300 E. 58th Ave</t>
        </is>
      </c>
      <c r="H413" s="45" t="n">
        <v>2024</v>
      </c>
      <c r="I413" s="44" t="inlineStr">
        <is>
          <t>Memo</t>
        </is>
      </c>
    </row>
    <row r="414">
      <c r="A414" s="6" t="inlineStr">
        <is>
          <t>6300 E. 58th Ave (R0091931) — FY2024</t>
        </is>
      </c>
      <c r="B414" s="25" t="inlineStr">
        <is>
          <t>Memo (below NOI)</t>
        </is>
      </c>
      <c r="C414" s="6" t="inlineStr">
        <is>
          <t>Mortgage Interest</t>
        </is>
      </c>
      <c r="D414" s="22" t="n">
        <v>198975.21</v>
      </c>
      <c r="E414" s="6" t="inlineStr">
        <is>
          <t>Below Total Operating Expenses; not in the total above</t>
        </is>
      </c>
      <c r="F414" s="44" t="inlineStr">
        <is>
          <t>R0091931</t>
        </is>
      </c>
      <c r="G414" s="37" t="inlineStr">
        <is>
          <t>6300 E. 58th Ave</t>
        </is>
      </c>
      <c r="H414" s="45" t="n">
        <v>2024</v>
      </c>
      <c r="I414" s="44" t="inlineStr">
        <is>
          <t>Memo</t>
        </is>
      </c>
    </row>
    <row r="415">
      <c r="A415" s="6" t="inlineStr">
        <is>
          <t>6300 E. 58th Ave (R0091931) — FY2024</t>
        </is>
      </c>
      <c r="B415" s="25" t="inlineStr">
        <is>
          <t>Memo (below NOI)</t>
        </is>
      </c>
      <c r="C415" s="6" t="inlineStr">
        <is>
          <t>Total Depreciation &amp; Amortization</t>
        </is>
      </c>
      <c r="D415" s="22" t="n">
        <v>101301</v>
      </c>
      <c r="E415" s="6" t="inlineStr">
        <is>
          <t>Below Total Operating Expenses; not in the total above</t>
        </is>
      </c>
      <c r="F415" s="46" t="inlineStr">
        <is>
          <t>R0091931</t>
        </is>
      </c>
      <c r="G415" s="36" t="inlineStr">
        <is>
          <t>6300 E. 58th Ave</t>
        </is>
      </c>
      <c r="H415" s="47" t="n">
        <v>2024</v>
      </c>
      <c r="I415" s="46" t="inlineStr">
        <is>
          <t>Total</t>
        </is>
      </c>
    </row>
    <row r="416">
      <c r="A416" s="6" t="inlineStr">
        <is>
          <t>6300 E. 58th Ave (R0091931) — FY2024</t>
        </is>
      </c>
      <c r="B416" s="25" t="inlineStr">
        <is>
          <t>Memo (below NOI)</t>
        </is>
      </c>
      <c r="C416" s="6" t="inlineStr">
        <is>
          <t>Net Income</t>
        </is>
      </c>
      <c r="D416" s="22" t="n">
        <v>512559.08</v>
      </c>
      <c r="E416" s="6" t="inlineStr">
        <is>
          <t>Below Total Operating Expenses; not in the total above</t>
        </is>
      </c>
      <c r="F416" s="44" t="inlineStr">
        <is>
          <t>R0091931</t>
        </is>
      </c>
      <c r="G416" s="37" t="inlineStr">
        <is>
          <t>6300 E. 58th Ave</t>
        </is>
      </c>
      <c r="H416" s="45" t="n">
        <v>2024</v>
      </c>
      <c r="I416" s="44" t="inlineStr">
        <is>
          <t>Memo</t>
        </is>
      </c>
    </row>
    <row r="417">
      <c r="A417" s="6" t="inlineStr">
        <is>
          <t>5800 E. 58th Ave (R0091933) — FY2023</t>
        </is>
      </c>
      <c r="B417" s="25" t="inlineStr">
        <is>
          <t>Income</t>
        </is>
      </c>
      <c r="C417" s="6" t="inlineStr">
        <is>
          <t>51105 - Rent</t>
        </is>
      </c>
      <c r="D417" s="22" t="n">
        <v>326493.79</v>
      </c>
      <c r="E417" s="6" t="n"/>
      <c r="F417" s="44" t="inlineStr">
        <is>
          <t>R0091933</t>
        </is>
      </c>
      <c r="G417" s="37" t="inlineStr">
        <is>
          <t>5800 E. 58th Ave</t>
        </is>
      </c>
      <c r="H417" s="45" t="n">
        <v>2023</v>
      </c>
      <c r="I417" s="44" t="inlineStr">
        <is>
          <t>Line item</t>
        </is>
      </c>
    </row>
    <row r="418">
      <c r="A418" s="6" t="inlineStr">
        <is>
          <t>5800 E. 58th Ave (R0091933) — FY2023</t>
        </is>
      </c>
      <c r="B418" s="25" t="inlineStr">
        <is>
          <t>Income</t>
        </is>
      </c>
      <c r="C418" s="6" t="inlineStr">
        <is>
          <t>51205 - CAM Reimbursement Current</t>
        </is>
      </c>
      <c r="D418" s="22" t="n">
        <v>36176.4</v>
      </c>
      <c r="E418" s="6" t="n"/>
      <c r="F418" s="44" t="inlineStr">
        <is>
          <t>R0091933</t>
        </is>
      </c>
      <c r="G418" s="37" t="inlineStr">
        <is>
          <t>5800 E. 58th Ave</t>
        </is>
      </c>
      <c r="H418" s="45" t="n">
        <v>2023</v>
      </c>
      <c r="I418" s="44" t="inlineStr">
        <is>
          <t>Line item</t>
        </is>
      </c>
    </row>
    <row r="419">
      <c r="A419" s="6" t="inlineStr">
        <is>
          <t>5800 E. 58th Ave (R0091933) — FY2023</t>
        </is>
      </c>
      <c r="B419" s="25" t="inlineStr">
        <is>
          <t>Income</t>
        </is>
      </c>
      <c r="C419" s="6" t="inlineStr">
        <is>
          <t>51210 - Operating Expense Recovery</t>
        </is>
      </c>
      <c r="D419" s="22" t="n">
        <v>-5958.92</v>
      </c>
      <c r="E419" s="6" t="n"/>
      <c r="F419" s="44" t="inlineStr">
        <is>
          <t>R0091933</t>
        </is>
      </c>
      <c r="G419" s="37" t="inlineStr">
        <is>
          <t>5800 E. 58th Ave</t>
        </is>
      </c>
      <c r="H419" s="45" t="n">
        <v>2023</v>
      </c>
      <c r="I419" s="44" t="inlineStr">
        <is>
          <t>Line item</t>
        </is>
      </c>
    </row>
    <row r="420">
      <c r="A420" s="6" t="inlineStr">
        <is>
          <t>5800 E. 58th Ave (R0091933) — FY2023</t>
        </is>
      </c>
      <c r="B420" s="25" t="inlineStr">
        <is>
          <t>Income</t>
        </is>
      </c>
      <c r="C420" s="6" t="inlineStr">
        <is>
          <t>51215 - Insurance Reimbursement</t>
        </is>
      </c>
      <c r="D420" s="22" t="n">
        <v>296.16</v>
      </c>
      <c r="E420" s="6" t="n"/>
      <c r="F420" s="44" t="inlineStr">
        <is>
          <t>R0091933</t>
        </is>
      </c>
      <c r="G420" s="37" t="inlineStr">
        <is>
          <t>5800 E. 58th Ave</t>
        </is>
      </c>
      <c r="H420" s="45" t="n">
        <v>2023</v>
      </c>
      <c r="I420" s="44" t="inlineStr">
        <is>
          <t>Line item</t>
        </is>
      </c>
    </row>
    <row r="421">
      <c r="A421" s="6" t="inlineStr">
        <is>
          <t>5800 E. 58th Ave (R0091933) — FY2023</t>
        </is>
      </c>
      <c r="B421" s="25" t="inlineStr">
        <is>
          <t>Income</t>
        </is>
      </c>
      <c r="C421" s="6" t="inlineStr">
        <is>
          <t>51225 - RE Tax Reimbursement</t>
        </is>
      </c>
      <c r="D421" s="22" t="n">
        <v>4320</v>
      </c>
      <c r="E421" s="6" t="n"/>
      <c r="F421" s="44" t="inlineStr">
        <is>
          <t>R0091933</t>
        </is>
      </c>
      <c r="G421" s="37" t="inlineStr">
        <is>
          <t>5800 E. 58th Ave</t>
        </is>
      </c>
      <c r="H421" s="45" t="n">
        <v>2023</v>
      </c>
      <c r="I421" s="44" t="inlineStr">
        <is>
          <t>Line item</t>
        </is>
      </c>
    </row>
    <row r="422">
      <c r="A422" s="6" t="inlineStr">
        <is>
          <t>5800 E. 58th Ave (R0091933) — FY2023</t>
        </is>
      </c>
      <c r="B422" s="25" t="inlineStr">
        <is>
          <t>Income</t>
        </is>
      </c>
      <c r="C422" s="6" t="inlineStr">
        <is>
          <t>51320 - Late Fees &amp; Other Charges</t>
        </is>
      </c>
      <c r="D422" s="22" t="n">
        <v>425.09</v>
      </c>
      <c r="E422" s="6" t="n"/>
      <c r="F422" s="44" t="inlineStr">
        <is>
          <t>R0091933</t>
        </is>
      </c>
      <c r="G422" s="37" t="inlineStr">
        <is>
          <t>5800 E. 58th Ave</t>
        </is>
      </c>
      <c r="H422" s="45" t="n">
        <v>2023</v>
      </c>
      <c r="I422" s="44" t="inlineStr">
        <is>
          <t>Line item</t>
        </is>
      </c>
    </row>
    <row r="423">
      <c r="A423" s="11" t="inlineStr">
        <is>
          <t>5800 E. 58th Ave (R0091933) — FY2023</t>
        </is>
      </c>
      <c r="B423" s="26" t="inlineStr">
        <is>
          <t>Income</t>
        </is>
      </c>
      <c r="C423" s="12" t="inlineStr">
        <is>
          <t>TOTAL OPERATING REVENUES</t>
        </is>
      </c>
      <c r="D423" s="23">
        <f>SUM(D417:D422)</f>
        <v/>
      </c>
      <c r="E423" s="18" t="inlineStr">
        <is>
          <t>Printed total: $361,752.52.</t>
        </is>
      </c>
      <c r="F423" s="46" t="inlineStr">
        <is>
          <t>R0091933</t>
        </is>
      </c>
      <c r="G423" s="36" t="inlineStr">
        <is>
          <t>5800 E. 58th Ave</t>
        </is>
      </c>
      <c r="H423" s="47" t="n">
        <v>2023</v>
      </c>
      <c r="I423" s="46" t="inlineStr">
        <is>
          <t>Total</t>
        </is>
      </c>
    </row>
    <row r="424">
      <c r="A424" s="6" t="inlineStr">
        <is>
          <t>5800 E. 58th Ave (R0091933) — FY2023</t>
        </is>
      </c>
      <c r="B424" s="25" t="inlineStr">
        <is>
          <t>Expense</t>
        </is>
      </c>
      <c r="C424" s="6" t="inlineStr">
        <is>
          <t>60105 - Elec House Meters</t>
        </is>
      </c>
      <c r="D424" s="22" t="n">
        <v>1973.08</v>
      </c>
      <c r="E424" s="6" t="n"/>
      <c r="F424" s="44" t="inlineStr">
        <is>
          <t>R0091933</t>
        </is>
      </c>
      <c r="G424" s="37" t="inlineStr">
        <is>
          <t>5800 E. 58th Ave</t>
        </is>
      </c>
      <c r="H424" s="45" t="n">
        <v>2023</v>
      </c>
      <c r="I424" s="44" t="inlineStr">
        <is>
          <t>Line item</t>
        </is>
      </c>
    </row>
    <row r="425">
      <c r="A425" s="6" t="inlineStr">
        <is>
          <t>5800 E. 58th Ave (R0091933) — FY2023</t>
        </is>
      </c>
      <c r="B425" s="25" t="inlineStr">
        <is>
          <t>Expense</t>
        </is>
      </c>
      <c r="C425" s="6" t="inlineStr">
        <is>
          <t>60115 - Water/Sewer</t>
        </is>
      </c>
      <c r="D425" s="22" t="n">
        <v>3029.93</v>
      </c>
      <c r="E425" s="6" t="n"/>
      <c r="F425" s="44" t="inlineStr">
        <is>
          <t>R0091933</t>
        </is>
      </c>
      <c r="G425" s="37" t="inlineStr">
        <is>
          <t>5800 E. 58th Ave</t>
        </is>
      </c>
      <c r="H425" s="45" t="n">
        <v>2023</v>
      </c>
      <c r="I425" s="44" t="inlineStr">
        <is>
          <t>Line item</t>
        </is>
      </c>
    </row>
    <row r="426">
      <c r="A426" s="6" t="inlineStr">
        <is>
          <t>5800 E. 58th Ave (R0091933) — FY2023</t>
        </is>
      </c>
      <c r="B426" s="25" t="inlineStr">
        <is>
          <t>Expense</t>
        </is>
      </c>
      <c r="C426" s="6" t="inlineStr">
        <is>
          <t>60220 - Parking Sweep Contract</t>
        </is>
      </c>
      <c r="D426" s="22" t="n">
        <v>960</v>
      </c>
      <c r="E426" s="6" t="n"/>
      <c r="F426" s="44" t="inlineStr">
        <is>
          <t>R0091933</t>
        </is>
      </c>
      <c r="G426" s="37" t="inlineStr">
        <is>
          <t>5800 E. 58th Ave</t>
        </is>
      </c>
      <c r="H426" s="45" t="n">
        <v>2023</v>
      </c>
      <c r="I426" s="44" t="inlineStr">
        <is>
          <t>Line item</t>
        </is>
      </c>
    </row>
    <row r="427">
      <c r="A427" s="6" t="inlineStr">
        <is>
          <t>5800 E. 58th Ave (R0091933) — FY2023</t>
        </is>
      </c>
      <c r="B427" s="25" t="inlineStr">
        <is>
          <t>Expense</t>
        </is>
      </c>
      <c r="C427" s="6" t="inlineStr">
        <is>
          <t>60235 - Trash Removal Contract</t>
        </is>
      </c>
      <c r="D427" s="22" t="n">
        <v>310.03</v>
      </c>
      <c r="E427" s="6" t="n"/>
      <c r="F427" s="44" t="inlineStr">
        <is>
          <t>R0091933</t>
        </is>
      </c>
      <c r="G427" s="37" t="inlineStr">
        <is>
          <t>5800 E. 58th Ave</t>
        </is>
      </c>
      <c r="H427" s="45" t="n">
        <v>2023</v>
      </c>
      <c r="I427" s="44" t="inlineStr">
        <is>
          <t>Line item</t>
        </is>
      </c>
    </row>
    <row r="428">
      <c r="A428" s="6" t="inlineStr">
        <is>
          <t>5800 E. 58th Ave (R0091933) — FY2023</t>
        </is>
      </c>
      <c r="B428" s="25" t="inlineStr">
        <is>
          <t>Expense</t>
        </is>
      </c>
      <c r="C428" s="6" t="inlineStr">
        <is>
          <t>60315 - Door/Keys R&amp;M</t>
        </is>
      </c>
      <c r="D428" s="22" t="n">
        <v>1.02</v>
      </c>
      <c r="E428" s="6" t="n"/>
      <c r="F428" s="44" t="inlineStr">
        <is>
          <t>R0091933</t>
        </is>
      </c>
      <c r="G428" s="37" t="inlineStr">
        <is>
          <t>5800 E. 58th Ave</t>
        </is>
      </c>
      <c r="H428" s="45" t="n">
        <v>2023</v>
      </c>
      <c r="I428" s="44" t="inlineStr">
        <is>
          <t>Line item</t>
        </is>
      </c>
    </row>
    <row r="429">
      <c r="A429" s="6" t="inlineStr">
        <is>
          <t>5800 E. 58th Ave (R0091933) — FY2023</t>
        </is>
      </c>
      <c r="B429" s="25" t="inlineStr">
        <is>
          <t>Expense</t>
        </is>
      </c>
      <c r="C429" s="6" t="inlineStr">
        <is>
          <t>60405 - Backflow Inspections</t>
        </is>
      </c>
      <c r="D429" s="22" t="n">
        <v>110</v>
      </c>
      <c r="E429" s="6" t="n"/>
      <c r="F429" s="44" t="inlineStr">
        <is>
          <t>R0091933</t>
        </is>
      </c>
      <c r="G429" s="37" t="inlineStr">
        <is>
          <t>5800 E. 58th Ave</t>
        </is>
      </c>
      <c r="H429" s="45" t="n">
        <v>2023</v>
      </c>
      <c r="I429" s="44" t="inlineStr">
        <is>
          <t>Line item</t>
        </is>
      </c>
    </row>
    <row r="430">
      <c r="A430" s="6" t="inlineStr">
        <is>
          <t>5800 E. 58th Ave (R0091933) — FY2023</t>
        </is>
      </c>
      <c r="B430" s="25" t="inlineStr">
        <is>
          <t>Expense</t>
        </is>
      </c>
      <c r="C430" s="6" t="inlineStr">
        <is>
          <t>60410 - Backflow R&amp;M</t>
        </is>
      </c>
      <c r="D430" s="22" t="n">
        <v>451.5</v>
      </c>
      <c r="E430" s="6" t="n"/>
      <c r="F430" s="44" t="inlineStr">
        <is>
          <t>R0091933</t>
        </is>
      </c>
      <c r="G430" s="37" t="inlineStr">
        <is>
          <t>5800 E. 58th Ave</t>
        </is>
      </c>
      <c r="H430" s="45" t="n">
        <v>2023</v>
      </c>
      <c r="I430" s="44" t="inlineStr">
        <is>
          <t>Line item</t>
        </is>
      </c>
    </row>
    <row r="431">
      <c r="A431" s="6" t="inlineStr">
        <is>
          <t>5800 E. 58th Ave (R0091933) — FY2023</t>
        </is>
      </c>
      <c r="B431" s="25" t="inlineStr">
        <is>
          <t>Expense</t>
        </is>
      </c>
      <c r="C431" s="6" t="inlineStr">
        <is>
          <t>60420 - Plumbing/Sewer R&amp;M</t>
        </is>
      </c>
      <c r="D431" s="22" t="n">
        <v>353.66</v>
      </c>
      <c r="E431" s="6" t="n"/>
      <c r="F431" s="44" t="inlineStr">
        <is>
          <t>R0091933</t>
        </is>
      </c>
      <c r="G431" s="37" t="inlineStr">
        <is>
          <t>5800 E. 58th Ave</t>
        </is>
      </c>
      <c r="H431" s="45" t="n">
        <v>2023</v>
      </c>
      <c r="I431" s="44" t="inlineStr">
        <is>
          <t>Line item</t>
        </is>
      </c>
    </row>
    <row r="432">
      <c r="A432" s="6" t="inlineStr">
        <is>
          <t>5800 E. 58th Ave (R0091933) — FY2023</t>
        </is>
      </c>
      <c r="B432" s="25" t="inlineStr">
        <is>
          <t>Expense</t>
        </is>
      </c>
      <c r="C432" s="6" t="inlineStr">
        <is>
          <t>60535 - Irrig Sprinklers R&amp;M</t>
        </is>
      </c>
      <c r="D432" s="22" t="n">
        <v>87.08</v>
      </c>
      <c r="E432" s="6" t="n"/>
      <c r="F432" s="44" t="inlineStr">
        <is>
          <t>R0091933</t>
        </is>
      </c>
      <c r="G432" s="37" t="inlineStr">
        <is>
          <t>5800 E. 58th Ave</t>
        </is>
      </c>
      <c r="H432" s="45" t="n">
        <v>2023</v>
      </c>
      <c r="I432" s="44" t="inlineStr">
        <is>
          <t>Line item</t>
        </is>
      </c>
    </row>
    <row r="433">
      <c r="A433" s="6" t="inlineStr">
        <is>
          <t>5800 E. 58th Ave (R0091933) — FY2023</t>
        </is>
      </c>
      <c r="B433" s="25" t="inlineStr">
        <is>
          <t>Expense</t>
        </is>
      </c>
      <c r="C433" s="6" t="inlineStr">
        <is>
          <t>60540 - Landscape Contract</t>
        </is>
      </c>
      <c r="D433" s="22" t="n">
        <v>1355.2</v>
      </c>
      <c r="E433" s="6" t="n"/>
      <c r="F433" s="44" t="inlineStr">
        <is>
          <t>R0091933</t>
        </is>
      </c>
      <c r="G433" s="37" t="inlineStr">
        <is>
          <t>5800 E. 58th Ave</t>
        </is>
      </c>
      <c r="H433" s="45" t="n">
        <v>2023</v>
      </c>
      <c r="I433" s="44" t="inlineStr">
        <is>
          <t>Line item</t>
        </is>
      </c>
    </row>
    <row r="434">
      <c r="A434" s="6" t="inlineStr">
        <is>
          <t>5800 E. 58th Ave (R0091933) — FY2023</t>
        </is>
      </c>
      <c r="B434" s="25" t="inlineStr">
        <is>
          <t>Expense</t>
        </is>
      </c>
      <c r="C434" s="6" t="inlineStr">
        <is>
          <t>60541 - Landscaping &amp; Irrigation Rpr &amp; Rpl</t>
        </is>
      </c>
      <c r="D434" s="22" t="n">
        <v>103.5</v>
      </c>
      <c r="E434" s="6" t="n"/>
      <c r="F434" s="44" t="inlineStr">
        <is>
          <t>R0091933</t>
        </is>
      </c>
      <c r="G434" s="37" t="inlineStr">
        <is>
          <t>5800 E. 58th Ave</t>
        </is>
      </c>
      <c r="H434" s="45" t="n">
        <v>2023</v>
      </c>
      <c r="I434" s="44" t="inlineStr">
        <is>
          <t>Line item</t>
        </is>
      </c>
    </row>
    <row r="435">
      <c r="A435" s="6" t="inlineStr">
        <is>
          <t>5800 E. 58th Ave (R0091933) — FY2023</t>
        </is>
      </c>
      <c r="B435" s="25" t="inlineStr">
        <is>
          <t>Expense</t>
        </is>
      </c>
      <c r="C435" s="6" t="inlineStr">
        <is>
          <t>60550 - Parking Lot/Sidewalk R&amp;M</t>
        </is>
      </c>
      <c r="D435" s="22" t="n">
        <v>775</v>
      </c>
      <c r="E435" s="6" t="n"/>
      <c r="F435" s="44" t="inlineStr">
        <is>
          <t>R0091933</t>
        </is>
      </c>
      <c r="G435" s="37" t="inlineStr">
        <is>
          <t>5800 E. 58th Ave</t>
        </is>
      </c>
      <c r="H435" s="45" t="n">
        <v>2023</v>
      </c>
      <c r="I435" s="44" t="inlineStr">
        <is>
          <t>Line item</t>
        </is>
      </c>
    </row>
    <row r="436">
      <c r="A436" s="6" t="inlineStr">
        <is>
          <t>5800 E. 58th Ave (R0091933) — FY2023</t>
        </is>
      </c>
      <c r="B436" s="25" t="inlineStr">
        <is>
          <t>Expense</t>
        </is>
      </c>
      <c r="C436" s="6" t="inlineStr">
        <is>
          <t>60575 - Snow Removal</t>
        </is>
      </c>
      <c r="D436" s="22" t="n">
        <v>3757.07</v>
      </c>
      <c r="E436" s="6" t="n"/>
      <c r="F436" s="44" t="inlineStr">
        <is>
          <t>R0091933</t>
        </is>
      </c>
      <c r="G436" s="37" t="inlineStr">
        <is>
          <t>5800 E. 58th Ave</t>
        </is>
      </c>
      <c r="H436" s="45" t="n">
        <v>2023</v>
      </c>
      <c r="I436" s="44" t="inlineStr">
        <is>
          <t>Line item</t>
        </is>
      </c>
    </row>
    <row r="437">
      <c r="A437" s="6" t="inlineStr">
        <is>
          <t>5800 E. 58th Ave (R0091933) — FY2023</t>
        </is>
      </c>
      <c r="B437" s="25" t="inlineStr">
        <is>
          <t>Expense</t>
        </is>
      </c>
      <c r="C437" s="6" t="inlineStr">
        <is>
          <t>60605 - Fire Alarm Mo/Monitor</t>
        </is>
      </c>
      <c r="D437" s="22" t="n">
        <v>500</v>
      </c>
      <c r="E437" s="6" t="n"/>
      <c r="F437" s="44" t="inlineStr">
        <is>
          <t>R0091933</t>
        </is>
      </c>
      <c r="G437" s="37" t="inlineStr">
        <is>
          <t>5800 E. 58th Ave</t>
        </is>
      </c>
      <c r="H437" s="45" t="n">
        <v>2023</v>
      </c>
      <c r="I437" s="44" t="inlineStr">
        <is>
          <t>Line item</t>
        </is>
      </c>
    </row>
    <row r="438">
      <c r="A438" s="6" t="inlineStr">
        <is>
          <t>5800 E. 58th Ave (R0091933) — FY2023</t>
        </is>
      </c>
      <c r="B438" s="25" t="inlineStr">
        <is>
          <t>Expense</t>
        </is>
      </c>
      <c r="C438" s="6" t="inlineStr">
        <is>
          <t>60615 - Fire Sprinkler Alarm &amp; Extinguisher R&amp;M</t>
        </is>
      </c>
      <c r="D438" s="22" t="n">
        <v>585.67</v>
      </c>
      <c r="E438" s="6" t="n"/>
      <c r="F438" s="44" t="inlineStr">
        <is>
          <t>R0091933</t>
        </is>
      </c>
      <c r="G438" s="37" t="inlineStr">
        <is>
          <t>5800 E. 58th Ave</t>
        </is>
      </c>
      <c r="H438" s="45" t="n">
        <v>2023</v>
      </c>
      <c r="I438" s="44" t="inlineStr">
        <is>
          <t>Line item</t>
        </is>
      </c>
    </row>
    <row r="439">
      <c r="A439" s="6" t="inlineStr">
        <is>
          <t>5800 E. 58th Ave (R0091933) — FY2023</t>
        </is>
      </c>
      <c r="B439" s="25" t="inlineStr">
        <is>
          <t>Expense</t>
        </is>
      </c>
      <c r="C439" s="6" t="inlineStr">
        <is>
          <t>60905 - Wages R&amp;M</t>
        </is>
      </c>
      <c r="D439" s="22" t="n">
        <v>7498.93</v>
      </c>
      <c r="E439" s="6" t="n"/>
      <c r="F439" s="44" t="inlineStr">
        <is>
          <t>R0091933</t>
        </is>
      </c>
      <c r="G439" s="37" t="inlineStr">
        <is>
          <t>5800 E. 58th Ave</t>
        </is>
      </c>
      <c r="H439" s="45" t="n">
        <v>2023</v>
      </c>
      <c r="I439" s="44" t="inlineStr">
        <is>
          <t>Line item</t>
        </is>
      </c>
    </row>
    <row r="440">
      <c r="A440" s="6" t="inlineStr">
        <is>
          <t>5800 E. 58th Ave (R0091933) — FY2023</t>
        </is>
      </c>
      <c r="B440" s="25" t="inlineStr">
        <is>
          <t>Expense</t>
        </is>
      </c>
      <c r="C440" s="6" t="inlineStr">
        <is>
          <t>60915 - Maint Property Costs</t>
        </is>
      </c>
      <c r="D440" s="22" t="n">
        <v>1172.46</v>
      </c>
      <c r="E440" s="6" t="n"/>
      <c r="F440" s="44" t="inlineStr">
        <is>
          <t>R0091933</t>
        </is>
      </c>
      <c r="G440" s="37" t="inlineStr">
        <is>
          <t>5800 E. 58th Ave</t>
        </is>
      </c>
      <c r="H440" s="45" t="n">
        <v>2023</v>
      </c>
      <c r="I440" s="44" t="inlineStr">
        <is>
          <t>Line item</t>
        </is>
      </c>
    </row>
    <row r="441">
      <c r="A441" s="6" t="inlineStr">
        <is>
          <t>5800 E. 58th Ave (R0091933) — FY2023</t>
        </is>
      </c>
      <c r="B441" s="25" t="inlineStr">
        <is>
          <t>Expense</t>
        </is>
      </c>
      <c r="C441" s="6" t="inlineStr">
        <is>
          <t>60920 - Small Tools &amp; Equipment</t>
        </is>
      </c>
      <c r="D441" s="22" t="n">
        <v>7.35</v>
      </c>
      <c r="E441" s="6" t="n"/>
      <c r="F441" s="44" t="inlineStr">
        <is>
          <t>R0091933</t>
        </is>
      </c>
      <c r="G441" s="37" t="inlineStr">
        <is>
          <t>5800 E. 58th Ave</t>
        </is>
      </c>
      <c r="H441" s="45" t="n">
        <v>2023</v>
      </c>
      <c r="I441" s="44" t="inlineStr">
        <is>
          <t>Line item</t>
        </is>
      </c>
    </row>
    <row r="442">
      <c r="A442" s="6" t="inlineStr">
        <is>
          <t>5800 E. 58th Ave (R0091933) — FY2023</t>
        </is>
      </c>
      <c r="B442" s="25" t="inlineStr">
        <is>
          <t>Expense</t>
        </is>
      </c>
      <c r="C442" s="6" t="inlineStr">
        <is>
          <t>60925 - Bldg Maint Supplies R&amp;M</t>
        </is>
      </c>
      <c r="D442" s="22" t="n">
        <v>20.55</v>
      </c>
      <c r="E442" s="6" t="n"/>
      <c r="F442" s="44" t="inlineStr">
        <is>
          <t>R0091933</t>
        </is>
      </c>
      <c r="G442" s="37" t="inlineStr">
        <is>
          <t>5800 E. 58th Ave</t>
        </is>
      </c>
      <c r="H442" s="45" t="n">
        <v>2023</v>
      </c>
      <c r="I442" s="44" t="inlineStr">
        <is>
          <t>Line item</t>
        </is>
      </c>
    </row>
    <row r="443">
      <c r="A443" s="6" t="inlineStr">
        <is>
          <t>5800 E. 58th Ave (R0091933) — FY2023</t>
        </is>
      </c>
      <c r="B443" s="25" t="inlineStr">
        <is>
          <t>Expense</t>
        </is>
      </c>
      <c r="C443" s="6" t="inlineStr">
        <is>
          <t>60950 - Administration Fees</t>
        </is>
      </c>
      <c r="D443" s="22" t="n">
        <v>4521.92</v>
      </c>
      <c r="E443" s="6" t="n"/>
      <c r="F443" s="44" t="inlineStr">
        <is>
          <t>R0091933</t>
        </is>
      </c>
      <c r="G443" s="37" t="inlineStr">
        <is>
          <t>5800 E. 58th Ave</t>
        </is>
      </c>
      <c r="H443" s="45" t="n">
        <v>2023</v>
      </c>
      <c r="I443" s="44" t="inlineStr">
        <is>
          <t>Line item</t>
        </is>
      </c>
    </row>
    <row r="444">
      <c r="A444" s="6" t="inlineStr">
        <is>
          <t>5800 E. 58th Ave (R0091933) — FY2023</t>
        </is>
      </c>
      <c r="B444" s="25" t="inlineStr">
        <is>
          <t>Expense</t>
        </is>
      </c>
      <c r="C444" s="6" t="inlineStr">
        <is>
          <t>60955 - Management Fees</t>
        </is>
      </c>
      <c r="D444" s="22" t="n">
        <v>13565.72</v>
      </c>
      <c r="E444" s="6" t="n"/>
      <c r="F444" s="44" t="inlineStr">
        <is>
          <t>R0091933</t>
        </is>
      </c>
      <c r="G444" s="37" t="inlineStr">
        <is>
          <t>5800 E. 58th Ave</t>
        </is>
      </c>
      <c r="H444" s="45" t="n">
        <v>2023</v>
      </c>
      <c r="I444" s="44" t="inlineStr">
        <is>
          <t>Line item</t>
        </is>
      </c>
    </row>
    <row r="445">
      <c r="A445" s="6" t="inlineStr">
        <is>
          <t>5800 E. 58th Ave (R0091933) — FY2023</t>
        </is>
      </c>
      <c r="B445" s="25" t="inlineStr">
        <is>
          <t>Expense</t>
        </is>
      </c>
      <c r="C445" s="6" t="inlineStr">
        <is>
          <t>60965 - Professional Tax Review Fee</t>
        </is>
      </c>
      <c r="D445" s="22" t="n">
        <v>101.25</v>
      </c>
      <c r="E445" s="6" t="n"/>
      <c r="F445" s="44" t="inlineStr">
        <is>
          <t>R0091933</t>
        </is>
      </c>
      <c r="G445" s="37" t="inlineStr">
        <is>
          <t>5800 E. 58th Ave</t>
        </is>
      </c>
      <c r="H445" s="45" t="n">
        <v>2023</v>
      </c>
      <c r="I445" s="44" t="inlineStr">
        <is>
          <t>Line item</t>
        </is>
      </c>
    </row>
    <row r="446">
      <c r="A446" s="6" t="inlineStr">
        <is>
          <t>5800 E. 58th Ave (R0091933) — FY2023</t>
        </is>
      </c>
      <c r="B446" s="25" t="inlineStr">
        <is>
          <t>Expense</t>
        </is>
      </c>
      <c r="C446" s="6" t="inlineStr">
        <is>
          <t>61015 - Tax Real Estate</t>
        </is>
      </c>
      <c r="D446" s="22" t="n">
        <v>89690.98</v>
      </c>
      <c r="E446" s="6" t="n"/>
      <c r="F446" s="44" t="inlineStr">
        <is>
          <t>R0091933</t>
        </is>
      </c>
      <c r="G446" s="37" t="inlineStr">
        <is>
          <t>5800 E. 58th Ave</t>
        </is>
      </c>
      <c r="H446" s="45" t="n">
        <v>2023</v>
      </c>
      <c r="I446" s="44" t="inlineStr">
        <is>
          <t>Line item</t>
        </is>
      </c>
    </row>
    <row r="447">
      <c r="A447" s="6" t="inlineStr">
        <is>
          <t>5800 E. 58th Ave (R0091933) — FY2023</t>
        </is>
      </c>
      <c r="B447" s="25" t="inlineStr">
        <is>
          <t>Expense</t>
        </is>
      </c>
      <c r="C447" s="6" t="inlineStr">
        <is>
          <t>61020 - Insurance</t>
        </is>
      </c>
      <c r="D447" s="22" t="n">
        <v>5229</v>
      </c>
      <c r="E447" s="6" t="n"/>
      <c r="F447" s="44" t="inlineStr">
        <is>
          <t>R0091933</t>
        </is>
      </c>
      <c r="G447" s="37" t="inlineStr">
        <is>
          <t>5800 E. 58th Ave</t>
        </is>
      </c>
      <c r="H447" s="45" t="n">
        <v>2023</v>
      </c>
      <c r="I447" s="44" t="inlineStr">
        <is>
          <t>Line item</t>
        </is>
      </c>
    </row>
    <row r="448">
      <c r="A448" s="11" t="inlineStr">
        <is>
          <t>5800 E. 58th Ave (R0091933) — FY2023</t>
        </is>
      </c>
      <c r="B448" s="26" t="inlineStr">
        <is>
          <t>Expense</t>
        </is>
      </c>
      <c r="C448" s="12" t="inlineStr">
        <is>
          <t>TOTAL OPERATING EXPENSES</t>
        </is>
      </c>
      <c r="D448" s="23">
        <f>SUM(D424:D447)</f>
        <v/>
      </c>
      <c r="E448" s="18" t="inlineStr">
        <is>
          <t>Printed total: $136,160.90. Property NOI $225,591.62. Zero-value accounts omitted. Sterling letter recast: RE Taxes $89,691 + CAM Reimbursable $46,470 + CAM Non-Reimbursable $155 = $136,316.</t>
        </is>
      </c>
      <c r="F448" s="46" t="inlineStr">
        <is>
          <t>R0091933</t>
        </is>
      </c>
      <c r="G448" s="36" t="inlineStr">
        <is>
          <t>5800 E. 58th Ave</t>
        </is>
      </c>
      <c r="H448" s="47" t="n">
        <v>2023</v>
      </c>
      <c r="I448" s="46" t="inlineStr">
        <is>
          <t>Total</t>
        </is>
      </c>
    </row>
    <row r="449">
      <c r="A449" s="6" t="inlineStr">
        <is>
          <t>5800 E. 58th Ave (R0091933) — FY2023</t>
        </is>
      </c>
      <c r="B449" s="25" t="inlineStr">
        <is>
          <t>Memo (below NOI)</t>
        </is>
      </c>
      <c r="C449" s="6" t="inlineStr">
        <is>
          <t>Total Non-CAM Expenses</t>
        </is>
      </c>
      <c r="D449" s="22" t="n">
        <v>155.27</v>
      </c>
      <c r="E449" s="6" t="inlineStr">
        <is>
          <t>Below Total Operating Expenses; not in the total above</t>
        </is>
      </c>
      <c r="F449" s="46" t="inlineStr">
        <is>
          <t>R0091933</t>
        </is>
      </c>
      <c r="G449" s="36" t="inlineStr">
        <is>
          <t>5800 E. 58th Ave</t>
        </is>
      </c>
      <c r="H449" s="47" t="n">
        <v>2023</v>
      </c>
      <c r="I449" s="46" t="inlineStr">
        <is>
          <t>Total</t>
        </is>
      </c>
    </row>
    <row r="450">
      <c r="A450" s="6" t="inlineStr">
        <is>
          <t>5800 E. 58th Ave (R0091933) — FY2023</t>
        </is>
      </c>
      <c r="B450" s="25" t="inlineStr">
        <is>
          <t>Memo (below NOI)</t>
        </is>
      </c>
      <c r="C450" s="6" t="inlineStr">
        <is>
          <t>Net Operating Income (after non-CAM)</t>
        </is>
      </c>
      <c r="D450" s="22" t="n">
        <v>225436.35</v>
      </c>
      <c r="E450" s="6" t="inlineStr">
        <is>
          <t>Below Total Operating Expenses; not in the total above</t>
        </is>
      </c>
      <c r="F450" s="44" t="inlineStr">
        <is>
          <t>R0091933</t>
        </is>
      </c>
      <c r="G450" s="37" t="inlineStr">
        <is>
          <t>5800 E. 58th Ave</t>
        </is>
      </c>
      <c r="H450" s="45" t="n">
        <v>2023</v>
      </c>
      <c r="I450" s="44" t="inlineStr">
        <is>
          <t>Memo</t>
        </is>
      </c>
    </row>
    <row r="451">
      <c r="A451" s="6" t="inlineStr">
        <is>
          <t>5800 E. 58th Ave (R0091933) — FY2023</t>
        </is>
      </c>
      <c r="B451" s="25" t="inlineStr">
        <is>
          <t>Memo (below NOI)</t>
        </is>
      </c>
      <c r="C451" s="6" t="inlineStr">
        <is>
          <t>Mortgage Interest</t>
        </is>
      </c>
      <c r="D451" s="22" t="n">
        <v>65618.92</v>
      </c>
      <c r="E451" s="6" t="inlineStr">
        <is>
          <t>Below Total Operating Expenses; not in the total above</t>
        </is>
      </c>
      <c r="F451" s="44" t="inlineStr">
        <is>
          <t>R0091933</t>
        </is>
      </c>
      <c r="G451" s="37" t="inlineStr">
        <is>
          <t>5800 E. 58th Ave</t>
        </is>
      </c>
      <c r="H451" s="45" t="n">
        <v>2023</v>
      </c>
      <c r="I451" s="44" t="inlineStr">
        <is>
          <t>Memo</t>
        </is>
      </c>
    </row>
    <row r="452">
      <c r="A452" s="6" t="inlineStr">
        <is>
          <t>5800 E. 58th Ave (R0091933) — FY2023</t>
        </is>
      </c>
      <c r="B452" s="25" t="inlineStr">
        <is>
          <t>Memo (below NOI)</t>
        </is>
      </c>
      <c r="C452" s="6" t="inlineStr">
        <is>
          <t>Total Depreciation &amp; Amortization</t>
        </is>
      </c>
      <c r="D452" s="22" t="n">
        <v>20658</v>
      </c>
      <c r="E452" s="6" t="inlineStr">
        <is>
          <t>Below Total Operating Expenses; not in the total above</t>
        </is>
      </c>
      <c r="F452" s="46" t="inlineStr">
        <is>
          <t>R0091933</t>
        </is>
      </c>
      <c r="G452" s="36" t="inlineStr">
        <is>
          <t>5800 E. 58th Ave</t>
        </is>
      </c>
      <c r="H452" s="47" t="n">
        <v>2023</v>
      </c>
      <c r="I452" s="46" t="inlineStr">
        <is>
          <t>Total</t>
        </is>
      </c>
    </row>
    <row r="453">
      <c r="A453" s="6" t="inlineStr">
        <is>
          <t>5800 E. 58th Ave (R0091933) — FY2023</t>
        </is>
      </c>
      <c r="B453" s="25" t="inlineStr">
        <is>
          <t>Memo (below NOI)</t>
        </is>
      </c>
      <c r="C453" s="6" t="inlineStr">
        <is>
          <t>Net Income</t>
        </is>
      </c>
      <c r="D453" s="22" t="n">
        <v>139159.43</v>
      </c>
      <c r="E453" s="6" t="inlineStr">
        <is>
          <t>Below Total Operating Expenses; not in the total above</t>
        </is>
      </c>
      <c r="F453" s="44" t="inlineStr">
        <is>
          <t>R0091933</t>
        </is>
      </c>
      <c r="G453" s="37" t="inlineStr">
        <is>
          <t>5800 E. 58th Ave</t>
        </is>
      </c>
      <c r="H453" s="45" t="n">
        <v>2023</v>
      </c>
      <c r="I453" s="44" t="inlineStr">
        <is>
          <t>Memo</t>
        </is>
      </c>
    </row>
    <row r="454">
      <c r="A454" s="6" t="inlineStr">
        <is>
          <t>5800 E. 58th Ave (R0091933) — FY2024</t>
        </is>
      </c>
      <c r="B454" s="25" t="inlineStr">
        <is>
          <t>Income</t>
        </is>
      </c>
      <c r="C454" s="6" t="inlineStr">
        <is>
          <t>51105 - Rent</t>
        </is>
      </c>
      <c r="D454" s="22" t="n">
        <v>345110.93</v>
      </c>
      <c r="E454" s="6" t="n"/>
      <c r="F454" s="44" t="inlineStr">
        <is>
          <t>R0091933</t>
        </is>
      </c>
      <c r="G454" s="37" t="inlineStr">
        <is>
          <t>5800 E. 58th Ave</t>
        </is>
      </c>
      <c r="H454" s="45" t="n">
        <v>2024</v>
      </c>
      <c r="I454" s="44" t="inlineStr">
        <is>
          <t>Line item</t>
        </is>
      </c>
    </row>
    <row r="455">
      <c r="A455" s="6" t="inlineStr">
        <is>
          <t>5800 E. 58th Ave (R0091933) — FY2024</t>
        </is>
      </c>
      <c r="B455" s="25" t="inlineStr">
        <is>
          <t>Income</t>
        </is>
      </c>
      <c r="C455" s="6" t="inlineStr">
        <is>
          <t>51205 - CAM Reimbursement Current</t>
        </is>
      </c>
      <c r="D455" s="22" t="n">
        <v>74094.46000000001</v>
      </c>
      <c r="E455" s="6" t="n"/>
      <c r="F455" s="44" t="inlineStr">
        <is>
          <t>R0091933</t>
        </is>
      </c>
      <c r="G455" s="37" t="inlineStr">
        <is>
          <t>5800 E. 58th Ave</t>
        </is>
      </c>
      <c r="H455" s="45" t="n">
        <v>2024</v>
      </c>
      <c r="I455" s="44" t="inlineStr">
        <is>
          <t>Line item</t>
        </is>
      </c>
    </row>
    <row r="456">
      <c r="A456" s="6" t="inlineStr">
        <is>
          <t>5800 E. 58th Ave (R0091933) — FY2024</t>
        </is>
      </c>
      <c r="B456" s="25" t="inlineStr">
        <is>
          <t>Income</t>
        </is>
      </c>
      <c r="C456" s="6" t="inlineStr">
        <is>
          <t>51210 - Operating Expense Recovery</t>
        </is>
      </c>
      <c r="D456" s="22" t="n">
        <v>29016.52</v>
      </c>
      <c r="E456" s="6" t="n"/>
      <c r="F456" s="44" t="inlineStr">
        <is>
          <t>R0091933</t>
        </is>
      </c>
      <c r="G456" s="37" t="inlineStr">
        <is>
          <t>5800 E. 58th Ave</t>
        </is>
      </c>
      <c r="H456" s="45" t="n">
        <v>2024</v>
      </c>
      <c r="I456" s="44" t="inlineStr">
        <is>
          <t>Line item</t>
        </is>
      </c>
    </row>
    <row r="457">
      <c r="A457" s="6" t="inlineStr">
        <is>
          <t>5800 E. 58th Ave (R0091933) — FY2024</t>
        </is>
      </c>
      <c r="B457" s="25" t="inlineStr">
        <is>
          <t>Income</t>
        </is>
      </c>
      <c r="C457" s="6" t="inlineStr">
        <is>
          <t>51215 - Insurance Reimbursement</t>
        </is>
      </c>
      <c r="D457" s="22" t="n">
        <v>420.88</v>
      </c>
      <c r="E457" s="6" t="n"/>
      <c r="F457" s="44" t="inlineStr">
        <is>
          <t>R0091933</t>
        </is>
      </c>
      <c r="G457" s="37" t="inlineStr">
        <is>
          <t>5800 E. 58th Ave</t>
        </is>
      </c>
      <c r="H457" s="45" t="n">
        <v>2024</v>
      </c>
      <c r="I457" s="44" t="inlineStr">
        <is>
          <t>Line item</t>
        </is>
      </c>
    </row>
    <row r="458">
      <c r="A458" s="6" t="inlineStr">
        <is>
          <t>5800 E. 58th Ave (R0091933) — FY2024</t>
        </is>
      </c>
      <c r="B458" s="25" t="inlineStr">
        <is>
          <t>Income</t>
        </is>
      </c>
      <c r="C458" s="6" t="inlineStr">
        <is>
          <t>51225 - RE Tax Reimbursement</t>
        </is>
      </c>
      <c r="D458" s="22" t="n">
        <v>7202.86</v>
      </c>
      <c r="E458" s="6" t="n"/>
      <c r="F458" s="44" t="inlineStr">
        <is>
          <t>R0091933</t>
        </is>
      </c>
      <c r="G458" s="37" t="inlineStr">
        <is>
          <t>5800 E. 58th Ave</t>
        </is>
      </c>
      <c r="H458" s="45" t="n">
        <v>2024</v>
      </c>
      <c r="I458" s="44" t="inlineStr">
        <is>
          <t>Line item</t>
        </is>
      </c>
    </row>
    <row r="459">
      <c r="A459" s="6" t="inlineStr">
        <is>
          <t>5800 E. 58th Ave (R0091933) — FY2024</t>
        </is>
      </c>
      <c r="B459" s="25" t="inlineStr">
        <is>
          <t>Income</t>
        </is>
      </c>
      <c r="C459" s="6" t="inlineStr">
        <is>
          <t>51320 - Late Fees &amp; Other Charges</t>
        </is>
      </c>
      <c r="D459" s="22" t="n">
        <v>526.89</v>
      </c>
      <c r="E459" s="6" t="n"/>
      <c r="F459" s="44" t="inlineStr">
        <is>
          <t>R0091933</t>
        </is>
      </c>
      <c r="G459" s="37" t="inlineStr">
        <is>
          <t>5800 E. 58th Ave</t>
        </is>
      </c>
      <c r="H459" s="45" t="n">
        <v>2024</v>
      </c>
      <c r="I459" s="44" t="inlineStr">
        <is>
          <t>Line item</t>
        </is>
      </c>
    </row>
    <row r="460">
      <c r="A460" s="6" t="inlineStr">
        <is>
          <t>5800 E. 58th Ave (R0091933) — FY2024</t>
        </is>
      </c>
      <c r="B460" s="25" t="inlineStr">
        <is>
          <t>Income</t>
        </is>
      </c>
      <c r="C460" s="6" t="inlineStr">
        <is>
          <t>51335 - Misc Income Property</t>
        </is>
      </c>
      <c r="D460" s="22" t="n">
        <v>1049.4</v>
      </c>
      <c r="E460" s="6" t="n"/>
      <c r="F460" s="44" t="inlineStr">
        <is>
          <t>R0091933</t>
        </is>
      </c>
      <c r="G460" s="37" t="inlineStr">
        <is>
          <t>5800 E. 58th Ave</t>
        </is>
      </c>
      <c r="H460" s="45" t="n">
        <v>2024</v>
      </c>
      <c r="I460" s="44" t="inlineStr">
        <is>
          <t>Line item</t>
        </is>
      </c>
    </row>
    <row r="461">
      <c r="A461" s="11" t="inlineStr">
        <is>
          <t>5800 E. 58th Ave (R0091933) — FY2024</t>
        </is>
      </c>
      <c r="B461" s="26" t="inlineStr">
        <is>
          <t>Income</t>
        </is>
      </c>
      <c r="C461" s="12" t="inlineStr">
        <is>
          <t>TOTAL OPERATING REVENUES</t>
        </is>
      </c>
      <c r="D461" s="23">
        <f>SUM(D454:D460)</f>
        <v/>
      </c>
      <c r="E461" s="18" t="inlineStr">
        <is>
          <t>Printed total: $457,421.94.</t>
        </is>
      </c>
      <c r="F461" s="46" t="inlineStr">
        <is>
          <t>R0091933</t>
        </is>
      </c>
      <c r="G461" s="36" t="inlineStr">
        <is>
          <t>5800 E. 58th Ave</t>
        </is>
      </c>
      <c r="H461" s="47" t="n">
        <v>2024</v>
      </c>
      <c r="I461" s="46" t="inlineStr">
        <is>
          <t>Total</t>
        </is>
      </c>
    </row>
    <row r="462">
      <c r="A462" s="6" t="inlineStr">
        <is>
          <t>5800 E. 58th Ave (R0091933) — FY2024</t>
        </is>
      </c>
      <c r="B462" s="25" t="inlineStr">
        <is>
          <t>Expense</t>
        </is>
      </c>
      <c r="C462" s="6" t="inlineStr">
        <is>
          <t>60105 - Elec House Meters</t>
        </is>
      </c>
      <c r="D462" s="22" t="n">
        <v>1850.21</v>
      </c>
      <c r="E462" s="6" t="n"/>
      <c r="F462" s="44" t="inlineStr">
        <is>
          <t>R0091933</t>
        </is>
      </c>
      <c r="G462" s="37" t="inlineStr">
        <is>
          <t>5800 E. 58th Ave</t>
        </is>
      </c>
      <c r="H462" s="45" t="n">
        <v>2024</v>
      </c>
      <c r="I462" s="44" t="inlineStr">
        <is>
          <t>Line item</t>
        </is>
      </c>
    </row>
    <row r="463">
      <c r="A463" s="6" t="inlineStr">
        <is>
          <t>5800 E. 58th Ave (R0091933) — FY2024</t>
        </is>
      </c>
      <c r="B463" s="25" t="inlineStr">
        <is>
          <t>Expense</t>
        </is>
      </c>
      <c r="C463" s="6" t="inlineStr">
        <is>
          <t>60115 - Water/Sewer</t>
        </is>
      </c>
      <c r="D463" s="22" t="n">
        <v>3334.92</v>
      </c>
      <c r="E463" s="6" t="n"/>
      <c r="F463" s="44" t="inlineStr">
        <is>
          <t>R0091933</t>
        </is>
      </c>
      <c r="G463" s="37" t="inlineStr">
        <is>
          <t>5800 E. 58th Ave</t>
        </is>
      </c>
      <c r="H463" s="45" t="n">
        <v>2024</v>
      </c>
      <c r="I463" s="44" t="inlineStr">
        <is>
          <t>Line item</t>
        </is>
      </c>
    </row>
    <row r="464">
      <c r="A464" s="6" t="inlineStr">
        <is>
          <t>5800 E. 58th Ave (R0091933) — FY2024</t>
        </is>
      </c>
      <c r="B464" s="25" t="inlineStr">
        <is>
          <t>Expense</t>
        </is>
      </c>
      <c r="C464" s="6" t="inlineStr">
        <is>
          <t>60220 - Parking Sweep Contract</t>
        </is>
      </c>
      <c r="D464" s="22" t="n">
        <v>960</v>
      </c>
      <c r="E464" s="6" t="n"/>
      <c r="F464" s="44" t="inlineStr">
        <is>
          <t>R0091933</t>
        </is>
      </c>
      <c r="G464" s="37" t="inlineStr">
        <is>
          <t>5800 E. 58th Ave</t>
        </is>
      </c>
      <c r="H464" s="45" t="n">
        <v>2024</v>
      </c>
      <c r="I464" s="44" t="inlineStr">
        <is>
          <t>Line item</t>
        </is>
      </c>
    </row>
    <row r="465">
      <c r="A465" s="6" t="inlineStr">
        <is>
          <t>5800 E. 58th Ave (R0091933) — FY2024</t>
        </is>
      </c>
      <c r="B465" s="25" t="inlineStr">
        <is>
          <t>Expense</t>
        </is>
      </c>
      <c r="C465" s="6" t="inlineStr">
        <is>
          <t>60235 - Trash Removal Contract</t>
        </is>
      </c>
      <c r="D465" s="22" t="n">
        <v>391.88</v>
      </c>
      <c r="E465" s="6" t="n"/>
      <c r="F465" s="44" t="inlineStr">
        <is>
          <t>R0091933</t>
        </is>
      </c>
      <c r="G465" s="37" t="inlineStr">
        <is>
          <t>5800 E. 58th Ave</t>
        </is>
      </c>
      <c r="H465" s="45" t="n">
        <v>2024</v>
      </c>
      <c r="I465" s="44" t="inlineStr">
        <is>
          <t>Line item</t>
        </is>
      </c>
    </row>
    <row r="466">
      <c r="A466" s="6" t="inlineStr">
        <is>
          <t>5800 E. 58th Ave (R0091933) — FY2024</t>
        </is>
      </c>
      <c r="B466" s="25" t="inlineStr">
        <is>
          <t>Expense</t>
        </is>
      </c>
      <c r="C466" s="6" t="inlineStr">
        <is>
          <t>60240 - Trash Removal Extra Service</t>
        </is>
      </c>
      <c r="D466" s="22" t="n">
        <v>24</v>
      </c>
      <c r="E466" s="6" t="n"/>
      <c r="F466" s="44" t="inlineStr">
        <is>
          <t>R0091933</t>
        </is>
      </c>
      <c r="G466" s="37" t="inlineStr">
        <is>
          <t>5800 E. 58th Ave</t>
        </is>
      </c>
      <c r="H466" s="45" t="n">
        <v>2024</v>
      </c>
      <c r="I466" s="44" t="inlineStr">
        <is>
          <t>Line item</t>
        </is>
      </c>
    </row>
    <row r="467">
      <c r="A467" s="6" t="inlineStr">
        <is>
          <t>5800 E. 58th Ave (R0091933) — FY2024</t>
        </is>
      </c>
      <c r="B467" s="25" t="inlineStr">
        <is>
          <t>Expense</t>
        </is>
      </c>
      <c r="C467" s="6" t="inlineStr">
        <is>
          <t>60315 - Door/Keys R&amp;M</t>
        </is>
      </c>
      <c r="D467" s="22" t="n">
        <v>26.43</v>
      </c>
      <c r="E467" s="6" t="n"/>
      <c r="F467" s="44" t="inlineStr">
        <is>
          <t>R0091933</t>
        </is>
      </c>
      <c r="G467" s="37" t="inlineStr">
        <is>
          <t>5800 E. 58th Ave</t>
        </is>
      </c>
      <c r="H467" s="45" t="n">
        <v>2024</v>
      </c>
      <c r="I467" s="44" t="inlineStr">
        <is>
          <t>Line item</t>
        </is>
      </c>
    </row>
    <row r="468">
      <c r="A468" s="6" t="inlineStr">
        <is>
          <t>5800 E. 58th Ave (R0091933) — FY2024</t>
        </is>
      </c>
      <c r="B468" s="25" t="inlineStr">
        <is>
          <t>Expense</t>
        </is>
      </c>
      <c r="C468" s="6" t="inlineStr">
        <is>
          <t>60345 - Lighting Interior</t>
        </is>
      </c>
      <c r="D468" s="22" t="n">
        <v>45.57</v>
      </c>
      <c r="E468" s="6" t="n"/>
      <c r="F468" s="44" t="inlineStr">
        <is>
          <t>R0091933</t>
        </is>
      </c>
      <c r="G468" s="37" t="inlineStr">
        <is>
          <t>5800 E. 58th Ave</t>
        </is>
      </c>
      <c r="H468" s="45" t="n">
        <v>2024</v>
      </c>
      <c r="I468" s="44" t="inlineStr">
        <is>
          <t>Line item</t>
        </is>
      </c>
    </row>
    <row r="469">
      <c r="A469" s="6" t="inlineStr">
        <is>
          <t>5800 E. 58th Ave (R0091933) — FY2024</t>
        </is>
      </c>
      <c r="B469" s="25" t="inlineStr">
        <is>
          <t>Expense</t>
        </is>
      </c>
      <c r="C469" s="6" t="inlineStr">
        <is>
          <t>60405 - Backflow Inspections</t>
        </is>
      </c>
      <c r="D469" s="22" t="n">
        <v>50</v>
      </c>
      <c r="E469" s="6" t="n"/>
      <c r="F469" s="44" t="inlineStr">
        <is>
          <t>R0091933</t>
        </is>
      </c>
      <c r="G469" s="37" t="inlineStr">
        <is>
          <t>5800 E. 58th Ave</t>
        </is>
      </c>
      <c r="H469" s="45" t="n">
        <v>2024</v>
      </c>
      <c r="I469" s="44" t="inlineStr">
        <is>
          <t>Line item</t>
        </is>
      </c>
    </row>
    <row r="470">
      <c r="A470" s="6" t="inlineStr">
        <is>
          <t>5800 E. 58th Ave (R0091933) — FY2024</t>
        </is>
      </c>
      <c r="B470" s="25" t="inlineStr">
        <is>
          <t>Expense</t>
        </is>
      </c>
      <c r="C470" s="6" t="inlineStr">
        <is>
          <t>60420 - Plumbing/Sewer R&amp;M</t>
        </is>
      </c>
      <c r="D470" s="22" t="n">
        <v>106.7</v>
      </c>
      <c r="E470" s="6" t="n"/>
      <c r="F470" s="44" t="inlineStr">
        <is>
          <t>R0091933</t>
        </is>
      </c>
      <c r="G470" s="37" t="inlineStr">
        <is>
          <t>5800 E. 58th Ave</t>
        </is>
      </c>
      <c r="H470" s="45" t="n">
        <v>2024</v>
      </c>
      <c r="I470" s="44" t="inlineStr">
        <is>
          <t>Line item</t>
        </is>
      </c>
    </row>
    <row r="471">
      <c r="A471" s="6" t="inlineStr">
        <is>
          <t>5800 E. 58th Ave (R0091933) — FY2024</t>
        </is>
      </c>
      <c r="B471" s="25" t="inlineStr">
        <is>
          <t>Expense</t>
        </is>
      </c>
      <c r="C471" s="6" t="inlineStr">
        <is>
          <t>60540 - Landscape Contract</t>
        </is>
      </c>
      <c r="D471" s="22" t="n">
        <v>1436.4</v>
      </c>
      <c r="E471" s="6" t="n"/>
      <c r="F471" s="44" t="inlineStr">
        <is>
          <t>R0091933</t>
        </is>
      </c>
      <c r="G471" s="37" t="inlineStr">
        <is>
          <t>5800 E. 58th Ave</t>
        </is>
      </c>
      <c r="H471" s="45" t="n">
        <v>2024</v>
      </c>
      <c r="I471" s="44" t="inlineStr">
        <is>
          <t>Line item</t>
        </is>
      </c>
    </row>
    <row r="472">
      <c r="A472" s="6" t="inlineStr">
        <is>
          <t>5800 E. 58th Ave (R0091933) — FY2024</t>
        </is>
      </c>
      <c r="B472" s="25" t="inlineStr">
        <is>
          <t>Expense</t>
        </is>
      </c>
      <c r="C472" s="6" t="inlineStr">
        <is>
          <t>60541 - Landscaping &amp; Irrigation Rpr &amp; Rpl</t>
        </is>
      </c>
      <c r="D472" s="22" t="n">
        <v>1114.38</v>
      </c>
      <c r="E472" s="6" t="n"/>
      <c r="F472" s="44" t="inlineStr">
        <is>
          <t>R0091933</t>
        </is>
      </c>
      <c r="G472" s="37" t="inlineStr">
        <is>
          <t>5800 E. 58th Ave</t>
        </is>
      </c>
      <c r="H472" s="45" t="n">
        <v>2024</v>
      </c>
      <c r="I472" s="44" t="inlineStr">
        <is>
          <t>Line item</t>
        </is>
      </c>
    </row>
    <row r="473">
      <c r="A473" s="6" t="inlineStr">
        <is>
          <t>5800 E. 58th Ave (R0091933) — FY2024</t>
        </is>
      </c>
      <c r="B473" s="25" t="inlineStr">
        <is>
          <t>Expense</t>
        </is>
      </c>
      <c r="C473" s="6" t="inlineStr">
        <is>
          <t>60566 - Roof/Gut R&amp;M</t>
        </is>
      </c>
      <c r="D473" s="22" t="n">
        <v>3485.66</v>
      </c>
      <c r="E473" s="6" t="n"/>
      <c r="F473" s="44" t="inlineStr">
        <is>
          <t>R0091933</t>
        </is>
      </c>
      <c r="G473" s="37" t="inlineStr">
        <is>
          <t>5800 E. 58th Ave</t>
        </is>
      </c>
      <c r="H473" s="45" t="n">
        <v>2024</v>
      </c>
      <c r="I473" s="44" t="inlineStr">
        <is>
          <t>Line item</t>
        </is>
      </c>
    </row>
    <row r="474">
      <c r="A474" s="6" t="inlineStr">
        <is>
          <t>5800 E. 58th Ave (R0091933) — FY2024</t>
        </is>
      </c>
      <c r="B474" s="25" t="inlineStr">
        <is>
          <t>Expense</t>
        </is>
      </c>
      <c r="C474" s="6" t="inlineStr">
        <is>
          <t>60575 - Snow Removal</t>
        </is>
      </c>
      <c r="D474" s="22" t="n">
        <v>4984.25</v>
      </c>
      <c r="E474" s="6" t="n"/>
      <c r="F474" s="44" t="inlineStr">
        <is>
          <t>R0091933</t>
        </is>
      </c>
      <c r="G474" s="37" t="inlineStr">
        <is>
          <t>5800 E. 58th Ave</t>
        </is>
      </c>
      <c r="H474" s="45" t="n">
        <v>2024</v>
      </c>
      <c r="I474" s="44" t="inlineStr">
        <is>
          <t>Line item</t>
        </is>
      </c>
    </row>
    <row r="475">
      <c r="A475" s="6" t="inlineStr">
        <is>
          <t>5800 E. 58th Ave (R0091933) — FY2024</t>
        </is>
      </c>
      <c r="B475" s="25" t="inlineStr">
        <is>
          <t>Expense</t>
        </is>
      </c>
      <c r="C475" s="6" t="inlineStr">
        <is>
          <t>60605 - Fire Alarm Mo/Monitor</t>
        </is>
      </c>
      <c r="D475" s="22" t="n">
        <v>500</v>
      </c>
      <c r="E475" s="6" t="n"/>
      <c r="F475" s="44" t="inlineStr">
        <is>
          <t>R0091933</t>
        </is>
      </c>
      <c r="G475" s="37" t="inlineStr">
        <is>
          <t>5800 E. 58th Ave</t>
        </is>
      </c>
      <c r="H475" s="45" t="n">
        <v>2024</v>
      </c>
      <c r="I475" s="44" t="inlineStr">
        <is>
          <t>Line item</t>
        </is>
      </c>
    </row>
    <row r="476">
      <c r="A476" s="6" t="inlineStr">
        <is>
          <t>5800 E. 58th Ave (R0091933) — FY2024</t>
        </is>
      </c>
      <c r="B476" s="25" t="inlineStr">
        <is>
          <t>Expense</t>
        </is>
      </c>
      <c r="C476" s="6" t="inlineStr">
        <is>
          <t>60610 - Fire Sprinkler, Alarm &amp; Extinguisher Inspection</t>
        </is>
      </c>
      <c r="D476" s="22" t="n">
        <v>446</v>
      </c>
      <c r="E476" s="6" t="n"/>
      <c r="F476" s="44" t="inlineStr">
        <is>
          <t>R0091933</t>
        </is>
      </c>
      <c r="G476" s="37" t="inlineStr">
        <is>
          <t>5800 E. 58th Ave</t>
        </is>
      </c>
      <c r="H476" s="45" t="n">
        <v>2024</v>
      </c>
      <c r="I476" s="44" t="inlineStr">
        <is>
          <t>Line item</t>
        </is>
      </c>
    </row>
    <row r="477">
      <c r="A477" s="6" t="inlineStr">
        <is>
          <t>5800 E. 58th Ave (R0091933) — FY2024</t>
        </is>
      </c>
      <c r="B477" s="25" t="inlineStr">
        <is>
          <t>Expense</t>
        </is>
      </c>
      <c r="C477" s="6" t="inlineStr">
        <is>
          <t>60615 - Fire Sprinkler Alarm &amp; Extinguisher R&amp;M</t>
        </is>
      </c>
      <c r="D477" s="22" t="n">
        <v>3.61</v>
      </c>
      <c r="E477" s="6" t="n"/>
      <c r="F477" s="44" t="inlineStr">
        <is>
          <t>R0091933</t>
        </is>
      </c>
      <c r="G477" s="37" t="inlineStr">
        <is>
          <t>5800 E. 58th Ave</t>
        </is>
      </c>
      <c r="H477" s="45" t="n">
        <v>2024</v>
      </c>
      <c r="I477" s="44" t="inlineStr">
        <is>
          <t>Line item</t>
        </is>
      </c>
    </row>
    <row r="478">
      <c r="A478" s="6" t="inlineStr">
        <is>
          <t>5800 E. 58th Ave (R0091933) — FY2024</t>
        </is>
      </c>
      <c r="B478" s="25" t="inlineStr">
        <is>
          <t>Expense</t>
        </is>
      </c>
      <c r="C478" s="6" t="inlineStr">
        <is>
          <t>60905 - Wages R&amp;M</t>
        </is>
      </c>
      <c r="D478" s="22" t="n">
        <v>6882.23</v>
      </c>
      <c r="E478" s="6" t="n"/>
      <c r="F478" s="44" t="inlineStr">
        <is>
          <t>R0091933</t>
        </is>
      </c>
      <c r="G478" s="37" t="inlineStr">
        <is>
          <t>5800 E. 58th Ave</t>
        </is>
      </c>
      <c r="H478" s="45" t="n">
        <v>2024</v>
      </c>
      <c r="I478" s="44" t="inlineStr">
        <is>
          <t>Line item</t>
        </is>
      </c>
    </row>
    <row r="479">
      <c r="A479" s="6" t="inlineStr">
        <is>
          <t>5800 E. 58th Ave (R0091933) — FY2024</t>
        </is>
      </c>
      <c r="B479" s="25" t="inlineStr">
        <is>
          <t>Expense</t>
        </is>
      </c>
      <c r="C479" s="6" t="inlineStr">
        <is>
          <t>60915 - Maint Property Costs</t>
        </is>
      </c>
      <c r="D479" s="22" t="n">
        <v>1244.17</v>
      </c>
      <c r="E479" s="6" t="n"/>
      <c r="F479" s="44" t="inlineStr">
        <is>
          <t>R0091933</t>
        </is>
      </c>
      <c r="G479" s="37" t="inlineStr">
        <is>
          <t>5800 E. 58th Ave</t>
        </is>
      </c>
      <c r="H479" s="45" t="n">
        <v>2024</v>
      </c>
      <c r="I479" s="44" t="inlineStr">
        <is>
          <t>Line item</t>
        </is>
      </c>
    </row>
    <row r="480">
      <c r="A480" s="6" t="inlineStr">
        <is>
          <t>5800 E. 58th Ave (R0091933) — FY2024</t>
        </is>
      </c>
      <c r="B480" s="25" t="inlineStr">
        <is>
          <t>Expense</t>
        </is>
      </c>
      <c r="C480" s="6" t="inlineStr">
        <is>
          <t>60925 - Bldg Maint Supplies R&amp;M</t>
        </is>
      </c>
      <c r="D480" s="22" t="n">
        <v>6.42</v>
      </c>
      <c r="E480" s="6" t="n"/>
      <c r="F480" s="44" t="inlineStr">
        <is>
          <t>R0091933</t>
        </is>
      </c>
      <c r="G480" s="37" t="inlineStr">
        <is>
          <t>5800 E. 58th Ave</t>
        </is>
      </c>
      <c r="H480" s="45" t="n">
        <v>2024</v>
      </c>
      <c r="I480" s="44" t="inlineStr">
        <is>
          <t>Line item</t>
        </is>
      </c>
    </row>
    <row r="481">
      <c r="A481" s="6" t="inlineStr">
        <is>
          <t>5800 E. 58th Ave (R0091933) — FY2024</t>
        </is>
      </c>
      <c r="B481" s="25" t="inlineStr">
        <is>
          <t>Expense</t>
        </is>
      </c>
      <c r="C481" s="6" t="inlineStr">
        <is>
          <t>60940 - Signage CAM</t>
        </is>
      </c>
      <c r="D481" s="22" t="n">
        <v>19.75</v>
      </c>
      <c r="E481" s="6" t="n"/>
      <c r="F481" s="44" t="inlineStr">
        <is>
          <t>R0091933</t>
        </is>
      </c>
      <c r="G481" s="37" t="inlineStr">
        <is>
          <t>5800 E. 58th Ave</t>
        </is>
      </c>
      <c r="H481" s="45" t="n">
        <v>2024</v>
      </c>
      <c r="I481" s="44" t="inlineStr">
        <is>
          <t>Line item</t>
        </is>
      </c>
    </row>
    <row r="482">
      <c r="A482" s="6" t="inlineStr">
        <is>
          <t>5800 E. 58th Ave (R0091933) — FY2024</t>
        </is>
      </c>
      <c r="B482" s="25" t="inlineStr">
        <is>
          <t>Expense</t>
        </is>
      </c>
      <c r="C482" s="6" t="inlineStr">
        <is>
          <t>60955 - Management Fees</t>
        </is>
      </c>
      <c r="D482" s="22" t="n">
        <v>22818.62</v>
      </c>
      <c r="E482" s="6" t="n"/>
      <c r="F482" s="44" t="inlineStr">
        <is>
          <t>R0091933</t>
        </is>
      </c>
      <c r="G482" s="37" t="inlineStr">
        <is>
          <t>5800 E. 58th Ave</t>
        </is>
      </c>
      <c r="H482" s="45" t="n">
        <v>2024</v>
      </c>
      <c r="I482" s="44" t="inlineStr">
        <is>
          <t>Line item</t>
        </is>
      </c>
    </row>
    <row r="483">
      <c r="A483" s="6" t="inlineStr">
        <is>
          <t>5800 E. 58th Ave (R0091933) — FY2024</t>
        </is>
      </c>
      <c r="B483" s="25" t="inlineStr">
        <is>
          <t>Expense</t>
        </is>
      </c>
      <c r="C483" s="6" t="inlineStr">
        <is>
          <t>60965 - Professional Tax Review Fee</t>
        </is>
      </c>
      <c r="D483" s="22" t="n">
        <v>101.25</v>
      </c>
      <c r="E483" s="6" t="n"/>
      <c r="F483" s="44" t="inlineStr">
        <is>
          <t>R0091933</t>
        </is>
      </c>
      <c r="G483" s="37" t="inlineStr">
        <is>
          <t>5800 E. 58th Ave</t>
        </is>
      </c>
      <c r="H483" s="45" t="n">
        <v>2024</v>
      </c>
      <c r="I483" s="44" t="inlineStr">
        <is>
          <t>Line item</t>
        </is>
      </c>
    </row>
    <row r="484">
      <c r="A484" s="6" t="inlineStr">
        <is>
          <t>5800 E. 58th Ave (R0091933) — FY2024</t>
        </is>
      </c>
      <c r="B484" s="25" t="inlineStr">
        <is>
          <t>Expense</t>
        </is>
      </c>
      <c r="C484" s="6" t="inlineStr">
        <is>
          <t>61015 - Tax Real Estate</t>
        </is>
      </c>
      <c r="D484" s="22" t="n">
        <v>96180</v>
      </c>
      <c r="E484" s="6" t="n"/>
      <c r="F484" s="44" t="inlineStr">
        <is>
          <t>R0091933</t>
        </is>
      </c>
      <c r="G484" s="37" t="inlineStr">
        <is>
          <t>5800 E. 58th Ave</t>
        </is>
      </c>
      <c r="H484" s="45" t="n">
        <v>2024</v>
      </c>
      <c r="I484" s="44" t="inlineStr">
        <is>
          <t>Line item</t>
        </is>
      </c>
    </row>
    <row r="485">
      <c r="A485" s="6" t="inlineStr">
        <is>
          <t>5800 E. 58th Ave (R0091933) — FY2024</t>
        </is>
      </c>
      <c r="B485" s="25" t="inlineStr">
        <is>
          <t>Expense</t>
        </is>
      </c>
      <c r="C485" s="6" t="inlineStr">
        <is>
          <t>61020 - Insurance</t>
        </is>
      </c>
      <c r="D485" s="22" t="n">
        <v>5243</v>
      </c>
      <c r="E485" s="6" t="n"/>
      <c r="F485" s="44" t="inlineStr">
        <is>
          <t>R0091933</t>
        </is>
      </c>
      <c r="G485" s="37" t="inlineStr">
        <is>
          <t>5800 E. 58th Ave</t>
        </is>
      </c>
      <c r="H485" s="45" t="n">
        <v>2024</v>
      </c>
      <c r="I485" s="44" t="inlineStr">
        <is>
          <t>Line item</t>
        </is>
      </c>
    </row>
    <row r="486">
      <c r="A486" s="11" t="inlineStr">
        <is>
          <t>5800 E. 58th Ave (R0091933) — FY2024</t>
        </is>
      </c>
      <c r="B486" s="26" t="inlineStr">
        <is>
          <t>Expense</t>
        </is>
      </c>
      <c r="C486" s="12" t="inlineStr">
        <is>
          <t>TOTAL OPERATING EXPENSES</t>
        </is>
      </c>
      <c r="D486" s="23">
        <f>SUM(D462:D485)</f>
        <v/>
      </c>
      <c r="E486" s="18" t="inlineStr">
        <is>
          <t>Printed total: $151,255.45. Property NOI $306,166.49. Zero-value accounts omitted. Sterling letter recast: RE Taxes $96,180 + CAM Reimbursable $55,075 + CAM Non-Reimbursable $4,758 = $156,013.</t>
        </is>
      </c>
      <c r="F486" s="46" t="inlineStr">
        <is>
          <t>R0091933</t>
        </is>
      </c>
      <c r="G486" s="36" t="inlineStr">
        <is>
          <t>5800 E. 58th Ave</t>
        </is>
      </c>
      <c r="H486" s="47" t="n">
        <v>2024</v>
      </c>
      <c r="I486" s="46" t="inlineStr">
        <is>
          <t>Total</t>
        </is>
      </c>
    </row>
    <row r="487">
      <c r="A487" s="6" t="inlineStr">
        <is>
          <t>5800 E. 58th Ave (R0091933) — FY2024</t>
        </is>
      </c>
      <c r="B487" s="25" t="inlineStr">
        <is>
          <t>Memo (below NOI)</t>
        </is>
      </c>
      <c r="C487" s="6" t="inlineStr">
        <is>
          <t>Total Non-CAM Expenses</t>
        </is>
      </c>
      <c r="D487" s="22" t="n">
        <v>4504.13</v>
      </c>
      <c r="E487" s="6" t="inlineStr">
        <is>
          <t>Below Total Operating Expenses; not in the total above</t>
        </is>
      </c>
      <c r="F487" s="46" t="inlineStr">
        <is>
          <t>R0091933</t>
        </is>
      </c>
      <c r="G487" s="36" t="inlineStr">
        <is>
          <t>5800 E. 58th Ave</t>
        </is>
      </c>
      <c r="H487" s="47" t="n">
        <v>2024</v>
      </c>
      <c r="I487" s="46" t="inlineStr">
        <is>
          <t>Total</t>
        </is>
      </c>
    </row>
    <row r="488">
      <c r="A488" s="6" t="inlineStr">
        <is>
          <t>5800 E. 58th Ave (R0091933) — FY2024</t>
        </is>
      </c>
      <c r="B488" s="25" t="inlineStr">
        <is>
          <t>Memo (below NOI)</t>
        </is>
      </c>
      <c r="C488" s="6" t="inlineStr">
        <is>
          <t>Net Operating Income (after non-CAM)</t>
        </is>
      </c>
      <c r="D488" s="22" t="n">
        <v>301662.36</v>
      </c>
      <c r="E488" s="6" t="inlineStr">
        <is>
          <t>Below Total Operating Expenses; not in the total above</t>
        </is>
      </c>
      <c r="F488" s="44" t="inlineStr">
        <is>
          <t>R0091933</t>
        </is>
      </c>
      <c r="G488" s="37" t="inlineStr">
        <is>
          <t>5800 E. 58th Ave</t>
        </is>
      </c>
      <c r="H488" s="45" t="n">
        <v>2024</v>
      </c>
      <c r="I488" s="44" t="inlineStr">
        <is>
          <t>Memo</t>
        </is>
      </c>
    </row>
    <row r="489">
      <c r="A489" s="6" t="inlineStr">
        <is>
          <t>5800 E. 58th Ave (R0091933) — FY2024</t>
        </is>
      </c>
      <c r="B489" s="25" t="inlineStr">
        <is>
          <t>Memo (below NOI)</t>
        </is>
      </c>
      <c r="C489" s="6" t="inlineStr">
        <is>
          <t>Mortgage Interest</t>
        </is>
      </c>
      <c r="D489" s="22" t="n">
        <v>64114.24</v>
      </c>
      <c r="E489" s="6" t="inlineStr">
        <is>
          <t>Below Total Operating Expenses; not in the total above</t>
        </is>
      </c>
      <c r="F489" s="44" t="inlineStr">
        <is>
          <t>R0091933</t>
        </is>
      </c>
      <c r="G489" s="37" t="inlineStr">
        <is>
          <t>5800 E. 58th Ave</t>
        </is>
      </c>
      <c r="H489" s="45" t="n">
        <v>2024</v>
      </c>
      <c r="I489" s="44" t="inlineStr">
        <is>
          <t>Memo</t>
        </is>
      </c>
    </row>
    <row r="490">
      <c r="A490" s="6" t="inlineStr">
        <is>
          <t>5800 E. 58th Ave (R0091933) — FY2024</t>
        </is>
      </c>
      <c r="B490" s="25" t="inlineStr">
        <is>
          <t>Memo (below NOI)</t>
        </is>
      </c>
      <c r="C490" s="6" t="inlineStr">
        <is>
          <t>Total Depreciation &amp; Amortization</t>
        </is>
      </c>
      <c r="D490" s="22" t="n">
        <v>20659</v>
      </c>
      <c r="E490" s="6" t="inlineStr">
        <is>
          <t>Below Total Operating Expenses; not in the total above</t>
        </is>
      </c>
      <c r="F490" s="46" t="inlineStr">
        <is>
          <t>R0091933</t>
        </is>
      </c>
      <c r="G490" s="36" t="inlineStr">
        <is>
          <t>5800 E. 58th Ave</t>
        </is>
      </c>
      <c r="H490" s="47" t="n">
        <v>2024</v>
      </c>
      <c r="I490" s="46" t="inlineStr">
        <is>
          <t>Total</t>
        </is>
      </c>
    </row>
    <row r="491">
      <c r="A491" s="6" t="inlineStr">
        <is>
          <t>5800 E. 58th Ave (R0091933) — FY2024</t>
        </is>
      </c>
      <c r="B491" s="25" t="inlineStr">
        <is>
          <t>Memo (below NOI)</t>
        </is>
      </c>
      <c r="C491" s="6" t="inlineStr">
        <is>
          <t>Net Income</t>
        </is>
      </c>
      <c r="D491" s="22" t="n">
        <v>216889.12</v>
      </c>
      <c r="E491" s="6" t="inlineStr">
        <is>
          <t>Below Total Operating Expenses; not in the total above</t>
        </is>
      </c>
      <c r="F491" s="44" t="inlineStr">
        <is>
          <t>R0091933</t>
        </is>
      </c>
      <c r="G491" s="37" t="inlineStr">
        <is>
          <t>5800 E. 58th Ave</t>
        </is>
      </c>
      <c r="H491" s="45" t="n">
        <v>2024</v>
      </c>
      <c r="I491" s="44" t="inlineStr">
        <is>
          <t>Memo</t>
        </is>
      </c>
    </row>
    <row r="492">
      <c r="A492" s="6" t="inlineStr">
        <is>
          <t>5750 E. 58th Ave (R0091934) — FY2023</t>
        </is>
      </c>
      <c r="B492" s="25" t="inlineStr">
        <is>
          <t>Income</t>
        </is>
      </c>
      <c r="C492" s="6" t="inlineStr">
        <is>
          <t>51105 - Rent</t>
        </is>
      </c>
      <c r="D492" s="22" t="n">
        <v>296766.07</v>
      </c>
      <c r="E492" s="6" t="n"/>
      <c r="F492" s="44" t="inlineStr">
        <is>
          <t>R0091934</t>
        </is>
      </c>
      <c r="G492" s="37" t="inlineStr">
        <is>
          <t>5750 E. 58th Ave</t>
        </is>
      </c>
      <c r="H492" s="45" t="n">
        <v>2023</v>
      </c>
      <c r="I492" s="44" t="inlineStr">
        <is>
          <t>Line item</t>
        </is>
      </c>
    </row>
    <row r="493">
      <c r="A493" s="6" t="inlineStr">
        <is>
          <t>5750 E. 58th Ave (R0091934) — FY2023</t>
        </is>
      </c>
      <c r="B493" s="25" t="inlineStr">
        <is>
          <t>Income</t>
        </is>
      </c>
      <c r="C493" s="6" t="inlineStr">
        <is>
          <t>51205 - CAM Reimbursement Current</t>
        </is>
      </c>
      <c r="D493" s="22" t="n">
        <v>52110.89</v>
      </c>
      <c r="E493" s="6" t="n"/>
      <c r="F493" s="44" t="inlineStr">
        <is>
          <t>R0091934</t>
        </is>
      </c>
      <c r="G493" s="37" t="inlineStr">
        <is>
          <t>5750 E. 58th Ave</t>
        </is>
      </c>
      <c r="H493" s="45" t="n">
        <v>2023</v>
      </c>
      <c r="I493" s="44" t="inlineStr">
        <is>
          <t>Line item</t>
        </is>
      </c>
    </row>
    <row r="494">
      <c r="A494" s="6" t="inlineStr">
        <is>
          <t>5750 E. 58th Ave (R0091934) — FY2023</t>
        </is>
      </c>
      <c r="B494" s="25" t="inlineStr">
        <is>
          <t>Income</t>
        </is>
      </c>
      <c r="C494" s="6" t="inlineStr">
        <is>
          <t>51210 - Operating Expense Recovery</t>
        </is>
      </c>
      <c r="D494" s="22" t="n">
        <v>12339.13</v>
      </c>
      <c r="E494" s="6" t="n"/>
      <c r="F494" s="44" t="inlineStr">
        <is>
          <t>R0091934</t>
        </is>
      </c>
      <c r="G494" s="37" t="inlineStr">
        <is>
          <t>5750 E. 58th Ave</t>
        </is>
      </c>
      <c r="H494" s="45" t="n">
        <v>2023</v>
      </c>
      <c r="I494" s="44" t="inlineStr">
        <is>
          <t>Line item</t>
        </is>
      </c>
    </row>
    <row r="495">
      <c r="A495" s="6" t="inlineStr">
        <is>
          <t>5750 E. 58th Ave (R0091934) — FY2023</t>
        </is>
      </c>
      <c r="B495" s="25" t="inlineStr">
        <is>
          <t>Income</t>
        </is>
      </c>
      <c r="C495" s="6" t="inlineStr">
        <is>
          <t>51215 - Insurance Reimbursement</t>
        </is>
      </c>
      <c r="D495" s="22" t="n">
        <v>3657.11</v>
      </c>
      <c r="E495" s="6" t="n"/>
      <c r="F495" s="44" t="inlineStr">
        <is>
          <t>R0091934</t>
        </is>
      </c>
      <c r="G495" s="37" t="inlineStr">
        <is>
          <t>5750 E. 58th Ave</t>
        </is>
      </c>
      <c r="H495" s="45" t="n">
        <v>2023</v>
      </c>
      <c r="I495" s="44" t="inlineStr">
        <is>
          <t>Line item</t>
        </is>
      </c>
    </row>
    <row r="496">
      <c r="A496" s="6" t="inlineStr">
        <is>
          <t>5750 E. 58th Ave (R0091934) — FY2023</t>
        </is>
      </c>
      <c r="B496" s="25" t="inlineStr">
        <is>
          <t>Income</t>
        </is>
      </c>
      <c r="C496" s="6" t="inlineStr">
        <is>
          <t>51225 - RE Tax Reimbursement</t>
        </is>
      </c>
      <c r="D496" s="22" t="n">
        <v>63174.43</v>
      </c>
      <c r="E496" s="6" t="n"/>
      <c r="F496" s="44" t="inlineStr">
        <is>
          <t>R0091934</t>
        </is>
      </c>
      <c r="G496" s="37" t="inlineStr">
        <is>
          <t>5750 E. 58th Ave</t>
        </is>
      </c>
      <c r="H496" s="45" t="n">
        <v>2023</v>
      </c>
      <c r="I496" s="44" t="inlineStr">
        <is>
          <t>Line item</t>
        </is>
      </c>
    </row>
    <row r="497">
      <c r="A497" s="6" t="inlineStr">
        <is>
          <t>5750 E. 58th Ave (R0091934) — FY2023</t>
        </is>
      </c>
      <c r="B497" s="25" t="inlineStr">
        <is>
          <t>Income</t>
        </is>
      </c>
      <c r="C497" s="6" t="inlineStr">
        <is>
          <t>51315 - Termination Fee Income</t>
        </is>
      </c>
      <c r="D497" s="22" t="n">
        <v>264.82</v>
      </c>
      <c r="E497" s="6" t="n"/>
      <c r="F497" s="44" t="inlineStr">
        <is>
          <t>R0091934</t>
        </is>
      </c>
      <c r="G497" s="37" t="inlineStr">
        <is>
          <t>5750 E. 58th Ave</t>
        </is>
      </c>
      <c r="H497" s="45" t="n">
        <v>2023</v>
      </c>
      <c r="I497" s="44" t="inlineStr">
        <is>
          <t>Line item</t>
        </is>
      </c>
    </row>
    <row r="498">
      <c r="A498" s="6" t="inlineStr">
        <is>
          <t>5750 E. 58th Ave (R0091934) — FY2023</t>
        </is>
      </c>
      <c r="B498" s="25" t="inlineStr">
        <is>
          <t>Income</t>
        </is>
      </c>
      <c r="C498" s="6" t="inlineStr">
        <is>
          <t>51320 - Late Fees &amp; Other Charges</t>
        </is>
      </c>
      <c r="D498" s="22" t="n">
        <v>20690.9</v>
      </c>
      <c r="E498" s="6" t="n"/>
      <c r="F498" s="44" t="inlineStr">
        <is>
          <t>R0091934</t>
        </is>
      </c>
      <c r="G498" s="37" t="inlineStr">
        <is>
          <t>5750 E. 58th Ave</t>
        </is>
      </c>
      <c r="H498" s="45" t="n">
        <v>2023</v>
      </c>
      <c r="I498" s="44" t="inlineStr">
        <is>
          <t>Line item</t>
        </is>
      </c>
    </row>
    <row r="499">
      <c r="A499" s="11" t="inlineStr">
        <is>
          <t>5750 E. 58th Ave (R0091934) — FY2023</t>
        </is>
      </c>
      <c r="B499" s="26" t="inlineStr">
        <is>
          <t>Income</t>
        </is>
      </c>
      <c r="C499" s="12" t="inlineStr">
        <is>
          <t>TOTAL OPERATING REVENUES</t>
        </is>
      </c>
      <c r="D499" s="23">
        <f>SUM(D492:D498)</f>
        <v/>
      </c>
      <c r="E499" s="18" t="inlineStr">
        <is>
          <t>Printed total: $449,003.35.</t>
        </is>
      </c>
      <c r="F499" s="46" t="inlineStr">
        <is>
          <t>R0091934</t>
        </is>
      </c>
      <c r="G499" s="36" t="inlineStr">
        <is>
          <t>5750 E. 58th Ave</t>
        </is>
      </c>
      <c r="H499" s="47" t="n">
        <v>2023</v>
      </c>
      <c r="I499" s="46" t="inlineStr">
        <is>
          <t>Total</t>
        </is>
      </c>
    </row>
    <row r="500">
      <c r="A500" s="6" t="inlineStr">
        <is>
          <t>5750 E. 58th Ave (R0091934) — FY2023</t>
        </is>
      </c>
      <c r="B500" s="25" t="inlineStr">
        <is>
          <t>Expense</t>
        </is>
      </c>
      <c r="C500" s="6" t="inlineStr">
        <is>
          <t>60105 - Elec House Meters</t>
        </is>
      </c>
      <c r="D500" s="22" t="n">
        <v>3251.89</v>
      </c>
      <c r="E500" s="6" t="n"/>
      <c r="F500" s="44" t="inlineStr">
        <is>
          <t>R0091934</t>
        </is>
      </c>
      <c r="G500" s="37" t="inlineStr">
        <is>
          <t>5750 E. 58th Ave</t>
        </is>
      </c>
      <c r="H500" s="45" t="n">
        <v>2023</v>
      </c>
      <c r="I500" s="44" t="inlineStr">
        <is>
          <t>Line item</t>
        </is>
      </c>
    </row>
    <row r="501">
      <c r="A501" s="6" t="inlineStr">
        <is>
          <t>5750 E. 58th Ave (R0091934) — FY2023</t>
        </is>
      </c>
      <c r="B501" s="25" t="inlineStr">
        <is>
          <t>Expense</t>
        </is>
      </c>
      <c r="C501" s="6" t="inlineStr">
        <is>
          <t>60115 - Water/Sewer</t>
        </is>
      </c>
      <c r="D501" s="22" t="n">
        <v>2850.72</v>
      </c>
      <c r="E501" s="6" t="n"/>
      <c r="F501" s="44" t="inlineStr">
        <is>
          <t>R0091934</t>
        </is>
      </c>
      <c r="G501" s="37" t="inlineStr">
        <is>
          <t>5750 E. 58th Ave</t>
        </is>
      </c>
      <c r="H501" s="45" t="n">
        <v>2023</v>
      </c>
      <c r="I501" s="44" t="inlineStr">
        <is>
          <t>Line item</t>
        </is>
      </c>
    </row>
    <row r="502">
      <c r="A502" s="6" t="inlineStr">
        <is>
          <t>5750 E. 58th Ave (R0091934) — FY2023</t>
        </is>
      </c>
      <c r="B502" s="25" t="inlineStr">
        <is>
          <t>Expense</t>
        </is>
      </c>
      <c r="C502" s="6" t="inlineStr">
        <is>
          <t>60220 - Parking Sweep Contract</t>
        </is>
      </c>
      <c r="D502" s="22" t="n">
        <v>960</v>
      </c>
      <c r="E502" s="6" t="n"/>
      <c r="F502" s="44" t="inlineStr">
        <is>
          <t>R0091934</t>
        </is>
      </c>
      <c r="G502" s="37" t="inlineStr">
        <is>
          <t>5750 E. 58th Ave</t>
        </is>
      </c>
      <c r="H502" s="45" t="n">
        <v>2023</v>
      </c>
      <c r="I502" s="44" t="inlineStr">
        <is>
          <t>Line item</t>
        </is>
      </c>
    </row>
    <row r="503">
      <c r="A503" s="6" t="inlineStr">
        <is>
          <t>5750 E. 58th Ave (R0091934) — FY2023</t>
        </is>
      </c>
      <c r="B503" s="25" t="inlineStr">
        <is>
          <t>Expense</t>
        </is>
      </c>
      <c r="C503" s="6" t="inlineStr">
        <is>
          <t>60235 - Trash Removal Contract</t>
        </is>
      </c>
      <c r="D503" s="22" t="n">
        <v>310.03</v>
      </c>
      <c r="E503" s="6" t="n"/>
      <c r="F503" s="44" t="inlineStr">
        <is>
          <t>R0091934</t>
        </is>
      </c>
      <c r="G503" s="37" t="inlineStr">
        <is>
          <t>5750 E. 58th Ave</t>
        </is>
      </c>
      <c r="H503" s="45" t="n">
        <v>2023</v>
      </c>
      <c r="I503" s="44" t="inlineStr">
        <is>
          <t>Line item</t>
        </is>
      </c>
    </row>
    <row r="504">
      <c r="A504" s="6" t="inlineStr">
        <is>
          <t>5750 E. 58th Ave (R0091934) — FY2023</t>
        </is>
      </c>
      <c r="B504" s="25" t="inlineStr">
        <is>
          <t>Expense</t>
        </is>
      </c>
      <c r="C504" s="6" t="inlineStr">
        <is>
          <t>60240 - Trash Removal Extra Service</t>
        </is>
      </c>
      <c r="D504" s="22" t="n">
        <v>89</v>
      </c>
      <c r="E504" s="6" t="n"/>
      <c r="F504" s="44" t="inlineStr">
        <is>
          <t>R0091934</t>
        </is>
      </c>
      <c r="G504" s="37" t="inlineStr">
        <is>
          <t>5750 E. 58th Ave</t>
        </is>
      </c>
      <c r="H504" s="45" t="n">
        <v>2023</v>
      </c>
      <c r="I504" s="44" t="inlineStr">
        <is>
          <t>Line item</t>
        </is>
      </c>
    </row>
    <row r="505">
      <c r="A505" s="6" t="inlineStr">
        <is>
          <t>5750 E. 58th Ave (R0091934) — FY2023</t>
        </is>
      </c>
      <c r="B505" s="25" t="inlineStr">
        <is>
          <t>Expense</t>
        </is>
      </c>
      <c r="C505" s="6" t="inlineStr">
        <is>
          <t>60315 - Door/Keys R&amp;M</t>
        </is>
      </c>
      <c r="D505" s="22" t="n">
        <v>92.38</v>
      </c>
      <c r="E505" s="6" t="n"/>
      <c r="F505" s="44" t="inlineStr">
        <is>
          <t>R0091934</t>
        </is>
      </c>
      <c r="G505" s="37" t="inlineStr">
        <is>
          <t>5750 E. 58th Ave</t>
        </is>
      </c>
      <c r="H505" s="45" t="n">
        <v>2023</v>
      </c>
      <c r="I505" s="44" t="inlineStr">
        <is>
          <t>Line item</t>
        </is>
      </c>
    </row>
    <row r="506">
      <c r="A506" s="6" t="inlineStr">
        <is>
          <t>5750 E. 58th Ave (R0091934) — FY2023</t>
        </is>
      </c>
      <c r="B506" s="25" t="inlineStr">
        <is>
          <t>Expense</t>
        </is>
      </c>
      <c r="C506" s="6" t="inlineStr">
        <is>
          <t>60405 - Backflow Inspections</t>
        </is>
      </c>
      <c r="D506" s="22" t="n">
        <v>110</v>
      </c>
      <c r="E506" s="6" t="n"/>
      <c r="F506" s="44" t="inlineStr">
        <is>
          <t>R0091934</t>
        </is>
      </c>
      <c r="G506" s="37" t="inlineStr">
        <is>
          <t>5750 E. 58th Ave</t>
        </is>
      </c>
      <c r="H506" s="45" t="n">
        <v>2023</v>
      </c>
      <c r="I506" s="44" t="inlineStr">
        <is>
          <t>Line item</t>
        </is>
      </c>
    </row>
    <row r="507">
      <c r="A507" s="6" t="inlineStr">
        <is>
          <t>5750 E. 58th Ave (R0091934) — FY2023</t>
        </is>
      </c>
      <c r="B507" s="25" t="inlineStr">
        <is>
          <t>Expense</t>
        </is>
      </c>
      <c r="C507" s="6" t="inlineStr">
        <is>
          <t>60420 - Plumbing/Sewer R&amp;M</t>
        </is>
      </c>
      <c r="D507" s="22" t="n">
        <v>1094</v>
      </c>
      <c r="E507" s="6" t="n"/>
      <c r="F507" s="44" t="inlineStr">
        <is>
          <t>R0091934</t>
        </is>
      </c>
      <c r="G507" s="37" t="inlineStr">
        <is>
          <t>5750 E. 58th Ave</t>
        </is>
      </c>
      <c r="H507" s="45" t="n">
        <v>2023</v>
      </c>
      <c r="I507" s="44" t="inlineStr">
        <is>
          <t>Line item</t>
        </is>
      </c>
    </row>
    <row r="508">
      <c r="A508" s="6" t="inlineStr">
        <is>
          <t>5750 E. 58th Ave (R0091934) — FY2023</t>
        </is>
      </c>
      <c r="B508" s="25" t="inlineStr">
        <is>
          <t>Expense</t>
        </is>
      </c>
      <c r="C508" s="6" t="inlineStr">
        <is>
          <t>60535 - Irrig Sprinklers R&amp;M</t>
        </is>
      </c>
      <c r="D508" s="22" t="n">
        <v>87.08</v>
      </c>
      <c r="E508" s="6" t="n"/>
      <c r="F508" s="44" t="inlineStr">
        <is>
          <t>R0091934</t>
        </is>
      </c>
      <c r="G508" s="37" t="inlineStr">
        <is>
          <t>5750 E. 58th Ave</t>
        </is>
      </c>
      <c r="H508" s="45" t="n">
        <v>2023</v>
      </c>
      <c r="I508" s="44" t="inlineStr">
        <is>
          <t>Line item</t>
        </is>
      </c>
    </row>
    <row r="509">
      <c r="A509" s="6" t="inlineStr">
        <is>
          <t>5750 E. 58th Ave (R0091934) — FY2023</t>
        </is>
      </c>
      <c r="B509" s="25" t="inlineStr">
        <is>
          <t>Expense</t>
        </is>
      </c>
      <c r="C509" s="6" t="inlineStr">
        <is>
          <t>60540 - Landscape Contract</t>
        </is>
      </c>
      <c r="D509" s="22" t="n">
        <v>1355.2</v>
      </c>
      <c r="E509" s="6" t="n"/>
      <c r="F509" s="44" t="inlineStr">
        <is>
          <t>R0091934</t>
        </is>
      </c>
      <c r="G509" s="37" t="inlineStr">
        <is>
          <t>5750 E. 58th Ave</t>
        </is>
      </c>
      <c r="H509" s="45" t="n">
        <v>2023</v>
      </c>
      <c r="I509" s="44" t="inlineStr">
        <is>
          <t>Line item</t>
        </is>
      </c>
    </row>
    <row r="510">
      <c r="A510" s="6" t="inlineStr">
        <is>
          <t>5750 E. 58th Ave (R0091934) — FY2023</t>
        </is>
      </c>
      <c r="B510" s="25" t="inlineStr">
        <is>
          <t>Expense</t>
        </is>
      </c>
      <c r="C510" s="6" t="inlineStr">
        <is>
          <t>60541 - Landscaping &amp; Irrigation Rpr &amp; Rpl</t>
        </is>
      </c>
      <c r="D510" s="22" t="n">
        <v>103.5</v>
      </c>
      <c r="E510" s="6" t="n"/>
      <c r="F510" s="44" t="inlineStr">
        <is>
          <t>R0091934</t>
        </is>
      </c>
      <c r="G510" s="37" t="inlineStr">
        <is>
          <t>5750 E. 58th Ave</t>
        </is>
      </c>
      <c r="H510" s="45" t="n">
        <v>2023</v>
      </c>
      <c r="I510" s="44" t="inlineStr">
        <is>
          <t>Line item</t>
        </is>
      </c>
    </row>
    <row r="511">
      <c r="A511" s="6" t="inlineStr">
        <is>
          <t>5750 E. 58th Ave (R0091934) — FY2023</t>
        </is>
      </c>
      <c r="B511" s="25" t="inlineStr">
        <is>
          <t>Expense</t>
        </is>
      </c>
      <c r="C511" s="6" t="inlineStr">
        <is>
          <t>60545 - Light R&amp;M Exterior</t>
        </is>
      </c>
      <c r="D511" s="22" t="n">
        <v>22.83</v>
      </c>
      <c r="E511" s="6" t="n"/>
      <c r="F511" s="44" t="inlineStr">
        <is>
          <t>R0091934</t>
        </is>
      </c>
      <c r="G511" s="37" t="inlineStr">
        <is>
          <t>5750 E. 58th Ave</t>
        </is>
      </c>
      <c r="H511" s="45" t="n">
        <v>2023</v>
      </c>
      <c r="I511" s="44" t="inlineStr">
        <is>
          <t>Line item</t>
        </is>
      </c>
    </row>
    <row r="512">
      <c r="A512" s="6" t="inlineStr">
        <is>
          <t>5750 E. 58th Ave (R0091934) — FY2023</t>
        </is>
      </c>
      <c r="B512" s="25" t="inlineStr">
        <is>
          <t>Expense</t>
        </is>
      </c>
      <c r="C512" s="6" t="inlineStr">
        <is>
          <t>60550 - Parking Lot/Sidewalk R&amp;M</t>
        </is>
      </c>
      <c r="D512" s="22" t="n">
        <v>775</v>
      </c>
      <c r="E512" s="6" t="n"/>
      <c r="F512" s="44" t="inlineStr">
        <is>
          <t>R0091934</t>
        </is>
      </c>
      <c r="G512" s="37" t="inlineStr">
        <is>
          <t>5750 E. 58th Ave</t>
        </is>
      </c>
      <c r="H512" s="45" t="n">
        <v>2023</v>
      </c>
      <c r="I512" s="44" t="inlineStr">
        <is>
          <t>Line item</t>
        </is>
      </c>
    </row>
    <row r="513">
      <c r="A513" s="6" t="inlineStr">
        <is>
          <t>5750 E. 58th Ave (R0091934) — FY2023</t>
        </is>
      </c>
      <c r="B513" s="25" t="inlineStr">
        <is>
          <t>Expense</t>
        </is>
      </c>
      <c r="C513" s="6" t="inlineStr">
        <is>
          <t>60566 - Roof/Gut R&amp;M</t>
        </is>
      </c>
      <c r="D513" s="22" t="n">
        <v>3822.27</v>
      </c>
      <c r="E513" s="6" t="n"/>
      <c r="F513" s="44" t="inlineStr">
        <is>
          <t>R0091934</t>
        </is>
      </c>
      <c r="G513" s="37" t="inlineStr">
        <is>
          <t>5750 E. 58th Ave</t>
        </is>
      </c>
      <c r="H513" s="45" t="n">
        <v>2023</v>
      </c>
      <c r="I513" s="44" t="inlineStr">
        <is>
          <t>Line item</t>
        </is>
      </c>
    </row>
    <row r="514">
      <c r="A514" s="6" t="inlineStr">
        <is>
          <t>5750 E. 58th Ave (R0091934) — FY2023</t>
        </is>
      </c>
      <c r="B514" s="25" t="inlineStr">
        <is>
          <t>Expense</t>
        </is>
      </c>
      <c r="C514" s="6" t="inlineStr">
        <is>
          <t>60570 - Sealing/Caulking Exterior</t>
        </is>
      </c>
      <c r="D514" s="22" t="n">
        <v>92.48999999999999</v>
      </c>
      <c r="E514" s="6" t="n"/>
      <c r="F514" s="44" t="inlineStr">
        <is>
          <t>R0091934</t>
        </is>
      </c>
      <c r="G514" s="37" t="inlineStr">
        <is>
          <t>5750 E. 58th Ave</t>
        </is>
      </c>
      <c r="H514" s="45" t="n">
        <v>2023</v>
      </c>
      <c r="I514" s="44" t="inlineStr">
        <is>
          <t>Line item</t>
        </is>
      </c>
    </row>
    <row r="515">
      <c r="A515" s="6" t="inlineStr">
        <is>
          <t>5750 E. 58th Ave (R0091934) — FY2023</t>
        </is>
      </c>
      <c r="B515" s="25" t="inlineStr">
        <is>
          <t>Expense</t>
        </is>
      </c>
      <c r="C515" s="6" t="inlineStr">
        <is>
          <t>60575 - Snow Removal</t>
        </is>
      </c>
      <c r="D515" s="22" t="n">
        <v>3757.07</v>
      </c>
      <c r="E515" s="6" t="n"/>
      <c r="F515" s="44" t="inlineStr">
        <is>
          <t>R0091934</t>
        </is>
      </c>
      <c r="G515" s="37" t="inlineStr">
        <is>
          <t>5750 E. 58th Ave</t>
        </is>
      </c>
      <c r="H515" s="45" t="n">
        <v>2023</v>
      </c>
      <c r="I515" s="44" t="inlineStr">
        <is>
          <t>Line item</t>
        </is>
      </c>
    </row>
    <row r="516">
      <c r="A516" s="6" t="inlineStr">
        <is>
          <t>5750 E. 58th Ave (R0091934) — FY2023</t>
        </is>
      </c>
      <c r="B516" s="25" t="inlineStr">
        <is>
          <t>Expense</t>
        </is>
      </c>
      <c r="C516" s="6" t="inlineStr">
        <is>
          <t>60605 - Fire Alarm Mo/Monitor</t>
        </is>
      </c>
      <c r="D516" s="22" t="n">
        <v>500</v>
      </c>
      <c r="E516" s="6" t="n"/>
      <c r="F516" s="44" t="inlineStr">
        <is>
          <t>R0091934</t>
        </is>
      </c>
      <c r="G516" s="37" t="inlineStr">
        <is>
          <t>5750 E. 58th Ave</t>
        </is>
      </c>
      <c r="H516" s="45" t="n">
        <v>2023</v>
      </c>
      <c r="I516" s="44" t="inlineStr">
        <is>
          <t>Line item</t>
        </is>
      </c>
    </row>
    <row r="517">
      <c r="A517" s="6" t="inlineStr">
        <is>
          <t>5750 E. 58th Ave (R0091934) — FY2023</t>
        </is>
      </c>
      <c r="B517" s="25" t="inlineStr">
        <is>
          <t>Expense</t>
        </is>
      </c>
      <c r="C517" s="6" t="inlineStr">
        <is>
          <t>60905 - Wages R&amp;M</t>
        </is>
      </c>
      <c r="D517" s="22" t="n">
        <v>7667.69</v>
      </c>
      <c r="E517" s="6" t="n"/>
      <c r="F517" s="44" t="inlineStr">
        <is>
          <t>R0091934</t>
        </is>
      </c>
      <c r="G517" s="37" t="inlineStr">
        <is>
          <t>5750 E. 58th Ave</t>
        </is>
      </c>
      <c r="H517" s="45" t="n">
        <v>2023</v>
      </c>
      <c r="I517" s="44" t="inlineStr">
        <is>
          <t>Line item</t>
        </is>
      </c>
    </row>
    <row r="518">
      <c r="A518" s="6" t="inlineStr">
        <is>
          <t>5750 E. 58th Ave (R0091934) — FY2023</t>
        </is>
      </c>
      <c r="B518" s="25" t="inlineStr">
        <is>
          <t>Expense</t>
        </is>
      </c>
      <c r="C518" s="6" t="inlineStr">
        <is>
          <t>60915 - Maint Property Costs</t>
        </is>
      </c>
      <c r="D518" s="22" t="n">
        <v>1331.77</v>
      </c>
      <c r="E518" s="6" t="n"/>
      <c r="F518" s="44" t="inlineStr">
        <is>
          <t>R0091934</t>
        </is>
      </c>
      <c r="G518" s="37" t="inlineStr">
        <is>
          <t>5750 E. 58th Ave</t>
        </is>
      </c>
      <c r="H518" s="45" t="n">
        <v>2023</v>
      </c>
      <c r="I518" s="44" t="inlineStr">
        <is>
          <t>Line item</t>
        </is>
      </c>
    </row>
    <row r="519">
      <c r="A519" s="6" t="inlineStr">
        <is>
          <t>5750 E. 58th Ave (R0091934) — FY2023</t>
        </is>
      </c>
      <c r="B519" s="25" t="inlineStr">
        <is>
          <t>Expense</t>
        </is>
      </c>
      <c r="C519" s="6" t="inlineStr">
        <is>
          <t>60920 - Small Tools &amp; Equipment</t>
        </is>
      </c>
      <c r="D519" s="22" t="n">
        <v>7.35</v>
      </c>
      <c r="E519" s="6" t="n"/>
      <c r="F519" s="44" t="inlineStr">
        <is>
          <t>R0091934</t>
        </is>
      </c>
      <c r="G519" s="37" t="inlineStr">
        <is>
          <t>5750 E. 58th Ave</t>
        </is>
      </c>
      <c r="H519" s="45" t="n">
        <v>2023</v>
      </c>
      <c r="I519" s="44" t="inlineStr">
        <is>
          <t>Line item</t>
        </is>
      </c>
    </row>
    <row r="520">
      <c r="A520" s="6" t="inlineStr">
        <is>
          <t>5750 E. 58th Ave (R0091934) — FY2023</t>
        </is>
      </c>
      <c r="B520" s="25" t="inlineStr">
        <is>
          <t>Expense</t>
        </is>
      </c>
      <c r="C520" s="6" t="inlineStr">
        <is>
          <t>60925 - Bldg Maint Supplies R&amp;M</t>
        </is>
      </c>
      <c r="D520" s="22" t="n">
        <v>171.76</v>
      </c>
      <c r="E520" s="6" t="n"/>
      <c r="F520" s="44" t="inlineStr">
        <is>
          <t>R0091934</t>
        </is>
      </c>
      <c r="G520" s="37" t="inlineStr">
        <is>
          <t>5750 E. 58th Ave</t>
        </is>
      </c>
      <c r="H520" s="45" t="n">
        <v>2023</v>
      </c>
      <c r="I520" s="44" t="inlineStr">
        <is>
          <t>Line item</t>
        </is>
      </c>
    </row>
    <row r="521">
      <c r="A521" s="6" t="inlineStr">
        <is>
          <t>5750 E. 58th Ave (R0091934) — FY2023</t>
        </is>
      </c>
      <c r="B521" s="25" t="inlineStr">
        <is>
          <t>Expense</t>
        </is>
      </c>
      <c r="C521" s="6" t="inlineStr">
        <is>
          <t>60950 - Administration Fees</t>
        </is>
      </c>
      <c r="D521" s="22" t="n">
        <v>5618.91</v>
      </c>
      <c r="E521" s="6" t="n"/>
      <c r="F521" s="44" t="inlineStr">
        <is>
          <t>R0091934</t>
        </is>
      </c>
      <c r="G521" s="37" t="inlineStr">
        <is>
          <t>5750 E. 58th Ave</t>
        </is>
      </c>
      <c r="H521" s="45" t="n">
        <v>2023</v>
      </c>
      <c r="I521" s="44" t="inlineStr">
        <is>
          <t>Line item</t>
        </is>
      </c>
    </row>
    <row r="522">
      <c r="A522" s="6" t="inlineStr">
        <is>
          <t>5750 E. 58th Ave (R0091934) — FY2023</t>
        </is>
      </c>
      <c r="B522" s="25" t="inlineStr">
        <is>
          <t>Expense</t>
        </is>
      </c>
      <c r="C522" s="6" t="inlineStr">
        <is>
          <t>60955 - Management Fees</t>
        </is>
      </c>
      <c r="D522" s="22" t="n">
        <v>16856.73</v>
      </c>
      <c r="E522" s="6" t="n"/>
      <c r="F522" s="44" t="inlineStr">
        <is>
          <t>R0091934</t>
        </is>
      </c>
      <c r="G522" s="37" t="inlineStr">
        <is>
          <t>5750 E. 58th Ave</t>
        </is>
      </c>
      <c r="H522" s="45" t="n">
        <v>2023</v>
      </c>
      <c r="I522" s="44" t="inlineStr">
        <is>
          <t>Line item</t>
        </is>
      </c>
    </row>
    <row r="523">
      <c r="A523" s="6" t="inlineStr">
        <is>
          <t>5750 E. 58th Ave (R0091934) — FY2023</t>
        </is>
      </c>
      <c r="B523" s="25" t="inlineStr">
        <is>
          <t>Expense</t>
        </is>
      </c>
      <c r="C523" s="6" t="inlineStr">
        <is>
          <t>60965 - Professional Tax Review Fee</t>
        </is>
      </c>
      <c r="D523" s="22" t="n">
        <v>101.25</v>
      </c>
      <c r="E523" s="6" t="n"/>
      <c r="F523" s="44" t="inlineStr">
        <is>
          <t>R0091934</t>
        </is>
      </c>
      <c r="G523" s="37" t="inlineStr">
        <is>
          <t>5750 E. 58th Ave</t>
        </is>
      </c>
      <c r="H523" s="45" t="n">
        <v>2023</v>
      </c>
      <c r="I523" s="44" t="inlineStr">
        <is>
          <t>Line item</t>
        </is>
      </c>
    </row>
    <row r="524">
      <c r="A524" s="6" t="inlineStr">
        <is>
          <t>5750 E. 58th Ave (R0091934) — FY2023</t>
        </is>
      </c>
      <c r="B524" s="25" t="inlineStr">
        <is>
          <t>Expense</t>
        </is>
      </c>
      <c r="C524" s="6" t="inlineStr">
        <is>
          <t>61015 - Tax Real Estate</t>
        </is>
      </c>
      <c r="D524" s="22" t="n">
        <v>102700.22</v>
      </c>
      <c r="E524" s="6" t="n"/>
      <c r="F524" s="44" t="inlineStr">
        <is>
          <t>R0091934</t>
        </is>
      </c>
      <c r="G524" s="37" t="inlineStr">
        <is>
          <t>5750 E. 58th Ave</t>
        </is>
      </c>
      <c r="H524" s="45" t="n">
        <v>2023</v>
      </c>
      <c r="I524" s="44" t="inlineStr">
        <is>
          <t>Line item</t>
        </is>
      </c>
    </row>
    <row r="525">
      <c r="A525" s="6" t="inlineStr">
        <is>
          <t>5750 E. 58th Ave (R0091934) — FY2023</t>
        </is>
      </c>
      <c r="B525" s="25" t="inlineStr">
        <is>
          <t>Expense</t>
        </is>
      </c>
      <c r="C525" s="6" t="inlineStr">
        <is>
          <t>61020 - Insurance</t>
        </is>
      </c>
      <c r="D525" s="22" t="n">
        <v>5808</v>
      </c>
      <c r="E525" s="6" t="n"/>
      <c r="F525" s="44" t="inlineStr">
        <is>
          <t>R0091934</t>
        </is>
      </c>
      <c r="G525" s="37" t="inlineStr">
        <is>
          <t>5750 E. 58th Ave</t>
        </is>
      </c>
      <c r="H525" s="45" t="n">
        <v>2023</v>
      </c>
      <c r="I525" s="44" t="inlineStr">
        <is>
          <t>Line item</t>
        </is>
      </c>
    </row>
    <row r="526">
      <c r="A526" s="11" t="inlineStr">
        <is>
          <t>5750 E. 58th Ave (R0091934) — FY2023</t>
        </is>
      </c>
      <c r="B526" s="26" t="inlineStr">
        <is>
          <t>Expense</t>
        </is>
      </c>
      <c r="C526" s="12" t="inlineStr">
        <is>
          <t>TOTAL OPERATING EXPENSES</t>
        </is>
      </c>
      <c r="D526" s="23">
        <f>SUM(D500:D525)</f>
        <v/>
      </c>
      <c r="E526" s="18" t="inlineStr">
        <is>
          <t>Printed total: $159,537.14. Property NOI $289,466.21. Zero-value accounts omitted. Sterling letter recast: RE Taxes $102,700 + CAM Reimbursable $56,837 + CAM Non-Reimbursable $9,025 = $168,562.</t>
        </is>
      </c>
      <c r="F526" s="46" t="inlineStr">
        <is>
          <t>R0091934</t>
        </is>
      </c>
      <c r="G526" s="36" t="inlineStr">
        <is>
          <t>5750 E. 58th Ave</t>
        </is>
      </c>
      <c r="H526" s="47" t="n">
        <v>2023</v>
      </c>
      <c r="I526" s="46" t="inlineStr">
        <is>
          <t>Total</t>
        </is>
      </c>
    </row>
    <row r="527">
      <c r="A527" s="6" t="inlineStr">
        <is>
          <t>5750 E. 58th Ave (R0091934) — FY2023</t>
        </is>
      </c>
      <c r="B527" s="25" t="inlineStr">
        <is>
          <t>Memo (below NOI)</t>
        </is>
      </c>
      <c r="C527" s="6" t="inlineStr">
        <is>
          <t>Total Non-CAM Expenses</t>
        </is>
      </c>
      <c r="D527" s="22" t="n">
        <v>81481.44</v>
      </c>
      <c r="E527" s="6" t="inlineStr">
        <is>
          <t>Below Total Operating Expenses; not in the total above</t>
        </is>
      </c>
      <c r="F527" s="46" t="inlineStr">
        <is>
          <t>R0091934</t>
        </is>
      </c>
      <c r="G527" s="36" t="inlineStr">
        <is>
          <t>5750 E. 58th Ave</t>
        </is>
      </c>
      <c r="H527" s="47" t="n">
        <v>2023</v>
      </c>
      <c r="I527" s="46" t="inlineStr">
        <is>
          <t>Total</t>
        </is>
      </c>
    </row>
    <row r="528">
      <c r="A528" s="6" t="inlineStr">
        <is>
          <t>5750 E. 58th Ave (R0091934) — FY2023</t>
        </is>
      </c>
      <c r="B528" s="25" t="inlineStr">
        <is>
          <t>Memo (below NOI)</t>
        </is>
      </c>
      <c r="C528" s="6" t="inlineStr">
        <is>
          <t>Net Operating Income (after non-CAM)</t>
        </is>
      </c>
      <c r="D528" s="22" t="n">
        <v>207984.77</v>
      </c>
      <c r="E528" s="6" t="inlineStr">
        <is>
          <t>Below Total Operating Expenses; not in the total above</t>
        </is>
      </c>
      <c r="F528" s="44" t="inlineStr">
        <is>
          <t>R0091934</t>
        </is>
      </c>
      <c r="G528" s="37" t="inlineStr">
        <is>
          <t>5750 E. 58th Ave</t>
        </is>
      </c>
      <c r="H528" s="45" t="n">
        <v>2023</v>
      </c>
      <c r="I528" s="44" t="inlineStr">
        <is>
          <t>Memo</t>
        </is>
      </c>
    </row>
    <row r="529">
      <c r="A529" s="6" t="inlineStr">
        <is>
          <t>5750 E. 58th Ave (R0091934) — FY2023</t>
        </is>
      </c>
      <c r="B529" s="25" t="inlineStr">
        <is>
          <t>Memo (below NOI)</t>
        </is>
      </c>
      <c r="C529" s="6" t="inlineStr">
        <is>
          <t>Mortgage Interest</t>
        </is>
      </c>
      <c r="D529" s="22" t="n">
        <v>73538.45</v>
      </c>
      <c r="E529" s="6" t="inlineStr">
        <is>
          <t>Below Total Operating Expenses; not in the total above</t>
        </is>
      </c>
      <c r="F529" s="44" t="inlineStr">
        <is>
          <t>R0091934</t>
        </is>
      </c>
      <c r="G529" s="37" t="inlineStr">
        <is>
          <t>5750 E. 58th Ave</t>
        </is>
      </c>
      <c r="H529" s="45" t="n">
        <v>2023</v>
      </c>
      <c r="I529" s="44" t="inlineStr">
        <is>
          <t>Memo</t>
        </is>
      </c>
    </row>
    <row r="530">
      <c r="A530" s="6" t="inlineStr">
        <is>
          <t>5750 E. 58th Ave (R0091934) — FY2023</t>
        </is>
      </c>
      <c r="B530" s="25" t="inlineStr">
        <is>
          <t>Memo (below NOI)</t>
        </is>
      </c>
      <c r="C530" s="6" t="inlineStr">
        <is>
          <t>Total Depreciation &amp; Amortization</t>
        </is>
      </c>
      <c r="D530" s="22" t="n">
        <v>23349</v>
      </c>
      <c r="E530" s="6" t="inlineStr">
        <is>
          <t>Below Total Operating Expenses; not in the total above</t>
        </is>
      </c>
      <c r="F530" s="46" t="inlineStr">
        <is>
          <t>R0091934</t>
        </is>
      </c>
      <c r="G530" s="36" t="inlineStr">
        <is>
          <t>5750 E. 58th Ave</t>
        </is>
      </c>
      <c r="H530" s="47" t="n">
        <v>2023</v>
      </c>
      <c r="I530" s="46" t="inlineStr">
        <is>
          <t>Total</t>
        </is>
      </c>
    </row>
    <row r="531">
      <c r="A531" s="6" t="inlineStr">
        <is>
          <t>5750 E. 58th Ave (R0091934) — FY2023</t>
        </is>
      </c>
      <c r="B531" s="25" t="inlineStr">
        <is>
          <t>Memo (below NOI)</t>
        </is>
      </c>
      <c r="C531" s="6" t="inlineStr">
        <is>
          <t>Net Income</t>
        </is>
      </c>
      <c r="D531" s="22" t="n">
        <v>111097.32</v>
      </c>
      <c r="E531" s="6" t="inlineStr">
        <is>
          <t>Below Total Operating Expenses; not in the total above</t>
        </is>
      </c>
      <c r="F531" s="44" t="inlineStr">
        <is>
          <t>R0091934</t>
        </is>
      </c>
      <c r="G531" s="37" t="inlineStr">
        <is>
          <t>5750 E. 58th Ave</t>
        </is>
      </c>
      <c r="H531" s="45" t="n">
        <v>2023</v>
      </c>
      <c r="I531" s="44" t="inlineStr">
        <is>
          <t>Memo</t>
        </is>
      </c>
    </row>
    <row r="532">
      <c r="A532" s="6" t="inlineStr">
        <is>
          <t>5750 E. 58th Ave (R0091934) — FY2024</t>
        </is>
      </c>
      <c r="B532" s="25" t="inlineStr">
        <is>
          <t>Income</t>
        </is>
      </c>
      <c r="C532" s="6" t="inlineStr">
        <is>
          <t>51105 - Rent</t>
        </is>
      </c>
      <c r="D532" s="22" t="n">
        <v>312396.81</v>
      </c>
      <c r="E532" s="6" t="n"/>
      <c r="F532" s="44" t="inlineStr">
        <is>
          <t>R0091934</t>
        </is>
      </c>
      <c r="G532" s="37" t="inlineStr">
        <is>
          <t>5750 E. 58th Ave</t>
        </is>
      </c>
      <c r="H532" s="45" t="n">
        <v>2024</v>
      </c>
      <c r="I532" s="44" t="inlineStr">
        <is>
          <t>Line item</t>
        </is>
      </c>
    </row>
    <row r="533">
      <c r="A533" s="6" t="inlineStr">
        <is>
          <t>5750 E. 58th Ave (R0091934) — FY2024</t>
        </is>
      </c>
      <c r="B533" s="25" t="inlineStr">
        <is>
          <t>Income</t>
        </is>
      </c>
      <c r="C533" s="6" t="inlineStr">
        <is>
          <t>51205 - CAM Reimbursement Current</t>
        </is>
      </c>
      <c r="D533" s="22" t="n">
        <v>53388.72</v>
      </c>
      <c r="E533" s="6" t="n"/>
      <c r="F533" s="44" t="inlineStr">
        <is>
          <t>R0091934</t>
        </is>
      </c>
      <c r="G533" s="37" t="inlineStr">
        <is>
          <t>5750 E. 58th Ave</t>
        </is>
      </c>
      <c r="H533" s="45" t="n">
        <v>2024</v>
      </c>
      <c r="I533" s="44" t="inlineStr">
        <is>
          <t>Line item</t>
        </is>
      </c>
    </row>
    <row r="534">
      <c r="A534" s="6" t="inlineStr">
        <is>
          <t>5750 E. 58th Ave (R0091934) — FY2024</t>
        </is>
      </c>
      <c r="B534" s="25" t="inlineStr">
        <is>
          <t>Income</t>
        </is>
      </c>
      <c r="C534" s="6" t="inlineStr">
        <is>
          <t>51210 - Operating Expense Recovery</t>
        </is>
      </c>
      <c r="D534" s="22" t="n">
        <v>20784.17</v>
      </c>
      <c r="E534" s="6" t="n"/>
      <c r="F534" s="44" t="inlineStr">
        <is>
          <t>R0091934</t>
        </is>
      </c>
      <c r="G534" s="37" t="inlineStr">
        <is>
          <t>5750 E. 58th Ave</t>
        </is>
      </c>
      <c r="H534" s="45" t="n">
        <v>2024</v>
      </c>
      <c r="I534" s="44" t="inlineStr">
        <is>
          <t>Line item</t>
        </is>
      </c>
    </row>
    <row r="535">
      <c r="A535" s="6" t="inlineStr">
        <is>
          <t>5750 E. 58th Ave (R0091934) — FY2024</t>
        </is>
      </c>
      <c r="B535" s="25" t="inlineStr">
        <is>
          <t>Income</t>
        </is>
      </c>
      <c r="C535" s="6" t="inlineStr">
        <is>
          <t>51215 - Insurance Reimbursement</t>
        </is>
      </c>
      <c r="D535" s="22" t="n">
        <v>6659.28</v>
      </c>
      <c r="E535" s="6" t="n"/>
      <c r="F535" s="44" t="inlineStr">
        <is>
          <t>R0091934</t>
        </is>
      </c>
      <c r="G535" s="37" t="inlineStr">
        <is>
          <t>5750 E. 58th Ave</t>
        </is>
      </c>
      <c r="H535" s="45" t="n">
        <v>2024</v>
      </c>
      <c r="I535" s="44" t="inlineStr">
        <is>
          <t>Line item</t>
        </is>
      </c>
    </row>
    <row r="536">
      <c r="A536" s="6" t="inlineStr">
        <is>
          <t>5750 E. 58th Ave (R0091934) — FY2024</t>
        </is>
      </c>
      <c r="B536" s="25" t="inlineStr">
        <is>
          <t>Income</t>
        </is>
      </c>
      <c r="C536" s="6" t="inlineStr">
        <is>
          <t>51225 - RE Tax Reimbursement</t>
        </is>
      </c>
      <c r="D536" s="22" t="n">
        <v>100410.72</v>
      </c>
      <c r="E536" s="6" t="n"/>
      <c r="F536" s="44" t="inlineStr">
        <is>
          <t>R0091934</t>
        </is>
      </c>
      <c r="G536" s="37" t="inlineStr">
        <is>
          <t>5750 E. 58th Ave</t>
        </is>
      </c>
      <c r="H536" s="45" t="n">
        <v>2024</v>
      </c>
      <c r="I536" s="44" t="inlineStr">
        <is>
          <t>Line item</t>
        </is>
      </c>
    </row>
    <row r="537">
      <c r="A537" s="6" t="inlineStr">
        <is>
          <t>5750 E. 58th Ave (R0091934) — FY2024</t>
        </is>
      </c>
      <c r="B537" s="25" t="inlineStr">
        <is>
          <t>Income</t>
        </is>
      </c>
      <c r="C537" s="6" t="inlineStr">
        <is>
          <t>51320 - Late Fees &amp; Other Charges</t>
        </is>
      </c>
      <c r="D537" s="22" t="n">
        <v>1949.91</v>
      </c>
      <c r="E537" s="6" t="n"/>
      <c r="F537" s="44" t="inlineStr">
        <is>
          <t>R0091934</t>
        </is>
      </c>
      <c r="G537" s="37" t="inlineStr">
        <is>
          <t>5750 E. 58th Ave</t>
        </is>
      </c>
      <c r="H537" s="45" t="n">
        <v>2024</v>
      </c>
      <c r="I537" s="44" t="inlineStr">
        <is>
          <t>Line item</t>
        </is>
      </c>
    </row>
    <row r="538">
      <c r="A538" s="6" t="inlineStr">
        <is>
          <t>5750 E. 58th Ave (R0091934) — FY2024</t>
        </is>
      </c>
      <c r="B538" s="25" t="inlineStr">
        <is>
          <t>Income</t>
        </is>
      </c>
      <c r="C538" s="6" t="inlineStr">
        <is>
          <t>51335 - Misc Income Property</t>
        </is>
      </c>
      <c r="D538" s="22" t="n">
        <v>2397.64</v>
      </c>
      <c r="E538" s="6" t="n"/>
      <c r="F538" s="44" t="inlineStr">
        <is>
          <t>R0091934</t>
        </is>
      </c>
      <c r="G538" s="37" t="inlineStr">
        <is>
          <t>5750 E. 58th Ave</t>
        </is>
      </c>
      <c r="H538" s="45" t="n">
        <v>2024</v>
      </c>
      <c r="I538" s="44" t="inlineStr">
        <is>
          <t>Line item</t>
        </is>
      </c>
    </row>
    <row r="539">
      <c r="A539" s="11" t="inlineStr">
        <is>
          <t>5750 E. 58th Ave (R0091934) — FY2024</t>
        </is>
      </c>
      <c r="B539" s="26" t="inlineStr">
        <is>
          <t>Income</t>
        </is>
      </c>
      <c r="C539" s="12" t="inlineStr">
        <is>
          <t>TOTAL OPERATING REVENUES</t>
        </is>
      </c>
      <c r="D539" s="23">
        <f>SUM(D532:D538)</f>
        <v/>
      </c>
      <c r="E539" s="18" t="inlineStr">
        <is>
          <t>Printed total: $497,987.25.</t>
        </is>
      </c>
      <c r="F539" s="46" t="inlineStr">
        <is>
          <t>R0091934</t>
        </is>
      </c>
      <c r="G539" s="36" t="inlineStr">
        <is>
          <t>5750 E. 58th Ave</t>
        </is>
      </c>
      <c r="H539" s="47" t="n">
        <v>2024</v>
      </c>
      <c r="I539" s="46" t="inlineStr">
        <is>
          <t>Total</t>
        </is>
      </c>
    </row>
    <row r="540">
      <c r="A540" s="6" t="inlineStr">
        <is>
          <t>5750 E. 58th Ave (R0091934) — FY2024</t>
        </is>
      </c>
      <c r="B540" s="25" t="inlineStr">
        <is>
          <t>Expense</t>
        </is>
      </c>
      <c r="C540" s="6" t="inlineStr">
        <is>
          <t>60105 - Elec House Meters</t>
        </is>
      </c>
      <c r="D540" s="22" t="n">
        <v>3064.07</v>
      </c>
      <c r="E540" s="6" t="n"/>
      <c r="F540" s="44" t="inlineStr">
        <is>
          <t>R0091934</t>
        </is>
      </c>
      <c r="G540" s="37" t="inlineStr">
        <is>
          <t>5750 E. 58th Ave</t>
        </is>
      </c>
      <c r="H540" s="45" t="n">
        <v>2024</v>
      </c>
      <c r="I540" s="44" t="inlineStr">
        <is>
          <t>Line item</t>
        </is>
      </c>
    </row>
    <row r="541">
      <c r="A541" s="6" t="inlineStr">
        <is>
          <t>5750 E. 58th Ave (R0091934) — FY2024</t>
        </is>
      </c>
      <c r="B541" s="25" t="inlineStr">
        <is>
          <t>Expense</t>
        </is>
      </c>
      <c r="C541" s="6" t="inlineStr">
        <is>
          <t>60115 - Water/Sewer</t>
        </is>
      </c>
      <c r="D541" s="22" t="n">
        <v>3765.2</v>
      </c>
      <c r="E541" s="6" t="n"/>
      <c r="F541" s="44" t="inlineStr">
        <is>
          <t>R0091934</t>
        </is>
      </c>
      <c r="G541" s="37" t="inlineStr">
        <is>
          <t>5750 E. 58th Ave</t>
        </is>
      </c>
      <c r="H541" s="45" t="n">
        <v>2024</v>
      </c>
      <c r="I541" s="44" t="inlineStr">
        <is>
          <t>Line item</t>
        </is>
      </c>
    </row>
    <row r="542">
      <c r="A542" s="6" t="inlineStr">
        <is>
          <t>5750 E. 58th Ave (R0091934) — FY2024</t>
        </is>
      </c>
      <c r="B542" s="25" t="inlineStr">
        <is>
          <t>Expense</t>
        </is>
      </c>
      <c r="C542" s="6" t="inlineStr">
        <is>
          <t>60220 - Parking Sweep Contract</t>
        </is>
      </c>
      <c r="D542" s="22" t="n">
        <v>960</v>
      </c>
      <c r="E542" s="6" t="n"/>
      <c r="F542" s="44" t="inlineStr">
        <is>
          <t>R0091934</t>
        </is>
      </c>
      <c r="G542" s="37" t="inlineStr">
        <is>
          <t>5750 E. 58th Ave</t>
        </is>
      </c>
      <c r="H542" s="45" t="n">
        <v>2024</v>
      </c>
      <c r="I542" s="44" t="inlineStr">
        <is>
          <t>Line item</t>
        </is>
      </c>
    </row>
    <row r="543">
      <c r="A543" s="6" t="inlineStr">
        <is>
          <t>5750 E. 58th Ave (R0091934) — FY2024</t>
        </is>
      </c>
      <c r="B543" s="25" t="inlineStr">
        <is>
          <t>Expense</t>
        </is>
      </c>
      <c r="C543" s="6" t="inlineStr">
        <is>
          <t>60235 - Trash Removal Contract</t>
        </is>
      </c>
      <c r="D543" s="22" t="n">
        <v>391.95</v>
      </c>
      <c r="E543" s="6" t="n"/>
      <c r="F543" s="44" t="inlineStr">
        <is>
          <t>R0091934</t>
        </is>
      </c>
      <c r="G543" s="37" t="inlineStr">
        <is>
          <t>5750 E. 58th Ave</t>
        </is>
      </c>
      <c r="H543" s="45" t="n">
        <v>2024</v>
      </c>
      <c r="I543" s="44" t="inlineStr">
        <is>
          <t>Line item</t>
        </is>
      </c>
    </row>
    <row r="544">
      <c r="A544" s="6" t="inlineStr">
        <is>
          <t>5750 E. 58th Ave (R0091934) — FY2024</t>
        </is>
      </c>
      <c r="B544" s="25" t="inlineStr">
        <is>
          <t>Expense</t>
        </is>
      </c>
      <c r="C544" s="6" t="inlineStr">
        <is>
          <t>60240 - Trash Removal Extra Service</t>
        </is>
      </c>
      <c r="D544" s="22" t="n">
        <v>24</v>
      </c>
      <c r="E544" s="6" t="n"/>
      <c r="F544" s="44" t="inlineStr">
        <is>
          <t>R0091934</t>
        </is>
      </c>
      <c r="G544" s="37" t="inlineStr">
        <is>
          <t>5750 E. 58th Ave</t>
        </is>
      </c>
      <c r="H544" s="45" t="n">
        <v>2024</v>
      </c>
      <c r="I544" s="44" t="inlineStr">
        <is>
          <t>Line item</t>
        </is>
      </c>
    </row>
    <row r="545">
      <c r="A545" s="6" t="inlineStr">
        <is>
          <t>5750 E. 58th Ave (R0091934) — FY2024</t>
        </is>
      </c>
      <c r="B545" s="25" t="inlineStr">
        <is>
          <t>Expense</t>
        </is>
      </c>
      <c r="C545" s="6" t="inlineStr">
        <is>
          <t>60315 - Door/Keys R&amp;M</t>
        </is>
      </c>
      <c r="D545" s="22" t="n">
        <v>26.45</v>
      </c>
      <c r="E545" s="6" t="n"/>
      <c r="F545" s="44" t="inlineStr">
        <is>
          <t>R0091934</t>
        </is>
      </c>
      <c r="G545" s="37" t="inlineStr">
        <is>
          <t>5750 E. 58th Ave</t>
        </is>
      </c>
      <c r="H545" s="45" t="n">
        <v>2024</v>
      </c>
      <c r="I545" s="44" t="inlineStr">
        <is>
          <t>Line item</t>
        </is>
      </c>
    </row>
    <row r="546">
      <c r="A546" s="6" t="inlineStr">
        <is>
          <t>5750 E. 58th Ave (R0091934) — FY2024</t>
        </is>
      </c>
      <c r="B546" s="25" t="inlineStr">
        <is>
          <t>Expense</t>
        </is>
      </c>
      <c r="C546" s="6" t="inlineStr">
        <is>
          <t>60345 - Lighting Interior</t>
        </is>
      </c>
      <c r="D546" s="22" t="n">
        <v>259.37</v>
      </c>
      <c r="E546" s="6" t="n"/>
      <c r="F546" s="44" t="inlineStr">
        <is>
          <t>R0091934</t>
        </is>
      </c>
      <c r="G546" s="37" t="inlineStr">
        <is>
          <t>5750 E. 58th Ave</t>
        </is>
      </c>
      <c r="H546" s="45" t="n">
        <v>2024</v>
      </c>
      <c r="I546" s="44" t="inlineStr">
        <is>
          <t>Line item</t>
        </is>
      </c>
    </row>
    <row r="547">
      <c r="A547" s="6" t="inlineStr">
        <is>
          <t>5750 E. 58th Ave (R0091934) — FY2024</t>
        </is>
      </c>
      <c r="B547" s="25" t="inlineStr">
        <is>
          <t>Expense</t>
        </is>
      </c>
      <c r="C547" s="6" t="inlineStr">
        <is>
          <t>60405 - Backflow Inspections</t>
        </is>
      </c>
      <c r="D547" s="22" t="n">
        <v>50</v>
      </c>
      <c r="E547" s="6" t="n"/>
      <c r="F547" s="44" t="inlineStr">
        <is>
          <t>R0091934</t>
        </is>
      </c>
      <c r="G547" s="37" t="inlineStr">
        <is>
          <t>5750 E. 58th Ave</t>
        </is>
      </c>
      <c r="H547" s="45" t="n">
        <v>2024</v>
      </c>
      <c r="I547" s="44" t="inlineStr">
        <is>
          <t>Line item</t>
        </is>
      </c>
    </row>
    <row r="548">
      <c r="A548" s="6" t="inlineStr">
        <is>
          <t>5750 E. 58th Ave (R0091934) — FY2024</t>
        </is>
      </c>
      <c r="B548" s="25" t="inlineStr">
        <is>
          <t>Expense</t>
        </is>
      </c>
      <c r="C548" s="6" t="inlineStr">
        <is>
          <t>60420 - Plumbing/Sewer R&amp;M</t>
        </is>
      </c>
      <c r="D548" s="22" t="n">
        <v>1200.98</v>
      </c>
      <c r="E548" s="6" t="n"/>
      <c r="F548" s="44" t="inlineStr">
        <is>
          <t>R0091934</t>
        </is>
      </c>
      <c r="G548" s="37" t="inlineStr">
        <is>
          <t>5750 E. 58th Ave</t>
        </is>
      </c>
      <c r="H548" s="45" t="n">
        <v>2024</v>
      </c>
      <c r="I548" s="44" t="inlineStr">
        <is>
          <t>Line item</t>
        </is>
      </c>
    </row>
    <row r="549">
      <c r="A549" s="6" t="inlineStr">
        <is>
          <t>5750 E. 58th Ave (R0091934) — FY2024</t>
        </is>
      </c>
      <c r="B549" s="25" t="inlineStr">
        <is>
          <t>Expense</t>
        </is>
      </c>
      <c r="C549" s="6" t="inlineStr">
        <is>
          <t>60540 - Landscape Contract</t>
        </is>
      </c>
      <c r="D549" s="22" t="n">
        <v>1436.4</v>
      </c>
      <c r="E549" s="6" t="n"/>
      <c r="F549" s="44" t="inlineStr">
        <is>
          <t>R0091934</t>
        </is>
      </c>
      <c r="G549" s="37" t="inlineStr">
        <is>
          <t>5750 E. 58th Ave</t>
        </is>
      </c>
      <c r="H549" s="45" t="n">
        <v>2024</v>
      </c>
      <c r="I549" s="44" t="inlineStr">
        <is>
          <t>Line item</t>
        </is>
      </c>
    </row>
    <row r="550">
      <c r="A550" s="6" t="inlineStr">
        <is>
          <t>5750 E. 58th Ave (R0091934) — FY2024</t>
        </is>
      </c>
      <c r="B550" s="25" t="inlineStr">
        <is>
          <t>Expense</t>
        </is>
      </c>
      <c r="C550" s="6" t="inlineStr">
        <is>
          <t>60541 - Landscaping &amp; Irrigation Rpr &amp; Rpl</t>
        </is>
      </c>
      <c r="D550" s="22" t="n">
        <v>1114.49</v>
      </c>
      <c r="E550" s="6" t="n"/>
      <c r="F550" s="44" t="inlineStr">
        <is>
          <t>R0091934</t>
        </is>
      </c>
      <c r="G550" s="37" t="inlineStr">
        <is>
          <t>5750 E. 58th Ave</t>
        </is>
      </c>
      <c r="H550" s="45" t="n">
        <v>2024</v>
      </c>
      <c r="I550" s="44" t="inlineStr">
        <is>
          <t>Line item</t>
        </is>
      </c>
    </row>
    <row r="551">
      <c r="A551" s="6" t="inlineStr">
        <is>
          <t>5750 E. 58th Ave (R0091934) — FY2024</t>
        </is>
      </c>
      <c r="B551" s="25" t="inlineStr">
        <is>
          <t>Expense</t>
        </is>
      </c>
      <c r="C551" s="6" t="inlineStr">
        <is>
          <t>60575 - Snow Removal</t>
        </is>
      </c>
      <c r="D551" s="22" t="n">
        <v>4984.25</v>
      </c>
      <c r="E551" s="6" t="n"/>
      <c r="F551" s="44" t="inlineStr">
        <is>
          <t>R0091934</t>
        </is>
      </c>
      <c r="G551" s="37" t="inlineStr">
        <is>
          <t>5750 E. 58th Ave</t>
        </is>
      </c>
      <c r="H551" s="45" t="n">
        <v>2024</v>
      </c>
      <c r="I551" s="44" t="inlineStr">
        <is>
          <t>Line item</t>
        </is>
      </c>
    </row>
    <row r="552">
      <c r="A552" s="6" t="inlineStr">
        <is>
          <t>5750 E. 58th Ave (R0091934) — FY2024</t>
        </is>
      </c>
      <c r="B552" s="25" t="inlineStr">
        <is>
          <t>Expense</t>
        </is>
      </c>
      <c r="C552" s="6" t="inlineStr">
        <is>
          <t>60605 - Fire Alarm Mo/Monitor</t>
        </is>
      </c>
      <c r="D552" s="22" t="n">
        <v>500</v>
      </c>
      <c r="E552" s="6" t="n"/>
      <c r="F552" s="44" t="inlineStr">
        <is>
          <t>R0091934</t>
        </is>
      </c>
      <c r="G552" s="37" t="inlineStr">
        <is>
          <t>5750 E. 58th Ave</t>
        </is>
      </c>
      <c r="H552" s="45" t="n">
        <v>2024</v>
      </c>
      <c r="I552" s="44" t="inlineStr">
        <is>
          <t>Line item</t>
        </is>
      </c>
    </row>
    <row r="553">
      <c r="A553" s="6" t="inlineStr">
        <is>
          <t>5750 E. 58th Ave (R0091934) — FY2024</t>
        </is>
      </c>
      <c r="B553" s="25" t="inlineStr">
        <is>
          <t>Expense</t>
        </is>
      </c>
      <c r="C553" s="6" t="inlineStr">
        <is>
          <t>60610 - Fire Sprinkler, Alarm &amp; Extinguisher Inspection</t>
        </is>
      </c>
      <c r="D553" s="22" t="n">
        <v>321</v>
      </c>
      <c r="E553" s="6" t="n"/>
      <c r="F553" s="44" t="inlineStr">
        <is>
          <t>R0091934</t>
        </is>
      </c>
      <c r="G553" s="37" t="inlineStr">
        <is>
          <t>5750 E. 58th Ave</t>
        </is>
      </c>
      <c r="H553" s="45" t="n">
        <v>2024</v>
      </c>
      <c r="I553" s="44" t="inlineStr">
        <is>
          <t>Line item</t>
        </is>
      </c>
    </row>
    <row r="554">
      <c r="A554" s="6" t="inlineStr">
        <is>
          <t>5750 E. 58th Ave (R0091934) — FY2024</t>
        </is>
      </c>
      <c r="B554" s="25" t="inlineStr">
        <is>
          <t>Expense</t>
        </is>
      </c>
      <c r="C554" s="6" t="inlineStr">
        <is>
          <t>60615 - Fire Sprinkler Alarm &amp; Extinguisher R&amp;M</t>
        </is>
      </c>
      <c r="D554" s="22" t="n">
        <v>400.62</v>
      </c>
      <c r="E554" s="6" t="n"/>
      <c r="F554" s="44" t="inlineStr">
        <is>
          <t>R0091934</t>
        </is>
      </c>
      <c r="G554" s="37" t="inlineStr">
        <is>
          <t>5750 E. 58th Ave</t>
        </is>
      </c>
      <c r="H554" s="45" t="n">
        <v>2024</v>
      </c>
      <c r="I554" s="44" t="inlineStr">
        <is>
          <t>Line item</t>
        </is>
      </c>
    </row>
    <row r="555">
      <c r="A555" s="6" t="inlineStr">
        <is>
          <t>5750 E. 58th Ave (R0091934) — FY2024</t>
        </is>
      </c>
      <c r="B555" s="25" t="inlineStr">
        <is>
          <t>Expense</t>
        </is>
      </c>
      <c r="C555" s="6" t="inlineStr">
        <is>
          <t>60905 - Wages R&amp;M</t>
        </is>
      </c>
      <c r="D555" s="22" t="n">
        <v>6982.84</v>
      </c>
      <c r="E555" s="6" t="n"/>
      <c r="F555" s="44" t="inlineStr">
        <is>
          <t>R0091934</t>
        </is>
      </c>
      <c r="G555" s="37" t="inlineStr">
        <is>
          <t>5750 E. 58th Ave</t>
        </is>
      </c>
      <c r="H555" s="45" t="n">
        <v>2024</v>
      </c>
      <c r="I555" s="44" t="inlineStr">
        <is>
          <t>Line item</t>
        </is>
      </c>
    </row>
    <row r="556">
      <c r="A556" s="6" t="inlineStr">
        <is>
          <t>5750 E. 58th Ave (R0091934) — FY2024</t>
        </is>
      </c>
      <c r="B556" s="25" t="inlineStr">
        <is>
          <t>Expense</t>
        </is>
      </c>
      <c r="C556" s="6" t="inlineStr">
        <is>
          <t>60915 - Maint Property Costs</t>
        </is>
      </c>
      <c r="D556" s="22" t="n">
        <v>1244.17</v>
      </c>
      <c r="E556" s="6" t="n"/>
      <c r="F556" s="44" t="inlineStr">
        <is>
          <t>R0091934</t>
        </is>
      </c>
      <c r="G556" s="37" t="inlineStr">
        <is>
          <t>5750 E. 58th Ave</t>
        </is>
      </c>
      <c r="H556" s="45" t="n">
        <v>2024</v>
      </c>
      <c r="I556" s="44" t="inlineStr">
        <is>
          <t>Line item</t>
        </is>
      </c>
    </row>
    <row r="557">
      <c r="A557" s="6" t="inlineStr">
        <is>
          <t>5750 E. 58th Ave (R0091934) — FY2024</t>
        </is>
      </c>
      <c r="B557" s="25" t="inlineStr">
        <is>
          <t>Expense</t>
        </is>
      </c>
      <c r="C557" s="6" t="inlineStr">
        <is>
          <t>60925 - Bldg Maint Supplies R&amp;M</t>
        </is>
      </c>
      <c r="D557" s="22" t="n">
        <v>6.42</v>
      </c>
      <c r="E557" s="6" t="n"/>
      <c r="F557" s="44" t="inlineStr">
        <is>
          <t>R0091934</t>
        </is>
      </c>
      <c r="G557" s="37" t="inlineStr">
        <is>
          <t>5750 E. 58th Ave</t>
        </is>
      </c>
      <c r="H557" s="45" t="n">
        <v>2024</v>
      </c>
      <c r="I557" s="44" t="inlineStr">
        <is>
          <t>Line item</t>
        </is>
      </c>
    </row>
    <row r="558">
      <c r="A558" s="6" t="inlineStr">
        <is>
          <t>5750 E. 58th Ave (R0091934) — FY2024</t>
        </is>
      </c>
      <c r="B558" s="25" t="inlineStr">
        <is>
          <t>Expense</t>
        </is>
      </c>
      <c r="C558" s="6" t="inlineStr">
        <is>
          <t>60940 - Signage CAM</t>
        </is>
      </c>
      <c r="D558" s="22" t="n">
        <v>19.78</v>
      </c>
      <c r="E558" s="6" t="n"/>
      <c r="F558" s="44" t="inlineStr">
        <is>
          <t>R0091934</t>
        </is>
      </c>
      <c r="G558" s="37" t="inlineStr">
        <is>
          <t>5750 E. 58th Ave</t>
        </is>
      </c>
      <c r="H558" s="45" t="n">
        <v>2024</v>
      </c>
      <c r="I558" s="44" t="inlineStr">
        <is>
          <t>Line item</t>
        </is>
      </c>
    </row>
    <row r="559">
      <c r="A559" s="6" t="inlineStr">
        <is>
          <t>5750 E. 58th Ave (R0091934) — FY2024</t>
        </is>
      </c>
      <c r="B559" s="25" t="inlineStr">
        <is>
          <t>Expense</t>
        </is>
      </c>
      <c r="C559" s="6" t="inlineStr">
        <is>
          <t>60955 - Management Fees</t>
        </is>
      </c>
      <c r="D559" s="22" t="n">
        <v>25178.89</v>
      </c>
      <c r="E559" s="6" t="n"/>
      <c r="F559" s="44" t="inlineStr">
        <is>
          <t>R0091934</t>
        </is>
      </c>
      <c r="G559" s="37" t="inlineStr">
        <is>
          <t>5750 E. 58th Ave</t>
        </is>
      </c>
      <c r="H559" s="45" t="n">
        <v>2024</v>
      </c>
      <c r="I559" s="44" t="inlineStr">
        <is>
          <t>Line item</t>
        </is>
      </c>
    </row>
    <row r="560">
      <c r="A560" s="6" t="inlineStr">
        <is>
          <t>5750 E. 58th Ave (R0091934) — FY2024</t>
        </is>
      </c>
      <c r="B560" s="25" t="inlineStr">
        <is>
          <t>Expense</t>
        </is>
      </c>
      <c r="C560" s="6" t="inlineStr">
        <is>
          <t>61015 - Tax Real Estate</t>
        </is>
      </c>
      <c r="D560" s="22" t="n">
        <v>105852</v>
      </c>
      <c r="E560" s="6" t="n"/>
      <c r="F560" s="44" t="inlineStr">
        <is>
          <t>R0091934</t>
        </is>
      </c>
      <c r="G560" s="37" t="inlineStr">
        <is>
          <t>5750 E. 58th Ave</t>
        </is>
      </c>
      <c r="H560" s="45" t="n">
        <v>2024</v>
      </c>
      <c r="I560" s="44" t="inlineStr">
        <is>
          <t>Line item</t>
        </is>
      </c>
    </row>
    <row r="561">
      <c r="A561" s="6" t="inlineStr">
        <is>
          <t>5750 E. 58th Ave (R0091934) — FY2024</t>
        </is>
      </c>
      <c r="B561" s="25" t="inlineStr">
        <is>
          <t>Expense</t>
        </is>
      </c>
      <c r="C561" s="6" t="inlineStr">
        <is>
          <t>61020 - Insurance</t>
        </is>
      </c>
      <c r="D561" s="22" t="n">
        <v>5897</v>
      </c>
      <c r="E561" s="6" t="n"/>
      <c r="F561" s="44" t="inlineStr">
        <is>
          <t>R0091934</t>
        </is>
      </c>
      <c r="G561" s="37" t="inlineStr">
        <is>
          <t>5750 E. 58th Ave</t>
        </is>
      </c>
      <c r="H561" s="45" t="n">
        <v>2024</v>
      </c>
      <c r="I561" s="44" t="inlineStr">
        <is>
          <t>Line item</t>
        </is>
      </c>
    </row>
    <row r="562">
      <c r="A562" s="11" t="inlineStr">
        <is>
          <t>5750 E. 58th Ave (R0091934) — FY2024</t>
        </is>
      </c>
      <c r="B562" s="26" t="inlineStr">
        <is>
          <t>Expense</t>
        </is>
      </c>
      <c r="C562" s="12" t="inlineStr">
        <is>
          <t>TOTAL OPERATING EXPENSES</t>
        </is>
      </c>
      <c r="D562" s="23">
        <f>SUM(D540:D561)</f>
        <v/>
      </c>
      <c r="E562" s="18" t="inlineStr">
        <is>
          <t>Printed total: $163,679.88. Property NOI $334,307.37. Zero-value accounts omitted. Sterling letter recast: RE Taxes $105,852 + CAM Reimbursable $57,828 + CAM Non-Reimbursable $2,041 = $165,721.</t>
        </is>
      </c>
      <c r="F562" s="46" t="inlineStr">
        <is>
          <t>R0091934</t>
        </is>
      </c>
      <c r="G562" s="36" t="inlineStr">
        <is>
          <t>5750 E. 58th Ave</t>
        </is>
      </c>
      <c r="H562" s="47" t="n">
        <v>2024</v>
      </c>
      <c r="I562" s="46" t="inlineStr">
        <is>
          <t>Total</t>
        </is>
      </c>
    </row>
    <row r="563">
      <c r="A563" s="6" t="inlineStr">
        <is>
          <t>5750 E. 58th Ave (R0091934) — FY2024</t>
        </is>
      </c>
      <c r="B563" s="25" t="inlineStr">
        <is>
          <t>Memo (below NOI)</t>
        </is>
      </c>
      <c r="C563" s="6" t="inlineStr">
        <is>
          <t>Total Non-CAM Expenses</t>
        </is>
      </c>
      <c r="D563" s="22" t="n">
        <v>11946.49</v>
      </c>
      <c r="E563" s="6" t="inlineStr">
        <is>
          <t>Below Total Operating Expenses; not in the total above</t>
        </is>
      </c>
      <c r="F563" s="46" t="inlineStr">
        <is>
          <t>R0091934</t>
        </is>
      </c>
      <c r="G563" s="36" t="inlineStr">
        <is>
          <t>5750 E. 58th Ave</t>
        </is>
      </c>
      <c r="H563" s="47" t="n">
        <v>2024</v>
      </c>
      <c r="I563" s="46" t="inlineStr">
        <is>
          <t>Total</t>
        </is>
      </c>
    </row>
    <row r="564">
      <c r="A564" s="6" t="inlineStr">
        <is>
          <t>5750 E. 58th Ave (R0091934) — FY2024</t>
        </is>
      </c>
      <c r="B564" s="25" t="inlineStr">
        <is>
          <t>Memo (below NOI)</t>
        </is>
      </c>
      <c r="C564" s="6" t="inlineStr">
        <is>
          <t>Net Operating Income (after non-CAM)</t>
        </is>
      </c>
      <c r="D564" s="22" t="n">
        <v>322360.88</v>
      </c>
      <c r="E564" s="6" t="inlineStr">
        <is>
          <t>Below Total Operating Expenses; not in the total above</t>
        </is>
      </c>
      <c r="F564" s="44" t="inlineStr">
        <is>
          <t>R0091934</t>
        </is>
      </c>
      <c r="G564" s="37" t="inlineStr">
        <is>
          <t>5750 E. 58th Ave</t>
        </is>
      </c>
      <c r="H564" s="45" t="n">
        <v>2024</v>
      </c>
      <c r="I564" s="44" t="inlineStr">
        <is>
          <t>Memo</t>
        </is>
      </c>
    </row>
    <row r="565">
      <c r="A565" s="6" t="inlineStr">
        <is>
          <t>5750 E. 58th Ave (R0091934) — FY2024</t>
        </is>
      </c>
      <c r="B565" s="25" t="inlineStr">
        <is>
          <t>Memo (below NOI)</t>
        </is>
      </c>
      <c r="C565" s="6" t="inlineStr">
        <is>
          <t>Mortgage Interest</t>
        </is>
      </c>
      <c r="D565" s="22" t="n">
        <v>71852.17</v>
      </c>
      <c r="E565" s="6" t="inlineStr">
        <is>
          <t>Below Total Operating Expenses; not in the total above</t>
        </is>
      </c>
      <c r="F565" s="44" t="inlineStr">
        <is>
          <t>R0091934</t>
        </is>
      </c>
      <c r="G565" s="37" t="inlineStr">
        <is>
          <t>5750 E. 58th Ave</t>
        </is>
      </c>
      <c r="H565" s="45" t="n">
        <v>2024</v>
      </c>
      <c r="I565" s="44" t="inlineStr">
        <is>
          <t>Memo</t>
        </is>
      </c>
    </row>
    <row r="566">
      <c r="A566" s="6" t="inlineStr">
        <is>
          <t>5750 E. 58th Ave (R0091934) — FY2024</t>
        </is>
      </c>
      <c r="B566" s="25" t="inlineStr">
        <is>
          <t>Memo (below NOI)</t>
        </is>
      </c>
      <c r="C566" s="6" t="inlineStr">
        <is>
          <t>Total Depreciation &amp; Amortization</t>
        </is>
      </c>
      <c r="D566" s="22" t="n">
        <v>23346</v>
      </c>
      <c r="E566" s="6" t="inlineStr">
        <is>
          <t>Below Total Operating Expenses; not in the total above</t>
        </is>
      </c>
      <c r="F566" s="46" t="inlineStr">
        <is>
          <t>R0091934</t>
        </is>
      </c>
      <c r="G566" s="36" t="inlineStr">
        <is>
          <t>5750 E. 58th Ave</t>
        </is>
      </c>
      <c r="H566" s="47" t="n">
        <v>2024</v>
      </c>
      <c r="I566" s="46" t="inlineStr">
        <is>
          <t>Total</t>
        </is>
      </c>
    </row>
    <row r="567">
      <c r="A567" s="6" t="inlineStr">
        <is>
          <t>5750 E. 58th Ave (R0091934) — FY2024</t>
        </is>
      </c>
      <c r="B567" s="25" t="inlineStr">
        <is>
          <t>Memo (below NOI)</t>
        </is>
      </c>
      <c r="C567" s="6" t="inlineStr">
        <is>
          <t>Net Income</t>
        </is>
      </c>
      <c r="D567" s="22" t="n">
        <v>227162.71</v>
      </c>
      <c r="E567" s="6" t="inlineStr">
        <is>
          <t>Below Total Operating Expenses; not in the total above</t>
        </is>
      </c>
      <c r="F567" s="44" t="inlineStr">
        <is>
          <t>R0091934</t>
        </is>
      </c>
      <c r="G567" s="37" t="inlineStr">
        <is>
          <t>5750 E. 58th Ave</t>
        </is>
      </c>
      <c r="H567" s="45" t="n">
        <v>2024</v>
      </c>
      <c r="I567" s="44" t="inlineStr">
        <is>
          <t>Memo</t>
        </is>
      </c>
    </row>
    <row r="568">
      <c r="A568" s="6" t="inlineStr">
        <is>
          <t>6475 E. 56th Ave (R0091912) — FY2021</t>
        </is>
      </c>
      <c r="B568" s="25" t="inlineStr">
        <is>
          <t>Income</t>
        </is>
      </c>
      <c r="C568" s="6" t="inlineStr">
        <is>
          <t>Gross rents (Form 8825 line 2)</t>
        </is>
      </c>
      <c r="D568" s="22" t="n">
        <v>111569</v>
      </c>
      <c r="E568" s="6" t="n"/>
      <c r="F568" s="44" t="inlineStr">
        <is>
          <t>R0091912</t>
        </is>
      </c>
      <c r="G568" s="37" t="inlineStr">
        <is>
          <t>6475 E. 56th Ave</t>
        </is>
      </c>
      <c r="H568" s="45" t="n">
        <v>2021</v>
      </c>
      <c r="I568" s="44" t="inlineStr">
        <is>
          <t>Line item</t>
        </is>
      </c>
    </row>
    <row r="569">
      <c r="A569" s="11" t="inlineStr">
        <is>
          <t>6475 E. 56th Ave (R0091912) — FY2021</t>
        </is>
      </c>
      <c r="B569" s="26" t="inlineStr">
        <is>
          <t>Income</t>
        </is>
      </c>
      <c r="C569" s="12" t="inlineStr">
        <is>
          <t>TOTAL INCOME</t>
        </is>
      </c>
      <c r="D569" s="23">
        <f>SUM(D568:D568)</f>
        <v/>
      </c>
      <c r="E569" s="18" t="inlineStr">
        <is>
          <t>Printed total: $111,569.00. Single tenant McElroy Metal Mill Inc. dba Metal Mart.</t>
        </is>
      </c>
      <c r="F569" s="46" t="inlineStr">
        <is>
          <t>R0091912</t>
        </is>
      </c>
      <c r="G569" s="36" t="inlineStr">
        <is>
          <t>6475 E. 56th Ave</t>
        </is>
      </c>
      <c r="H569" s="47" t="n">
        <v>2021</v>
      </c>
      <c r="I569" s="46" t="inlineStr">
        <is>
          <t>Total</t>
        </is>
      </c>
    </row>
    <row r="570">
      <c r="A570" s="6" t="inlineStr">
        <is>
          <t>6475 E. 56th Ave (R0091912) — FY2021</t>
        </is>
      </c>
      <c r="B570" s="25" t="inlineStr">
        <is>
          <t>Expense</t>
        </is>
      </c>
      <c r="C570" s="6" t="inlineStr">
        <is>
          <t>Insurance</t>
        </is>
      </c>
      <c r="D570" s="22" t="n">
        <v>2813</v>
      </c>
      <c r="E570" s="6" t="n"/>
      <c r="F570" s="44" t="inlineStr">
        <is>
          <t>R0091912</t>
        </is>
      </c>
      <c r="G570" s="37" t="inlineStr">
        <is>
          <t>6475 E. 56th Ave</t>
        </is>
      </c>
      <c r="H570" s="45" t="n">
        <v>2021</v>
      </c>
      <c r="I570" s="44" t="inlineStr">
        <is>
          <t>Line item</t>
        </is>
      </c>
    </row>
    <row r="571">
      <c r="A571" s="6" t="inlineStr">
        <is>
          <t>6475 E. 56th Ave (R0091912) — FY2021</t>
        </is>
      </c>
      <c r="B571" s="25" t="inlineStr">
        <is>
          <t>Expense</t>
        </is>
      </c>
      <c r="C571" s="6" t="inlineStr">
        <is>
          <t>Legal and other professional fees</t>
        </is>
      </c>
      <c r="D571" s="22" t="n">
        <v>5080</v>
      </c>
      <c r="E571" s="6" t="n"/>
      <c r="F571" s="44" t="inlineStr">
        <is>
          <t>R0091912</t>
        </is>
      </c>
      <c r="G571" s="37" t="inlineStr">
        <is>
          <t>6475 E. 56th Ave</t>
        </is>
      </c>
      <c r="H571" s="45" t="n">
        <v>2021</v>
      </c>
      <c r="I571" s="44" t="inlineStr">
        <is>
          <t>Line item</t>
        </is>
      </c>
    </row>
    <row r="572">
      <c r="A572" s="6" t="inlineStr">
        <is>
          <t>6475 E. 56th Ave (R0091912) — FY2021</t>
        </is>
      </c>
      <c r="B572" s="25" t="inlineStr">
        <is>
          <t>Expense</t>
        </is>
      </c>
      <c r="C572" s="6" t="inlineStr">
        <is>
          <t>Taxes</t>
        </is>
      </c>
      <c r="D572" s="22" t="n">
        <v>20451</v>
      </c>
      <c r="E572" s="6" t="n"/>
      <c r="F572" s="44" t="inlineStr">
        <is>
          <t>R0091912</t>
        </is>
      </c>
      <c r="G572" s="37" t="inlineStr">
        <is>
          <t>6475 E. 56th Ave</t>
        </is>
      </c>
      <c r="H572" s="45" t="n">
        <v>2021</v>
      </c>
      <c r="I572" s="44" t="inlineStr">
        <is>
          <t>Line item</t>
        </is>
      </c>
    </row>
    <row r="573">
      <c r="A573" s="6" t="inlineStr">
        <is>
          <t>6475 E. 56th Ave (R0091912) — FY2021</t>
        </is>
      </c>
      <c r="B573" s="25" t="inlineStr">
        <is>
          <t>Expense</t>
        </is>
      </c>
      <c r="C573" s="6" t="inlineStr">
        <is>
          <t>Depreciation</t>
        </is>
      </c>
      <c r="D573" s="22" t="n">
        <v>14648</v>
      </c>
      <c r="E573" s="6" t="n"/>
      <c r="F573" s="44" t="inlineStr">
        <is>
          <t>R0091912</t>
        </is>
      </c>
      <c r="G573" s="37" t="inlineStr">
        <is>
          <t>6475 E. 56th Ave</t>
        </is>
      </c>
      <c r="H573" s="45" t="n">
        <v>2021</v>
      </c>
      <c r="I573" s="44" t="inlineStr">
        <is>
          <t>Line item</t>
        </is>
      </c>
    </row>
    <row r="574">
      <c r="A574" s="11" t="inlineStr">
        <is>
          <t>6475 E. 56th Ave (R0091912) — FY2021</t>
        </is>
      </c>
      <c r="B574" s="26" t="inlineStr">
        <is>
          <t>Expense</t>
        </is>
      </c>
      <c r="C574" s="12" t="inlineStr">
        <is>
          <t>TOTAL EXPENSE</t>
        </is>
      </c>
      <c r="D574" s="23">
        <f>SUM(D570:D573)</f>
        <v/>
      </c>
      <c r="E574" s="18" t="inlineStr">
        <is>
          <t>Printed total: $42,992.00. IRS Form 8825 tax basis; net rental real estate income $68,577.</t>
        </is>
      </c>
      <c r="F574" s="46" t="inlineStr">
        <is>
          <t>R0091912</t>
        </is>
      </c>
      <c r="G574" s="36" t="inlineStr">
        <is>
          <t>6475 E. 56th Ave</t>
        </is>
      </c>
      <c r="H574" s="47" t="n">
        <v>2021</v>
      </c>
      <c r="I574" s="46" t="inlineStr">
        <is>
          <t>Total</t>
        </is>
      </c>
    </row>
    <row r="575">
      <c r="A575" s="6" t="inlineStr">
        <is>
          <t>6475 E. 56th Ave (R0091912) — FY2022</t>
        </is>
      </c>
      <c r="B575" s="25" t="inlineStr">
        <is>
          <t>Income</t>
        </is>
      </c>
      <c r="C575" s="6" t="inlineStr">
        <is>
          <t>Gross rents (Form 8825 line 2)</t>
        </is>
      </c>
      <c r="D575" s="22" t="n">
        <v>160750</v>
      </c>
      <c r="E575" s="6" t="n"/>
      <c r="F575" s="44" t="inlineStr">
        <is>
          <t>R0091912</t>
        </is>
      </c>
      <c r="G575" s="37" t="inlineStr">
        <is>
          <t>6475 E. 56th Ave</t>
        </is>
      </c>
      <c r="H575" s="45" t="n">
        <v>2022</v>
      </c>
      <c r="I575" s="44" t="inlineStr">
        <is>
          <t>Line item</t>
        </is>
      </c>
    </row>
    <row r="576">
      <c r="A576" s="11" t="inlineStr">
        <is>
          <t>6475 E. 56th Ave (R0091912) — FY2022</t>
        </is>
      </c>
      <c r="B576" s="26" t="inlineStr">
        <is>
          <t>Income</t>
        </is>
      </c>
      <c r="C576" s="12" t="inlineStr">
        <is>
          <t>TOTAL INCOME</t>
        </is>
      </c>
      <c r="D576" s="23">
        <f>SUM(D575:D575)</f>
        <v/>
      </c>
      <c r="E576" s="18" t="inlineStr">
        <is>
          <t>Printed total: $160,750.00. Single tenant McElroy Metal Mill Inc. dba Metal Mart.</t>
        </is>
      </c>
      <c r="F576" s="46" t="inlineStr">
        <is>
          <t>R0091912</t>
        </is>
      </c>
      <c r="G576" s="36" t="inlineStr">
        <is>
          <t>6475 E. 56th Ave</t>
        </is>
      </c>
      <c r="H576" s="47" t="n">
        <v>2022</v>
      </c>
      <c r="I576" s="46" t="inlineStr">
        <is>
          <t>Total</t>
        </is>
      </c>
    </row>
    <row r="577">
      <c r="A577" s="6" t="inlineStr">
        <is>
          <t>6475 E. 56th Ave (R0091912) — FY2022</t>
        </is>
      </c>
      <c r="B577" s="25" t="inlineStr">
        <is>
          <t>Expense</t>
        </is>
      </c>
      <c r="C577" s="6" t="inlineStr">
        <is>
          <t>Insurance</t>
        </is>
      </c>
      <c r="D577" s="22" t="n">
        <v>3199</v>
      </c>
      <c r="E577" s="6" t="n"/>
      <c r="F577" s="44" t="inlineStr">
        <is>
          <t>R0091912</t>
        </is>
      </c>
      <c r="G577" s="37" t="inlineStr">
        <is>
          <t>6475 E. 56th Ave</t>
        </is>
      </c>
      <c r="H577" s="45" t="n">
        <v>2022</v>
      </c>
      <c r="I577" s="44" t="inlineStr">
        <is>
          <t>Line item</t>
        </is>
      </c>
    </row>
    <row r="578">
      <c r="A578" s="6" t="inlineStr">
        <is>
          <t>6475 E. 56th Ave (R0091912) — FY2022</t>
        </is>
      </c>
      <c r="B578" s="25" t="inlineStr">
        <is>
          <t>Expense</t>
        </is>
      </c>
      <c r="C578" s="6" t="inlineStr">
        <is>
          <t>Legal and other professional fees</t>
        </is>
      </c>
      <c r="D578" s="22" t="n">
        <v>630</v>
      </c>
      <c r="E578" s="6" t="n"/>
      <c r="F578" s="44" t="inlineStr">
        <is>
          <t>R0091912</t>
        </is>
      </c>
      <c r="G578" s="37" t="inlineStr">
        <is>
          <t>6475 E. 56th Ave</t>
        </is>
      </c>
      <c r="H578" s="45" t="n">
        <v>2022</v>
      </c>
      <c r="I578" s="44" t="inlineStr">
        <is>
          <t>Line item</t>
        </is>
      </c>
    </row>
    <row r="579">
      <c r="A579" s="6" t="inlineStr">
        <is>
          <t>6475 E. 56th Ave (R0091912) — FY2022</t>
        </is>
      </c>
      <c r="B579" s="25" t="inlineStr">
        <is>
          <t>Expense</t>
        </is>
      </c>
      <c r="C579" s="6" t="inlineStr">
        <is>
          <t>Repairs</t>
        </is>
      </c>
      <c r="D579" s="22" t="n">
        <v>7332</v>
      </c>
      <c r="E579" s="6" t="n"/>
      <c r="F579" s="44" t="inlineStr">
        <is>
          <t>R0091912</t>
        </is>
      </c>
      <c r="G579" s="37" t="inlineStr">
        <is>
          <t>6475 E. 56th Ave</t>
        </is>
      </c>
      <c r="H579" s="45" t="n">
        <v>2022</v>
      </c>
      <c r="I579" s="44" t="inlineStr">
        <is>
          <t>Line item</t>
        </is>
      </c>
    </row>
    <row r="580">
      <c r="A580" s="6" t="inlineStr">
        <is>
          <t>6475 E. 56th Ave (R0091912) — FY2022</t>
        </is>
      </c>
      <c r="B580" s="25" t="inlineStr">
        <is>
          <t>Expense</t>
        </is>
      </c>
      <c r="C580" s="6" t="inlineStr">
        <is>
          <t>Taxes</t>
        </is>
      </c>
      <c r="D580" s="22" t="n">
        <v>30841</v>
      </c>
      <c r="E580" s="6" t="n"/>
      <c r="F580" s="44" t="inlineStr">
        <is>
          <t>R0091912</t>
        </is>
      </c>
      <c r="G580" s="37" t="inlineStr">
        <is>
          <t>6475 E. 56th Ave</t>
        </is>
      </c>
      <c r="H580" s="45" t="n">
        <v>2022</v>
      </c>
      <c r="I580" s="44" t="inlineStr">
        <is>
          <t>Line item</t>
        </is>
      </c>
    </row>
    <row r="581">
      <c r="A581" s="6" t="inlineStr">
        <is>
          <t>6475 E. 56th Ave (R0091912) — FY2022</t>
        </is>
      </c>
      <c r="B581" s="25" t="inlineStr">
        <is>
          <t>Expense</t>
        </is>
      </c>
      <c r="C581" s="6" t="inlineStr">
        <is>
          <t>Depreciation</t>
        </is>
      </c>
      <c r="D581" s="22" t="n">
        <v>14648</v>
      </c>
      <c r="E581" s="6" t="n"/>
      <c r="F581" s="44" t="inlineStr">
        <is>
          <t>R0091912</t>
        </is>
      </c>
      <c r="G581" s="37" t="inlineStr">
        <is>
          <t>6475 E. 56th Ave</t>
        </is>
      </c>
      <c r="H581" s="45" t="n">
        <v>2022</v>
      </c>
      <c r="I581" s="44" t="inlineStr">
        <is>
          <t>Line item</t>
        </is>
      </c>
    </row>
    <row r="582">
      <c r="A582" s="6" t="inlineStr">
        <is>
          <t>6475 E. 56th Ave (R0091912) — FY2022</t>
        </is>
      </c>
      <c r="B582" s="25" t="inlineStr">
        <is>
          <t>Expense</t>
        </is>
      </c>
      <c r="C582" s="6" t="inlineStr">
        <is>
          <t>Other (Statement #7)</t>
        </is>
      </c>
      <c r="D582" s="22" t="n">
        <v>8</v>
      </c>
      <c r="E582" s="6" t="n"/>
      <c r="F582" s="44" t="inlineStr">
        <is>
          <t>R0091912</t>
        </is>
      </c>
      <c r="G582" s="37" t="inlineStr">
        <is>
          <t>6475 E. 56th Ave</t>
        </is>
      </c>
      <c r="H582" s="45" t="n">
        <v>2022</v>
      </c>
      <c r="I582" s="44" t="inlineStr">
        <is>
          <t>Line item</t>
        </is>
      </c>
    </row>
    <row r="583">
      <c r="A583" s="11" t="inlineStr">
        <is>
          <t>6475 E. 56th Ave (R0091912) — FY2022</t>
        </is>
      </c>
      <c r="B583" s="26" t="inlineStr">
        <is>
          <t>Expense</t>
        </is>
      </c>
      <c r="C583" s="12" t="inlineStr">
        <is>
          <t>TOTAL EXPENSE</t>
        </is>
      </c>
      <c r="D583" s="23">
        <f>SUM(D577:D582)</f>
        <v/>
      </c>
      <c r="E583" s="18" t="inlineStr">
        <is>
          <t>Printed total: $56,658.00. IRS Form 8825 tax basis; net rental real estate income $104,092.</t>
        </is>
      </c>
      <c r="F583" s="46" t="inlineStr">
        <is>
          <t>R0091912</t>
        </is>
      </c>
      <c r="G583" s="36" t="inlineStr">
        <is>
          <t>6475 E. 56th Ave</t>
        </is>
      </c>
      <c r="H583" s="47" t="n">
        <v>2022</v>
      </c>
      <c r="I583" s="46" t="inlineStr">
        <is>
          <t>Total</t>
        </is>
      </c>
    </row>
    <row r="584">
      <c r="A584" s="6" t="inlineStr">
        <is>
          <t>6475 E. 56th Ave (R0091912) — FY2023</t>
        </is>
      </c>
      <c r="B584" s="25" t="inlineStr">
        <is>
          <t>Income</t>
        </is>
      </c>
      <c r="C584" s="6" t="inlineStr">
        <is>
          <t>Gross rents (Form 8825 line 2)</t>
        </is>
      </c>
      <c r="D584" s="22" t="n">
        <v>165437</v>
      </c>
      <c r="E584" s="6" t="n"/>
      <c r="F584" s="44" t="inlineStr">
        <is>
          <t>R0091912</t>
        </is>
      </c>
      <c r="G584" s="37" t="inlineStr">
        <is>
          <t>6475 E. 56th Ave</t>
        </is>
      </c>
      <c r="H584" s="45" t="n">
        <v>2023</v>
      </c>
      <c r="I584" s="44" t="inlineStr">
        <is>
          <t>Line item</t>
        </is>
      </c>
    </row>
    <row r="585">
      <c r="A585" s="11" t="inlineStr">
        <is>
          <t>6475 E. 56th Ave (R0091912) — FY2023</t>
        </is>
      </c>
      <c r="B585" s="26" t="inlineStr">
        <is>
          <t>Income</t>
        </is>
      </c>
      <c r="C585" s="12" t="inlineStr">
        <is>
          <t>TOTAL INCOME</t>
        </is>
      </c>
      <c r="D585" s="23">
        <f>SUM(D584:D584)</f>
        <v/>
      </c>
      <c r="E585" s="18" t="inlineStr">
        <is>
          <t>Printed total: $165,437.00. Single tenant McElroy Metal Mill Inc. dba Metal Mart.</t>
        </is>
      </c>
      <c r="F585" s="46" t="inlineStr">
        <is>
          <t>R0091912</t>
        </is>
      </c>
      <c r="G585" s="36" t="inlineStr">
        <is>
          <t>6475 E. 56th Ave</t>
        </is>
      </c>
      <c r="H585" s="47" t="n">
        <v>2023</v>
      </c>
      <c r="I585" s="46" t="inlineStr">
        <is>
          <t>Total</t>
        </is>
      </c>
    </row>
    <row r="586">
      <c r="A586" s="6" t="inlineStr">
        <is>
          <t>6475 E. 56th Ave (R0091912) — FY2023</t>
        </is>
      </c>
      <c r="B586" s="25" t="inlineStr">
        <is>
          <t>Expense</t>
        </is>
      </c>
      <c r="C586" s="6" t="inlineStr">
        <is>
          <t>Insurance</t>
        </is>
      </c>
      <c r="D586" s="22" t="n">
        <v>2896</v>
      </c>
      <c r="E586" s="6" t="n"/>
      <c r="F586" s="44" t="inlineStr">
        <is>
          <t>R0091912</t>
        </is>
      </c>
      <c r="G586" s="37" t="inlineStr">
        <is>
          <t>6475 E. 56th Ave</t>
        </is>
      </c>
      <c r="H586" s="45" t="n">
        <v>2023</v>
      </c>
      <c r="I586" s="44" t="inlineStr">
        <is>
          <t>Line item</t>
        </is>
      </c>
    </row>
    <row r="587">
      <c r="A587" s="6" t="inlineStr">
        <is>
          <t>6475 E. 56th Ave (R0091912) — FY2023</t>
        </is>
      </c>
      <c r="B587" s="25" t="inlineStr">
        <is>
          <t>Expense</t>
        </is>
      </c>
      <c r="C587" s="6" t="inlineStr">
        <is>
          <t>Legal and other professional fees</t>
        </is>
      </c>
      <c r="D587" s="22" t="n">
        <v>2313</v>
      </c>
      <c r="E587" s="6" t="n"/>
      <c r="F587" s="44" t="inlineStr">
        <is>
          <t>R0091912</t>
        </is>
      </c>
      <c r="G587" s="37" t="inlineStr">
        <is>
          <t>6475 E. 56th Ave</t>
        </is>
      </c>
      <c r="H587" s="45" t="n">
        <v>2023</v>
      </c>
      <c r="I587" s="44" t="inlineStr">
        <is>
          <t>Line item</t>
        </is>
      </c>
    </row>
    <row r="588">
      <c r="A588" s="6" t="inlineStr">
        <is>
          <t>6475 E. 56th Ave (R0091912) — FY2023</t>
        </is>
      </c>
      <c r="B588" s="25" t="inlineStr">
        <is>
          <t>Expense</t>
        </is>
      </c>
      <c r="C588" s="6" t="inlineStr">
        <is>
          <t>Repairs</t>
        </is>
      </c>
      <c r="D588" s="22" t="n">
        <v>1056</v>
      </c>
      <c r="E588" s="6" t="n"/>
      <c r="F588" s="44" t="inlineStr">
        <is>
          <t>R0091912</t>
        </is>
      </c>
      <c r="G588" s="37" t="inlineStr">
        <is>
          <t>6475 E. 56th Ave</t>
        </is>
      </c>
      <c r="H588" s="45" t="n">
        <v>2023</v>
      </c>
      <c r="I588" s="44" t="inlineStr">
        <is>
          <t>Line item</t>
        </is>
      </c>
    </row>
    <row r="589">
      <c r="A589" s="6" t="inlineStr">
        <is>
          <t>6475 E. 56th Ave (R0091912) — FY2023</t>
        </is>
      </c>
      <c r="B589" s="25" t="inlineStr">
        <is>
          <t>Expense</t>
        </is>
      </c>
      <c r="C589" s="6" t="inlineStr">
        <is>
          <t>Taxes</t>
        </is>
      </c>
      <c r="D589" s="22" t="n">
        <v>31278</v>
      </c>
      <c r="E589" s="6" t="n"/>
      <c r="F589" s="44" t="inlineStr">
        <is>
          <t>R0091912</t>
        </is>
      </c>
      <c r="G589" s="37" t="inlineStr">
        <is>
          <t>6475 E. 56th Ave</t>
        </is>
      </c>
      <c r="H589" s="45" t="n">
        <v>2023</v>
      </c>
      <c r="I589" s="44" t="inlineStr">
        <is>
          <t>Line item</t>
        </is>
      </c>
    </row>
    <row r="590">
      <c r="A590" s="6" t="inlineStr">
        <is>
          <t>6475 E. 56th Ave (R0091912) — FY2023</t>
        </is>
      </c>
      <c r="B590" s="25" t="inlineStr">
        <is>
          <t>Expense</t>
        </is>
      </c>
      <c r="C590" s="6" t="inlineStr">
        <is>
          <t>Depreciation</t>
        </is>
      </c>
      <c r="D590" s="22" t="n">
        <v>14648</v>
      </c>
      <c r="E590" s="6" t="n"/>
      <c r="F590" s="44" t="inlineStr">
        <is>
          <t>R0091912</t>
        </is>
      </c>
      <c r="G590" s="37" t="inlineStr">
        <is>
          <t>6475 E. 56th Ave</t>
        </is>
      </c>
      <c r="H590" s="45" t="n">
        <v>2023</v>
      </c>
      <c r="I590" s="44" t="inlineStr">
        <is>
          <t>Line item</t>
        </is>
      </c>
    </row>
    <row r="591">
      <c r="A591" s="6" t="inlineStr">
        <is>
          <t>6475 E. 56th Ave (R0091912) — FY2023</t>
        </is>
      </c>
      <c r="B591" s="25" t="inlineStr">
        <is>
          <t>Expense</t>
        </is>
      </c>
      <c r="C591" s="6" t="inlineStr">
        <is>
          <t>Other (Statement #6)</t>
        </is>
      </c>
      <c r="D591" s="22" t="n">
        <v>24</v>
      </c>
      <c r="E591" s="6" t="n"/>
      <c r="F591" s="44" t="inlineStr">
        <is>
          <t>R0091912</t>
        </is>
      </c>
      <c r="G591" s="37" t="inlineStr">
        <is>
          <t>6475 E. 56th Ave</t>
        </is>
      </c>
      <c r="H591" s="45" t="n">
        <v>2023</v>
      </c>
      <c r="I591" s="44" t="inlineStr">
        <is>
          <t>Line item</t>
        </is>
      </c>
    </row>
    <row r="592">
      <c r="A592" s="11" t="inlineStr">
        <is>
          <t>6475 E. 56th Ave (R0091912) — FY2023</t>
        </is>
      </c>
      <c r="B592" s="26" t="inlineStr">
        <is>
          <t>Expense</t>
        </is>
      </c>
      <c r="C592" s="12" t="inlineStr">
        <is>
          <t>TOTAL EXPENSE</t>
        </is>
      </c>
      <c r="D592" s="23">
        <f>SUM(D586:D591)</f>
        <v/>
      </c>
      <c r="E592" s="18" t="inlineStr">
        <is>
          <t>Printed total: $52,215.00. IRS Form 8825 tax basis; net rental real estate income $113,222.</t>
        </is>
      </c>
      <c r="F592" s="46" t="inlineStr">
        <is>
          <t>R0091912</t>
        </is>
      </c>
      <c r="G592" s="36" t="inlineStr">
        <is>
          <t>6475 E. 56th Ave</t>
        </is>
      </c>
      <c r="H592" s="47" t="n">
        <v>2023</v>
      </c>
      <c r="I592" s="46" t="inlineStr">
        <is>
          <t>Total</t>
        </is>
      </c>
    </row>
    <row r="593">
      <c r="A593" s="6" t="inlineStr">
        <is>
          <t>6475 E. 56th Ave (R0091912) — FY2024</t>
        </is>
      </c>
      <c r="B593" s="25" t="inlineStr">
        <is>
          <t>Income</t>
        </is>
      </c>
      <c r="C593" s="6" t="inlineStr">
        <is>
          <t>Gross rents (Form 8825 line 2)</t>
        </is>
      </c>
      <c r="D593" s="22" t="n">
        <v>171406</v>
      </c>
      <c r="E593" s="6" t="n"/>
      <c r="F593" s="44" t="inlineStr">
        <is>
          <t>R0091912</t>
        </is>
      </c>
      <c r="G593" s="37" t="inlineStr">
        <is>
          <t>6475 E. 56th Ave</t>
        </is>
      </c>
      <c r="H593" s="45" t="n">
        <v>2024</v>
      </c>
      <c r="I593" s="44" t="inlineStr">
        <is>
          <t>Line item</t>
        </is>
      </c>
    </row>
    <row r="594">
      <c r="A594" s="11" t="inlineStr">
        <is>
          <t>6475 E. 56th Ave (R0091912) — FY2024</t>
        </is>
      </c>
      <c r="B594" s="26" t="inlineStr">
        <is>
          <t>Income</t>
        </is>
      </c>
      <c r="C594" s="12" t="inlineStr">
        <is>
          <t>TOTAL INCOME</t>
        </is>
      </c>
      <c r="D594" s="23">
        <f>SUM(D593:D593)</f>
        <v/>
      </c>
      <c r="E594" s="18" t="inlineStr">
        <is>
          <t>Printed total: $171,406.00. Single tenant McElroy Metal Mill Inc. dba Metal Mart.</t>
        </is>
      </c>
      <c r="F594" s="46" t="inlineStr">
        <is>
          <t>R0091912</t>
        </is>
      </c>
      <c r="G594" s="36" t="inlineStr">
        <is>
          <t>6475 E. 56th Ave</t>
        </is>
      </c>
      <c r="H594" s="47" t="n">
        <v>2024</v>
      </c>
      <c r="I594" s="46" t="inlineStr">
        <is>
          <t>Total</t>
        </is>
      </c>
    </row>
    <row r="595">
      <c r="A595" s="6" t="inlineStr">
        <is>
          <t>6475 E. 56th Ave (R0091912) — FY2024</t>
        </is>
      </c>
      <c r="B595" s="25" t="inlineStr">
        <is>
          <t>Expense</t>
        </is>
      </c>
      <c r="C595" s="6" t="inlineStr">
        <is>
          <t>Insurance</t>
        </is>
      </c>
      <c r="D595" s="22" t="n">
        <v>3922</v>
      </c>
      <c r="E595" s="6" t="n"/>
      <c r="F595" s="44" t="inlineStr">
        <is>
          <t>R0091912</t>
        </is>
      </c>
      <c r="G595" s="37" t="inlineStr">
        <is>
          <t>6475 E. 56th Ave</t>
        </is>
      </c>
      <c r="H595" s="45" t="n">
        <v>2024</v>
      </c>
      <c r="I595" s="44" t="inlineStr">
        <is>
          <t>Line item</t>
        </is>
      </c>
    </row>
    <row r="596">
      <c r="A596" s="6" t="inlineStr">
        <is>
          <t>6475 E. 56th Ave (R0091912) — FY2024</t>
        </is>
      </c>
      <c r="B596" s="25" t="inlineStr">
        <is>
          <t>Expense</t>
        </is>
      </c>
      <c r="C596" s="6" t="inlineStr">
        <is>
          <t>Legal and other professional fees</t>
        </is>
      </c>
      <c r="D596" s="22" t="n">
        <v>650</v>
      </c>
      <c r="E596" s="6" t="n"/>
      <c r="F596" s="44" t="inlineStr">
        <is>
          <t>R0091912</t>
        </is>
      </c>
      <c r="G596" s="37" t="inlineStr">
        <is>
          <t>6475 E. 56th Ave</t>
        </is>
      </c>
      <c r="H596" s="45" t="n">
        <v>2024</v>
      </c>
      <c r="I596" s="44" t="inlineStr">
        <is>
          <t>Line item</t>
        </is>
      </c>
    </row>
    <row r="597">
      <c r="A597" s="6" t="inlineStr">
        <is>
          <t>6475 E. 56th Ave (R0091912) — FY2024</t>
        </is>
      </c>
      <c r="B597" s="25" t="inlineStr">
        <is>
          <t>Expense</t>
        </is>
      </c>
      <c r="C597" s="6" t="inlineStr">
        <is>
          <t>Taxes</t>
        </is>
      </c>
      <c r="D597" s="22" t="n">
        <v>37247</v>
      </c>
      <c r="E597" s="6" t="n"/>
      <c r="F597" s="44" t="inlineStr">
        <is>
          <t>R0091912</t>
        </is>
      </c>
      <c r="G597" s="37" t="inlineStr">
        <is>
          <t>6475 E. 56th Ave</t>
        </is>
      </c>
      <c r="H597" s="45" t="n">
        <v>2024</v>
      </c>
      <c r="I597" s="44" t="inlineStr">
        <is>
          <t>Line item</t>
        </is>
      </c>
    </row>
    <row r="598">
      <c r="A598" s="6" t="inlineStr">
        <is>
          <t>6475 E. 56th Ave (R0091912) — FY2024</t>
        </is>
      </c>
      <c r="B598" s="25" t="inlineStr">
        <is>
          <t>Expense</t>
        </is>
      </c>
      <c r="C598" s="6" t="inlineStr">
        <is>
          <t>Depreciation</t>
        </is>
      </c>
      <c r="D598" s="22" t="n">
        <v>14648</v>
      </c>
      <c r="E598" s="6" t="n"/>
      <c r="F598" s="44" t="inlineStr">
        <is>
          <t>R0091912</t>
        </is>
      </c>
      <c r="G598" s="37" t="inlineStr">
        <is>
          <t>6475 E. 56th Ave</t>
        </is>
      </c>
      <c r="H598" s="45" t="n">
        <v>2024</v>
      </c>
      <c r="I598" s="44" t="inlineStr">
        <is>
          <t>Line item</t>
        </is>
      </c>
    </row>
    <row r="599">
      <c r="A599" s="6" t="inlineStr">
        <is>
          <t>6475 E. 56th Ave (R0091912) — FY2024</t>
        </is>
      </c>
      <c r="B599" s="25" t="inlineStr">
        <is>
          <t>Expense</t>
        </is>
      </c>
      <c r="C599" s="6" t="inlineStr">
        <is>
          <t>Other (Statement #6) - bank charges $24 + office expenses $1,101</t>
        </is>
      </c>
      <c r="D599" s="22" t="n">
        <v>1125</v>
      </c>
      <c r="E599" s="6" t="n"/>
      <c r="F599" s="44" t="inlineStr">
        <is>
          <t>R0091912</t>
        </is>
      </c>
      <c r="G599" s="37" t="inlineStr">
        <is>
          <t>6475 E. 56th Ave</t>
        </is>
      </c>
      <c r="H599" s="45" t="n">
        <v>2024</v>
      </c>
      <c r="I599" s="44" t="inlineStr">
        <is>
          <t>Line item</t>
        </is>
      </c>
    </row>
    <row r="600">
      <c r="A600" s="11" t="inlineStr">
        <is>
          <t>6475 E. 56th Ave (R0091912) — FY2024</t>
        </is>
      </c>
      <c r="B600" s="26" t="inlineStr">
        <is>
          <t>Expense</t>
        </is>
      </c>
      <c r="C600" s="12" t="inlineStr">
        <is>
          <t>TOTAL EXPENSE</t>
        </is>
      </c>
      <c r="D600" s="23">
        <f>SUM(D595:D599)</f>
        <v/>
      </c>
      <c r="E600" s="18" t="inlineStr">
        <is>
          <t>Printed total: $57,592.00. IRS Form 8825 tax basis; net rental real estate income $113,814.</t>
        </is>
      </c>
      <c r="F600" s="46" t="inlineStr">
        <is>
          <t>R0091912</t>
        </is>
      </c>
      <c r="G600" s="36" t="inlineStr">
        <is>
          <t>6475 E. 56th Ave</t>
        </is>
      </c>
      <c r="H600" s="47" t="n">
        <v>2024</v>
      </c>
      <c r="I600" s="46" t="inlineStr">
        <is>
          <t>Total</t>
        </is>
      </c>
    </row>
    <row r="601">
      <c r="A601" s="6" t="inlineStr">
        <is>
          <t>6475 Franklin St (R0098149) — CY2023</t>
        </is>
      </c>
      <c r="B601" s="25" t="inlineStr">
        <is>
          <t>Expense</t>
        </is>
      </c>
      <c r="C601" s="6" t="inlineStr">
        <is>
          <t>Building Insurance</t>
        </is>
      </c>
      <c r="D601" s="22" t="n">
        <v>11442</v>
      </c>
      <c r="E601" s="6" t="n"/>
      <c r="F601" s="44" t="inlineStr">
        <is>
          <t>R0098149</t>
        </is>
      </c>
      <c r="G601" s="37" t="inlineStr">
        <is>
          <t>6475 Franklin St</t>
        </is>
      </c>
      <c r="H601" s="45" t="n">
        <v>2023</v>
      </c>
      <c r="I601" s="44" t="inlineStr">
        <is>
          <t>Line item</t>
        </is>
      </c>
    </row>
    <row r="602">
      <c r="A602" s="6" t="inlineStr">
        <is>
          <t>6475 Franklin St (R0098149) — CY2023</t>
        </is>
      </c>
      <c r="B602" s="25" t="inlineStr">
        <is>
          <t>Expense</t>
        </is>
      </c>
      <c r="C602" s="6" t="inlineStr">
        <is>
          <t>Building Repair &amp; Maintenance</t>
        </is>
      </c>
      <c r="D602" s="22" t="n">
        <v>15517</v>
      </c>
      <c r="E602" s="6" t="n"/>
      <c r="F602" s="44" t="inlineStr">
        <is>
          <t>R0098149</t>
        </is>
      </c>
      <c r="G602" s="37" t="inlineStr">
        <is>
          <t>6475 Franklin St</t>
        </is>
      </c>
      <c r="H602" s="45" t="n">
        <v>2023</v>
      </c>
      <c r="I602" s="44" t="inlineStr">
        <is>
          <t>Line item</t>
        </is>
      </c>
    </row>
    <row r="603">
      <c r="A603" s="6" t="inlineStr">
        <is>
          <t>6475 Franklin St (R0098149) — CY2023</t>
        </is>
      </c>
      <c r="B603" s="25" t="inlineStr">
        <is>
          <t>Expense</t>
        </is>
      </c>
      <c r="C603" s="6" t="inlineStr">
        <is>
          <t>Ground Maintenance</t>
        </is>
      </c>
      <c r="D603" s="22" t="n">
        <v>3465</v>
      </c>
      <c r="E603" s="6" t="n"/>
      <c r="F603" s="44" t="inlineStr">
        <is>
          <t>R0098149</t>
        </is>
      </c>
      <c r="G603" s="37" t="inlineStr">
        <is>
          <t>6475 Franklin St</t>
        </is>
      </c>
      <c r="H603" s="45" t="n">
        <v>2023</v>
      </c>
      <c r="I603" s="44" t="inlineStr">
        <is>
          <t>Line item</t>
        </is>
      </c>
    </row>
    <row r="604">
      <c r="A604" s="6" t="inlineStr">
        <is>
          <t>6475 Franklin St (R0098149) — CY2023</t>
        </is>
      </c>
      <c r="B604" s="25" t="inlineStr">
        <is>
          <t>Expense</t>
        </is>
      </c>
      <c r="C604" s="6" t="inlineStr">
        <is>
          <t>Utilities</t>
        </is>
      </c>
      <c r="D604" s="22" t="n">
        <v>36121</v>
      </c>
      <c r="E604" s="6" t="n"/>
      <c r="F604" s="44" t="inlineStr">
        <is>
          <t>R0098149</t>
        </is>
      </c>
      <c r="G604" s="37" t="inlineStr">
        <is>
          <t>6475 Franklin St</t>
        </is>
      </c>
      <c r="H604" s="45" t="n">
        <v>2023</v>
      </c>
      <c r="I604" s="44" t="inlineStr">
        <is>
          <t>Line item</t>
        </is>
      </c>
    </row>
    <row r="605">
      <c r="A605" s="6" t="inlineStr">
        <is>
          <t>6475 Franklin St (R0098149) — CY2023</t>
        </is>
      </c>
      <c r="B605" s="25" t="inlineStr">
        <is>
          <t>Expense</t>
        </is>
      </c>
      <c r="C605" s="6" t="inlineStr">
        <is>
          <t>Property Taxes</t>
        </is>
      </c>
      <c r="D605" s="22" t="n">
        <v>90477</v>
      </c>
      <c r="E605" s="6" t="n"/>
      <c r="F605" s="44" t="inlineStr">
        <is>
          <t>R0098149</t>
        </is>
      </c>
      <c r="G605" s="37" t="inlineStr">
        <is>
          <t>6475 Franklin St</t>
        </is>
      </c>
      <c r="H605" s="45" t="n">
        <v>2023</v>
      </c>
      <c r="I605" s="44" t="inlineStr">
        <is>
          <t>Line item</t>
        </is>
      </c>
    </row>
    <row r="606">
      <c r="A606" s="6" t="inlineStr">
        <is>
          <t>6475 Franklin St (R0098149) — CY2023</t>
        </is>
      </c>
      <c r="B606" s="25" t="inlineStr">
        <is>
          <t>Expense</t>
        </is>
      </c>
      <c r="C606" s="6" t="inlineStr">
        <is>
          <t>Bank Fees</t>
        </is>
      </c>
      <c r="D606" s="22" t="n">
        <v>151</v>
      </c>
      <c r="E606" s="6" t="n"/>
      <c r="F606" s="44" t="inlineStr">
        <is>
          <t>R0098149</t>
        </is>
      </c>
      <c r="G606" s="37" t="inlineStr">
        <is>
          <t>6475 Franklin St</t>
        </is>
      </c>
      <c r="H606" s="45" t="n">
        <v>2023</v>
      </c>
      <c r="I606" s="44" t="inlineStr">
        <is>
          <t>Line item</t>
        </is>
      </c>
    </row>
    <row r="607">
      <c r="A607" s="11" t="inlineStr">
        <is>
          <t>6475 Franklin St (R0098149) — CY2023</t>
        </is>
      </c>
      <c r="B607" s="26" t="inlineStr">
        <is>
          <t>Expense</t>
        </is>
      </c>
      <c r="C607" s="12" t="inlineStr">
        <is>
          <t>TOTAL EXPENSE</t>
        </is>
      </c>
      <c r="D607" s="23">
        <f>SUM(D601:D606)</f>
        <v/>
      </c>
      <c r="E607" s="18" t="inlineStr">
        <is>
          <t>Printed total: $157,173.00. Adams County 2024 Commercial-Industrial Income &amp; Expense Survey (received 11/1/2024). Owner/landlord column only; tenant column blank (100% owner-occupied, 30,000 SF). Operating-expense grid subtotal $66,545; property taxes and bank fees were written on the Comments line. No total is printed on the form — this =SUM is computed.</t>
        </is>
      </c>
      <c r="F607" s="46" t="inlineStr">
        <is>
          <t>R0098149</t>
        </is>
      </c>
      <c r="G607" s="36" t="inlineStr">
        <is>
          <t>6475 Franklin St</t>
        </is>
      </c>
      <c r="H607" s="47" t="n">
        <v>2023</v>
      </c>
      <c r="I607" s="46" t="inlineStr">
        <is>
          <t>Total</t>
        </is>
      </c>
    </row>
  </sheetData>
  <autoFilter ref="A4:I607"/>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4"/>
  <sheetViews>
    <sheetView showGridLines="1"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Portfolio parcel schedules attached to source packages (North Side Gardens; Winner Storage/CubeSmart PTA; Dahn Corporation) — subject parcels highlighted</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10" ht="28" customHeight="1">
      <c r="A10" s="18" t="inlineStr">
        <is>
          <t>Highlighted row (R0178308 / 7205 Gilpin Way) is the primary appeal subject; the other three parcels are co-listed on the same authorization schedule. Appeal owner of record: Center Land Properties (signed by Ken R. Lombardi, Manager).</t>
        </is>
      </c>
      <c r="B10" s="20" t="n"/>
      <c r="C10" s="20" t="n"/>
      <c r="D10" s="20" t="n"/>
      <c r="E10" s="21" t="n"/>
    </row>
    <row r="12">
      <c r="A12" s="4" t="inlineStr">
        <is>
          <t>Winner Storage / CubeSmart PTA portfolio — schedule attached to R0085571 LOA (Ryan LLC, 2025/2026)</t>
        </is>
      </c>
      <c r="B12" s="20" t="n"/>
      <c r="C12" s="20" t="n"/>
      <c r="D12" s="20" t="n"/>
      <c r="E12" s="21" t="n"/>
    </row>
    <row r="13">
      <c r="A13" s="6" t="inlineStr">
        <is>
          <t>Lamar Owner LLC</t>
        </is>
      </c>
      <c r="B13" s="5" t="inlineStr">
        <is>
          <t>300506230</t>
        </is>
      </c>
      <c r="C13" s="6" t="inlineStr">
        <is>
          <t>9839 W 60th Ave</t>
        </is>
      </c>
      <c r="D13" s="5" t="inlineStr">
        <is>
          <t>Jefferson County</t>
        </is>
      </c>
      <c r="E13" s="5" t="inlineStr">
        <is>
          <t>CO</t>
        </is>
      </c>
    </row>
    <row r="14">
      <c r="A14" s="12" t="inlineStr">
        <is>
          <t>Winner Storage LLC/PTA USI No 730</t>
        </is>
      </c>
      <c r="B14" s="24" t="inlineStr">
        <is>
          <t>0182132318001</t>
        </is>
      </c>
      <c r="C14" s="12" t="inlineStr">
        <is>
          <t>15413 E 18th Ave</t>
        </is>
      </c>
      <c r="D14" s="24" t="inlineStr">
        <is>
          <t>Adams County</t>
        </is>
      </c>
      <c r="E14" s="24" t="inlineStr">
        <is>
          <t>CO</t>
        </is>
      </c>
    </row>
    <row r="15">
      <c r="A15" s="6" t="inlineStr">
        <is>
          <t>Winner Storage LLC</t>
        </is>
      </c>
      <c r="B15" s="5" t="inlineStr">
        <is>
          <t>033895533</t>
        </is>
      </c>
      <c r="C15" s="6" t="inlineStr">
        <is>
          <t>N/A</t>
        </is>
      </c>
      <c r="D15" s="5" t="inlineStr">
        <is>
          <t>Arapahoe County</t>
        </is>
      </c>
      <c r="E15" s="5" t="inlineStr">
        <is>
          <t>CO</t>
        </is>
      </c>
    </row>
    <row r="16">
      <c r="A16" s="6" t="inlineStr">
        <is>
          <t>Winner Storage LLC</t>
        </is>
      </c>
      <c r="B16" s="5" t="inlineStr">
        <is>
          <t>033895541</t>
        </is>
      </c>
      <c r="C16" s="6" t="inlineStr">
        <is>
          <t>14706 E 4th Ave</t>
        </is>
      </c>
      <c r="D16" s="5" t="inlineStr">
        <is>
          <t>Arapahoe County</t>
        </is>
      </c>
      <c r="E16" s="5" t="inlineStr">
        <is>
          <t>CO</t>
        </is>
      </c>
    </row>
    <row r="17">
      <c r="A17" s="12" t="inlineStr">
        <is>
          <t>Winner Storage LLC/PTA USI No 731</t>
        </is>
      </c>
      <c r="B17" s="24" t="inlineStr">
        <is>
          <t>0182131405022</t>
        </is>
      </c>
      <c r="C17" s="12" t="inlineStr">
        <is>
          <t>1540 Altura Blvd</t>
        </is>
      </c>
      <c r="D17" s="24" t="inlineStr">
        <is>
          <t>Adams County</t>
        </is>
      </c>
      <c r="E17" s="24" t="inlineStr">
        <is>
          <t>CO</t>
        </is>
      </c>
    </row>
    <row r="18">
      <c r="A18" s="6" t="inlineStr">
        <is>
          <t>Winner Storage LLC</t>
        </is>
      </c>
      <c r="B18" s="5" t="inlineStr">
        <is>
          <t>033902769</t>
        </is>
      </c>
      <c r="C18" s="6" t="inlineStr">
        <is>
          <t>1800 S Chambers Rd</t>
        </is>
      </c>
      <c r="D18" s="5" t="inlineStr">
        <is>
          <t>Arapahoe County</t>
        </is>
      </c>
      <c r="E18" s="5" t="inlineStr">
        <is>
          <t>CO</t>
        </is>
      </c>
    </row>
    <row r="19">
      <c r="A19" s="6" t="inlineStr">
        <is>
          <t>Winner Storage LLC</t>
        </is>
      </c>
      <c r="B19" s="5" t="inlineStr">
        <is>
          <t>033902785</t>
        </is>
      </c>
      <c r="C19" s="6" t="inlineStr">
        <is>
          <t>1815 S Helena St</t>
        </is>
      </c>
      <c r="D19" s="5" t="inlineStr">
        <is>
          <t>Arapahoe County</t>
        </is>
      </c>
      <c r="E19" s="5" t="inlineStr">
        <is>
          <t>CO</t>
        </is>
      </c>
    </row>
    <row r="20">
      <c r="A20" s="6" t="inlineStr">
        <is>
          <t>Neighborhood Self Storage LLC</t>
        </is>
      </c>
      <c r="B20" s="5" t="inlineStr">
        <is>
          <t>032382996</t>
        </is>
      </c>
      <c r="C20" s="6" t="inlineStr">
        <is>
          <t>2900 S Havana St</t>
        </is>
      </c>
      <c r="D20" s="5" t="inlineStr">
        <is>
          <t>Arapahoe County</t>
        </is>
      </c>
      <c r="E20" s="5" t="inlineStr">
        <is>
          <t>CO</t>
        </is>
      </c>
    </row>
    <row r="21">
      <c r="A21" s="6" t="inlineStr">
        <is>
          <t>Neighborhood Self Storage LLC</t>
        </is>
      </c>
      <c r="B21" s="5" t="inlineStr">
        <is>
          <t>032383003</t>
        </is>
      </c>
      <c r="C21" s="6" t="inlineStr">
        <is>
          <t>2902 S Havana St</t>
        </is>
      </c>
      <c r="D21" s="5" t="inlineStr">
        <is>
          <t>Arapahoe County</t>
        </is>
      </c>
      <c r="E21" s="5" t="inlineStr">
        <is>
          <t>CO</t>
        </is>
      </c>
    </row>
    <row r="22">
      <c r="A22" s="6" t="inlineStr">
        <is>
          <t>Cubesmart LP</t>
        </is>
      </c>
      <c r="B22" s="5" t="inlineStr">
        <is>
          <t>032879254</t>
        </is>
      </c>
      <c r="C22" s="6" t="inlineStr">
        <is>
          <t>5353 E County Line Rd</t>
        </is>
      </c>
      <c r="D22" s="5" t="inlineStr">
        <is>
          <t>Arapahoe County</t>
        </is>
      </c>
      <c r="E22" s="5" t="inlineStr">
        <is>
          <t>CO</t>
        </is>
      </c>
    </row>
    <row r="23">
      <c r="A23" s="6" t="inlineStr">
        <is>
          <t>Cubesmart LP</t>
        </is>
      </c>
      <c r="B23" s="5" t="inlineStr">
        <is>
          <t>034924396</t>
        </is>
      </c>
      <c r="C23" s="6" t="inlineStr">
        <is>
          <t>7059 S Kenton St</t>
        </is>
      </c>
      <c r="D23" s="5" t="inlineStr">
        <is>
          <t>Arapahoe County</t>
        </is>
      </c>
      <c r="E23" s="5" t="inlineStr">
        <is>
          <t>CO</t>
        </is>
      </c>
    </row>
    <row r="24">
      <c r="A24" s="6" t="inlineStr">
        <is>
          <t>Cubesmart LP</t>
        </is>
      </c>
      <c r="B24" s="5" t="inlineStr">
        <is>
          <t>6428404001</t>
        </is>
      </c>
      <c r="C24" s="6" t="inlineStr">
        <is>
          <t>2310 S Circle Dr</t>
        </is>
      </c>
      <c r="D24" s="5" t="inlineStr">
        <is>
          <t>El Paso County</t>
        </is>
      </c>
      <c r="E24" s="5" t="inlineStr">
        <is>
          <t>CO</t>
        </is>
      </c>
    </row>
    <row r="25">
      <c r="A25" s="6" t="inlineStr">
        <is>
          <t>U Store It</t>
        </is>
      </c>
      <c r="B25" s="5" t="inlineStr">
        <is>
          <t>6319402055</t>
        </is>
      </c>
      <c r="C25" s="6" t="inlineStr">
        <is>
          <t>380 E Garden Of The Gods Rd</t>
        </is>
      </c>
      <c r="D25" s="5" t="inlineStr">
        <is>
          <t>El Paso County</t>
        </is>
      </c>
      <c r="E25" s="5" t="inlineStr">
        <is>
          <t>CO</t>
        </is>
      </c>
    </row>
    <row r="26">
      <c r="A26" s="6" t="inlineStr">
        <is>
          <t>8700 Devonshire Storage LLC</t>
        </is>
      </c>
      <c r="B26" s="5" t="inlineStr">
        <is>
          <t>0171925204016</t>
        </is>
      </c>
      <c r="C26" s="6" t="inlineStr">
        <is>
          <t>8700 Devonshire Blvd</t>
        </is>
      </c>
      <c r="D26" s="5" t="inlineStr">
        <is>
          <t>Adams County</t>
        </is>
      </c>
      <c r="E26" s="5" t="inlineStr">
        <is>
          <t>CO</t>
        </is>
      </c>
    </row>
    <row r="27">
      <c r="A27" s="6" t="inlineStr">
        <is>
          <t>Cubesmart LP</t>
        </is>
      </c>
      <c r="B27" s="5" t="inlineStr">
        <is>
          <t>07032-00-036-000</t>
        </is>
      </c>
      <c r="C27" s="6" t="inlineStr">
        <is>
          <t>8930 E Hampden Ave</t>
        </is>
      </c>
      <c r="D27" s="5" t="inlineStr">
        <is>
          <t>Denver County</t>
        </is>
      </c>
      <c r="E27" s="5" t="inlineStr">
        <is>
          <t>CO</t>
        </is>
      </c>
    </row>
    <row r="28">
      <c r="A28" s="6" t="inlineStr">
        <is>
          <t>Cubesmart LP</t>
        </is>
      </c>
      <c r="B28" s="5" t="inlineStr">
        <is>
          <t>07032-00-038-000</t>
        </is>
      </c>
      <c r="C28" s="6" t="inlineStr">
        <is>
          <t>3540 S Yosemite St</t>
        </is>
      </c>
      <c r="D28" s="5" t="inlineStr">
        <is>
          <t>Denver County</t>
        </is>
      </c>
      <c r="E28" s="5" t="inlineStr">
        <is>
          <t>CO</t>
        </is>
      </c>
    </row>
    <row r="29">
      <c r="A29" s="6" t="inlineStr">
        <is>
          <t>U-store-it/Pta Usi No 769</t>
        </is>
      </c>
      <c r="B29" s="5" t="inlineStr">
        <is>
          <t>0182505401015</t>
        </is>
      </c>
      <c r="C29" s="6" t="inlineStr">
        <is>
          <t>6790 Federal Blvd</t>
        </is>
      </c>
      <c r="D29" s="5" t="inlineStr">
        <is>
          <t>Adams County</t>
        </is>
      </c>
      <c r="E29" s="5" t="inlineStr">
        <is>
          <t>CO</t>
        </is>
      </c>
    </row>
    <row r="30">
      <c r="A30" s="6" t="inlineStr">
        <is>
          <t>Cubesmart LP</t>
        </is>
      </c>
      <c r="B30" s="5" t="inlineStr">
        <is>
          <t>06172-00-031-000</t>
        </is>
      </c>
      <c r="C30" s="6" t="inlineStr">
        <is>
          <t>6150 Leetsdale Dr</t>
        </is>
      </c>
      <c r="D30" s="5" t="inlineStr">
        <is>
          <t>Denver County</t>
        </is>
      </c>
      <c r="E30" s="5" t="inlineStr">
        <is>
          <t>CO</t>
        </is>
      </c>
    </row>
    <row r="31">
      <c r="A31" s="6" t="inlineStr">
        <is>
          <t>Cubesmart LP C/O PTA - CS #229</t>
        </is>
      </c>
      <c r="B31" s="5" t="inlineStr">
        <is>
          <t>0171928108008</t>
        </is>
      </c>
      <c r="C31" s="6" t="inlineStr">
        <is>
          <t>8444 Pecos St</t>
        </is>
      </c>
      <c r="D31" s="5" t="inlineStr">
        <is>
          <t>Adams County</t>
        </is>
      </c>
      <c r="E31" s="5" t="inlineStr">
        <is>
          <t>CO</t>
        </is>
      </c>
    </row>
    <row r="32">
      <c r="A32" s="6" t="inlineStr">
        <is>
          <t>Cube Smart LP #229</t>
        </is>
      </c>
      <c r="B32" s="5" t="inlineStr">
        <is>
          <t>0171928108010</t>
        </is>
      </c>
      <c r="C32" s="6" t="inlineStr">
        <is>
          <t>8444 Pecos St</t>
        </is>
      </c>
      <c r="D32" s="5" t="inlineStr">
        <is>
          <t>Adams County</t>
        </is>
      </c>
      <c r="E32" s="5" t="inlineStr">
        <is>
          <t>CO</t>
        </is>
      </c>
    </row>
    <row r="33">
      <c r="A33" s="6" t="inlineStr">
        <is>
          <t>D Beeks Aurora Investments LLC</t>
        </is>
      </c>
      <c r="B33" s="5" t="inlineStr">
        <is>
          <t>031269288</t>
        </is>
      </c>
      <c r="C33" s="6" t="inlineStr">
        <is>
          <t>2125 Valentia Street</t>
        </is>
      </c>
      <c r="D33" s="5" t="inlineStr">
        <is>
          <t>Arapahoe County</t>
        </is>
      </c>
      <c r="E33" s="5" t="inlineStr">
        <is>
          <t>CO</t>
        </is>
      </c>
    </row>
    <row r="34">
      <c r="A34" s="6" t="inlineStr">
        <is>
          <t>Winner Storage LLC</t>
        </is>
      </c>
      <c r="B34" s="5" t="inlineStr">
        <is>
          <t>034003967</t>
        </is>
      </c>
      <c r="C34" s="6" t="inlineStr">
        <is>
          <t>1390 S Valentia St</t>
        </is>
      </c>
      <c r="D34" s="5" t="inlineStr">
        <is>
          <t>Arapahoe County</t>
        </is>
      </c>
      <c r="E34" s="5" t="inlineStr">
        <is>
          <t>CO</t>
        </is>
      </c>
    </row>
    <row r="35">
      <c r="A35" s="6" t="inlineStr">
        <is>
          <t>Winner Storage LLC</t>
        </is>
      </c>
      <c r="B35" s="5" t="inlineStr">
        <is>
          <t>300189566</t>
        </is>
      </c>
      <c r="C35" s="6" t="inlineStr">
        <is>
          <t>1733 S Wadsworth Blvd</t>
        </is>
      </c>
      <c r="D35" s="5" t="inlineStr">
        <is>
          <t>Jefferson County</t>
        </is>
      </c>
      <c r="E35" s="5" t="inlineStr">
        <is>
          <t>CO</t>
        </is>
      </c>
    </row>
    <row r="36">
      <c r="A36" s="6" t="inlineStr">
        <is>
          <t>Cubesmart LP</t>
        </is>
      </c>
      <c r="B36" s="5" t="inlineStr">
        <is>
          <t>031265631</t>
        </is>
      </c>
      <c r="C36" s="6" t="inlineStr">
        <is>
          <t>10303 E Warren Ave</t>
        </is>
      </c>
      <c r="D36" s="5" t="inlineStr">
        <is>
          <t>Arapahoe County</t>
        </is>
      </c>
      <c r="E36" s="5" t="inlineStr">
        <is>
          <t>CO</t>
        </is>
      </c>
    </row>
    <row r="37">
      <c r="A37" s="6" t="inlineStr">
        <is>
          <t>Winner Storage LLC</t>
        </is>
      </c>
      <c r="B37" s="5" t="inlineStr">
        <is>
          <t>031974674</t>
        </is>
      </c>
      <c r="C37" s="6" t="inlineStr">
        <is>
          <t>4120 S Federal Blvd</t>
        </is>
      </c>
      <c r="D37" s="5" t="inlineStr">
        <is>
          <t>Arapahoe County</t>
        </is>
      </c>
      <c r="E37" s="5" t="inlineStr">
        <is>
          <t>CO</t>
        </is>
      </c>
    </row>
    <row r="38">
      <c r="A38" s="6" t="inlineStr">
        <is>
          <t>Englewood Owner LLC</t>
        </is>
      </c>
      <c r="B38" s="5" t="inlineStr">
        <is>
          <t>035308359</t>
        </is>
      </c>
      <c r="C38" s="6" t="inlineStr">
        <is>
          <t>N/A</t>
        </is>
      </c>
      <c r="D38" s="5" t="inlineStr">
        <is>
          <t>Arapahoe County</t>
        </is>
      </c>
      <c r="E38" s="5" t="inlineStr">
        <is>
          <t>CO</t>
        </is>
      </c>
    </row>
    <row r="39">
      <c r="A39" s="6" t="inlineStr">
        <is>
          <t>Englewood Owner LLC</t>
        </is>
      </c>
      <c r="B39" s="5" t="inlineStr">
        <is>
          <t>035511812</t>
        </is>
      </c>
      <c r="C39" s="6" t="inlineStr">
        <is>
          <t>1090 W Hampden Ave</t>
        </is>
      </c>
      <c r="D39" s="5" t="inlineStr">
        <is>
          <t>Arapahoe County</t>
        </is>
      </c>
      <c r="E39" s="5" t="inlineStr">
        <is>
          <t>CO</t>
        </is>
      </c>
    </row>
    <row r="40">
      <c r="A40" s="6" t="inlineStr">
        <is>
          <t>Cubesmart LP</t>
        </is>
      </c>
      <c r="B40" s="5" t="inlineStr">
        <is>
          <t>300001349</t>
        </is>
      </c>
      <c r="C40" s="6" t="inlineStr">
        <is>
          <t>16845 Mt Vernon Rd</t>
        </is>
      </c>
      <c r="D40" s="5" t="inlineStr">
        <is>
          <t>Jefferson County</t>
        </is>
      </c>
      <c r="E40" s="5" t="inlineStr">
        <is>
          <t>CO</t>
        </is>
      </c>
    </row>
    <row r="41">
      <c r="A41" s="6" t="inlineStr">
        <is>
          <t>Winner Storage LLC</t>
        </is>
      </c>
      <c r="B41" s="5" t="inlineStr">
        <is>
          <t>033284798</t>
        </is>
      </c>
      <c r="C41" s="6" t="inlineStr">
        <is>
          <t>7650 S Broadway</t>
        </is>
      </c>
      <c r="D41" s="5" t="inlineStr">
        <is>
          <t>Arapahoe County</t>
        </is>
      </c>
      <c r="E41" s="5" t="inlineStr">
        <is>
          <t>CO</t>
        </is>
      </c>
    </row>
    <row r="43">
      <c r="A43" s="4" t="inlineStr">
        <is>
          <t>Dahn Corporation managed portfolio — schedule attached to R0040829 LOA (Nancy K. Naeve, SVP, 6/12/2025)</t>
        </is>
      </c>
      <c r="B43" s="20" t="n"/>
      <c r="C43" s="20" t="n"/>
      <c r="D43" s="20" t="n"/>
      <c r="E43" s="21" t="n"/>
    </row>
    <row r="44">
      <c r="A44" s="6" t="inlineStr">
        <is>
          <t>Mini U Storage AAA Ltd</t>
        </is>
      </c>
      <c r="B44" s="5" t="inlineStr">
        <is>
          <t>R0361999</t>
        </is>
      </c>
      <c r="C44" s="6" t="inlineStr">
        <is>
          <t>1400 E County Line Rd</t>
        </is>
      </c>
      <c r="D44" s="5" t="inlineStr">
        <is>
          <t>Douglas County</t>
        </is>
      </c>
      <c r="E44" s="5" t="inlineStr">
        <is>
          <t>CO</t>
        </is>
      </c>
    </row>
    <row r="45">
      <c r="A45" s="6" t="inlineStr">
        <is>
          <t>America360 Development LLC</t>
        </is>
      </c>
      <c r="B45" s="5" t="inlineStr">
        <is>
          <t>034611487</t>
        </is>
      </c>
      <c r="C45" s="6" t="inlineStr">
        <is>
          <t>16830 Hughes Dr</t>
        </is>
      </c>
      <c r="D45" s="5" t="inlineStr">
        <is>
          <t>Arapahoe County</t>
        </is>
      </c>
      <c r="E45" s="5" t="inlineStr">
        <is>
          <t>CO</t>
        </is>
      </c>
    </row>
    <row r="46">
      <c r="A46" s="6" t="inlineStr">
        <is>
          <t>Mini U Storage Highlands Ranch Ltd</t>
        </is>
      </c>
      <c r="B46" s="5" t="inlineStr">
        <is>
          <t>R0374153</t>
        </is>
      </c>
      <c r="C46" s="6" t="inlineStr">
        <is>
          <t>6678 E County Line Rd</t>
        </is>
      </c>
      <c r="D46" s="5" t="inlineStr">
        <is>
          <t>Douglas County</t>
        </is>
      </c>
      <c r="E46" s="5" t="inlineStr">
        <is>
          <t>CO</t>
        </is>
      </c>
    </row>
    <row r="47">
      <c r="A47" s="6" t="inlineStr">
        <is>
          <t>Colorado Mini Ltd</t>
        </is>
      </c>
      <c r="B47" s="5" t="inlineStr">
        <is>
          <t>02241-16-008-000</t>
        </is>
      </c>
      <c r="C47" s="6" t="inlineStr">
        <is>
          <t>3900 E 45th Ave</t>
        </is>
      </c>
      <c r="D47" s="5" t="inlineStr">
        <is>
          <t>Denver County</t>
        </is>
      </c>
      <c r="E47" s="5" t="inlineStr">
        <is>
          <t>CO</t>
        </is>
      </c>
    </row>
    <row r="48">
      <c r="A48" s="6" t="inlineStr">
        <is>
          <t>Mini U Storage ILIFF</t>
        </is>
      </c>
      <c r="B48" s="5" t="inlineStr">
        <is>
          <t>035416691</t>
        </is>
      </c>
      <c r="C48" s="6" t="inlineStr">
        <is>
          <t>7600 E ILIFF Ave</t>
        </is>
      </c>
      <c r="D48" s="5" t="inlineStr">
        <is>
          <t>Arapahoe County</t>
        </is>
      </c>
      <c r="E48" s="5" t="inlineStr">
        <is>
          <t>CO</t>
        </is>
      </c>
    </row>
    <row r="49">
      <c r="A49" s="6" t="inlineStr">
        <is>
          <t>DSI Growth &amp; Income Fund II</t>
        </is>
      </c>
      <c r="B49" s="5" t="inlineStr">
        <is>
          <t>300422700</t>
        </is>
      </c>
      <c r="C49" s="6" t="inlineStr">
        <is>
          <t>7322 S Carr St</t>
        </is>
      </c>
      <c r="D49" s="5" t="inlineStr">
        <is>
          <t>Jefferson County</t>
        </is>
      </c>
      <c r="E49" s="5" t="inlineStr">
        <is>
          <t>CO</t>
        </is>
      </c>
    </row>
    <row r="50">
      <c r="A50" s="6" t="inlineStr">
        <is>
          <t>Mini U Storage Mississippi Ltd</t>
        </is>
      </c>
      <c r="B50" s="5" t="inlineStr">
        <is>
          <t>032382911</t>
        </is>
      </c>
      <c r="C50" s="6" t="inlineStr">
        <is>
          <t>8600 E Mississippi Ave</t>
        </is>
      </c>
      <c r="D50" s="5" t="inlineStr">
        <is>
          <t>Arapahoe County</t>
        </is>
      </c>
      <c r="E50" s="5" t="inlineStr">
        <is>
          <t>CO</t>
        </is>
      </c>
    </row>
    <row r="51">
      <c r="A51" s="6" t="inlineStr">
        <is>
          <t>DSI Special Situations Fund II</t>
        </is>
      </c>
      <c r="B51" s="5" t="inlineStr">
        <is>
          <t>7424105063</t>
        </is>
      </c>
      <c r="C51" s="6" t="inlineStr">
        <is>
          <t>910 Motor City Dr</t>
        </is>
      </c>
      <c r="D51" s="5" t="inlineStr">
        <is>
          <t>El Paso County</t>
        </is>
      </c>
      <c r="E51" s="5" t="inlineStr">
        <is>
          <t>CO</t>
        </is>
      </c>
    </row>
    <row r="52">
      <c r="A52" s="6" t="inlineStr">
        <is>
          <t>Parker Tech Storage LLC</t>
        </is>
      </c>
      <c r="B52" s="5" t="inlineStr">
        <is>
          <t>R0440975</t>
        </is>
      </c>
      <c r="C52" s="6" t="inlineStr">
        <is>
          <t>18901 Longs Way</t>
        </is>
      </c>
      <c r="D52" s="5" t="inlineStr">
        <is>
          <t>Douglas County</t>
        </is>
      </c>
      <c r="E52" s="5" t="inlineStr">
        <is>
          <t>CO</t>
        </is>
      </c>
    </row>
    <row r="53">
      <c r="A53" s="12" t="inlineStr">
        <is>
          <t>DSI Special Situations Fund B</t>
        </is>
      </c>
      <c r="B53" s="24" t="inlineStr">
        <is>
          <t>0171914201013</t>
        </is>
      </c>
      <c r="C53" s="12" t="inlineStr">
        <is>
          <t>10350 Washington St</t>
        </is>
      </c>
      <c r="D53" s="24" t="inlineStr">
        <is>
          <t>Adams County</t>
        </is>
      </c>
      <c r="E53" s="24" t="inlineStr">
        <is>
          <t>CO</t>
        </is>
      </c>
    </row>
    <row r="55">
      <c r="A55" s="4" t="inlineStr">
        <is>
          <t>Watumull Properties Corp. / WPC portfolio — Exhibit A to the R0092711 letter of authority (Brad Calbert, 6/5/2025; tax years 2025-2026); Adams County parcels shown</t>
        </is>
      </c>
      <c r="B55" s="20" t="n"/>
      <c r="C55" s="20" t="n"/>
      <c r="D55" s="20" t="n"/>
      <c r="E55" s="21" t="n"/>
    </row>
    <row r="56">
      <c r="A56" s="12" t="inlineStr">
        <is>
          <t>WPC 50th LLC</t>
        </is>
      </c>
      <c r="B56" s="24" t="inlineStr">
        <is>
          <t>R0092711 / R0181935</t>
        </is>
      </c>
      <c r="C56" s="12" t="inlineStr">
        <is>
          <t>6701 E. 50th Ave</t>
        </is>
      </c>
      <c r="D56" s="24" t="inlineStr">
        <is>
          <t>Adams County</t>
        </is>
      </c>
      <c r="E56" s="24" t="inlineStr">
        <is>
          <t>CO</t>
        </is>
      </c>
    </row>
    <row r="57">
      <c r="A57" s="6" t="inlineStr">
        <is>
          <t>Watumull Properties Corp. (WPC entity per Exhibit A)</t>
        </is>
      </c>
      <c r="B57" s="5" t="inlineStr">
        <is>
          <t>R0075306</t>
        </is>
      </c>
      <c r="C57" s="6" t="inlineStr">
        <is>
          <t>9500 E. 104th Ave</t>
        </is>
      </c>
      <c r="D57" s="5" t="inlineStr">
        <is>
          <t>Adams County</t>
        </is>
      </c>
      <c r="E57" s="5" t="inlineStr">
        <is>
          <t>CO</t>
        </is>
      </c>
    </row>
    <row r="58">
      <c r="A58" s="6" t="inlineStr">
        <is>
          <t>Watumull Properties Corp. (WPC entity per Exhibit A)</t>
        </is>
      </c>
      <c r="B58" s="5" t="inlineStr">
        <is>
          <t>R0092694</t>
        </is>
      </c>
      <c r="C58" s="6" t="inlineStr">
        <is>
          <t>6100 E. 49th Dr</t>
        </is>
      </c>
      <c r="D58" s="5" t="inlineStr">
        <is>
          <t>Adams County</t>
        </is>
      </c>
      <c r="E58" s="5" t="inlineStr">
        <is>
          <t>CO</t>
        </is>
      </c>
    </row>
    <row r="59">
      <c r="A59" s="6" t="inlineStr">
        <is>
          <t>Watumull Properties Corp. (WPC entity per Exhibit A)</t>
        </is>
      </c>
      <c r="B59" s="5" t="inlineStr">
        <is>
          <t>R0083953</t>
        </is>
      </c>
      <c r="C59" s="6" t="inlineStr">
        <is>
          <t>20901 E. 32nd Pkwy</t>
        </is>
      </c>
      <c r="D59" s="5" t="inlineStr">
        <is>
          <t>Adams County</t>
        </is>
      </c>
      <c r="E59" s="5" t="inlineStr">
        <is>
          <t>CO</t>
        </is>
      </c>
    </row>
    <row r="60">
      <c r="A60" s="6" t="inlineStr">
        <is>
          <t>Watumull Properties Corp. (WPC entity per Exhibit A)</t>
        </is>
      </c>
      <c r="B60" s="5" t="inlineStr">
        <is>
          <t>R0142131</t>
        </is>
      </c>
      <c r="C60" s="6" t="inlineStr">
        <is>
          <t>6800 Broadway St</t>
        </is>
      </c>
      <c r="D60" s="5" t="inlineStr">
        <is>
          <t>Adams County</t>
        </is>
      </c>
      <c r="E60" s="5" t="inlineStr">
        <is>
          <t>CO</t>
        </is>
      </c>
    </row>
    <row r="61">
      <c r="A61" s="6" t="inlineStr">
        <is>
          <t>Watumull Properties Corp. (WPC entity per Exhibit A)</t>
        </is>
      </c>
      <c r="B61" s="5" t="inlineStr">
        <is>
          <t>R0142132</t>
        </is>
      </c>
      <c r="C61" s="6" t="inlineStr">
        <is>
          <t>Vacant Land (Broadway)</t>
        </is>
      </c>
      <c r="D61" s="5" t="inlineStr">
        <is>
          <t>Adams County</t>
        </is>
      </c>
      <c r="E61" s="5" t="inlineStr">
        <is>
          <t>CO</t>
        </is>
      </c>
    </row>
    <row r="62">
      <c r="A62" s="6" t="inlineStr">
        <is>
          <t>Watumull Properties Corp. (WPC entity per Exhibit A)</t>
        </is>
      </c>
      <c r="B62" s="5" t="inlineStr">
        <is>
          <t>R0070624</t>
        </is>
      </c>
      <c r="C62" s="6" t="inlineStr">
        <is>
          <t>460 E. 76th Ave</t>
        </is>
      </c>
      <c r="D62" s="5" t="inlineStr">
        <is>
          <t>Adams County</t>
        </is>
      </c>
      <c r="E62" s="5" t="inlineStr">
        <is>
          <t>CO</t>
        </is>
      </c>
    </row>
    <row r="63">
      <c r="A63" s="6" t="inlineStr">
        <is>
          <t>Watumull Properties Corp. (WPC entity per Exhibit A)</t>
        </is>
      </c>
      <c r="B63" s="5" t="inlineStr">
        <is>
          <t>R0070625</t>
        </is>
      </c>
      <c r="C63" s="6" t="inlineStr">
        <is>
          <t>470 E. 76th Ave</t>
        </is>
      </c>
      <c r="D63" s="5" t="inlineStr">
        <is>
          <t>Adams County</t>
        </is>
      </c>
      <c r="E63" s="5" t="inlineStr">
        <is>
          <t>CO</t>
        </is>
      </c>
    </row>
    <row r="64">
      <c r="A64" s="6" t="inlineStr">
        <is>
          <t>Watumull Properties Corp. (WPC entity per Exhibit A)</t>
        </is>
      </c>
      <c r="B64" s="5" t="inlineStr">
        <is>
          <t>R0070626</t>
        </is>
      </c>
      <c r="C64" s="6" t="inlineStr">
        <is>
          <t>480 E. 76th Ave</t>
        </is>
      </c>
      <c r="D64" s="5" t="inlineStr">
        <is>
          <t>Adams County</t>
        </is>
      </c>
      <c r="E64" s="5" t="inlineStr">
        <is>
          <t>CO</t>
        </is>
      </c>
    </row>
    <row r="65">
      <c r="A65" s="6" t="inlineStr">
        <is>
          <t>Watumull Properties Corp. (WPC entity per Exhibit A)</t>
        </is>
      </c>
      <c r="B65" s="5" t="inlineStr">
        <is>
          <t>R0070627</t>
        </is>
      </c>
      <c r="C65" s="6" t="inlineStr">
        <is>
          <t>490 E. 76th Ave</t>
        </is>
      </c>
      <c r="D65" s="5" t="inlineStr">
        <is>
          <t>Adams County</t>
        </is>
      </c>
      <c r="E65" s="5" t="inlineStr">
        <is>
          <t>CO</t>
        </is>
      </c>
    </row>
    <row r="66">
      <c r="A66" s="6" t="inlineStr">
        <is>
          <t>Watumull Properties Corp. (WPC entity per Exhibit A)</t>
        </is>
      </c>
      <c r="B66" s="5" t="inlineStr">
        <is>
          <t>R0070622</t>
        </is>
      </c>
      <c r="C66" s="6" t="inlineStr">
        <is>
          <t>500 E. 76th Ave</t>
        </is>
      </c>
      <c r="D66" s="5" t="inlineStr">
        <is>
          <t>Adams County</t>
        </is>
      </c>
      <c r="E66" s="5" t="inlineStr">
        <is>
          <t>CO</t>
        </is>
      </c>
    </row>
    <row r="67">
      <c r="A67" s="6" t="inlineStr">
        <is>
          <t>Watumull Properties Corp. (WPC entity per Exhibit A)</t>
        </is>
      </c>
      <c r="B67" s="5" t="inlineStr">
        <is>
          <t>R0070623</t>
        </is>
      </c>
      <c r="C67" s="6" t="inlineStr">
        <is>
          <t>550 E. 76th Ave</t>
        </is>
      </c>
      <c r="D67" s="5" t="inlineStr">
        <is>
          <t>Adams County</t>
        </is>
      </c>
      <c r="E67" s="5" t="inlineStr">
        <is>
          <t>CO</t>
        </is>
      </c>
    </row>
    <row r="68">
      <c r="A68" s="7" t="inlineStr">
        <is>
          <t>Exhibit A also lists ~28 parcels outside Adams County (Arapahoe, Boulder, Denver and Jefferson) across 19 WPC/Watumull entities; only the Adams County schedule is reproduced here. Highlighted row is the subject.</t>
        </is>
      </c>
    </row>
    <row r="70">
      <c r="A70" s="4" t="inlineStr">
        <is>
          <t>Peoria Way Associates LLC — schedule attached to the R0092720 letter of authority (Steven Ganz, Manager, 5/12/2026; tax years 2025-2026 and prior)</t>
        </is>
      </c>
      <c r="B70" s="20" t="n"/>
      <c r="C70" s="20" t="n"/>
      <c r="D70" s="20" t="n"/>
      <c r="E70" s="21" t="n"/>
    </row>
    <row r="71">
      <c r="A71" s="12" t="inlineStr">
        <is>
          <t>Peoria Way Associates LLC</t>
        </is>
      </c>
      <c r="B71" s="24" t="inlineStr">
        <is>
          <t>R0092720 / R0092717</t>
        </is>
      </c>
      <c r="C71" s="12" t="inlineStr">
        <is>
          <t>4950-4970 Olive St</t>
        </is>
      </c>
      <c r="D71" s="24" t="inlineStr">
        <is>
          <t>Adams County</t>
        </is>
      </c>
      <c r="E71" s="24" t="inlineStr">
        <is>
          <t>CO</t>
        </is>
      </c>
    </row>
    <row r="72">
      <c r="A72" s="6" t="inlineStr">
        <is>
          <t>Peoria Way Associates LLC</t>
        </is>
      </c>
      <c r="B72" s="5" t="inlineStr">
        <is>
          <t>R0093018</t>
        </is>
      </c>
      <c r="C72" s="6" t="inlineStr">
        <is>
          <t>3350 Peoria St</t>
        </is>
      </c>
      <c r="D72" s="5" t="inlineStr">
        <is>
          <t>Adams County</t>
        </is>
      </c>
      <c r="E72" s="5" t="inlineStr">
        <is>
          <t>CO</t>
        </is>
      </c>
    </row>
    <row r="73">
      <c r="A73" s="6" t="inlineStr">
        <is>
          <t>Peoria Way Associates LLC</t>
        </is>
      </c>
      <c r="B73" s="5" t="inlineStr">
        <is>
          <t>01234-02-011</t>
        </is>
      </c>
      <c r="C73" s="6" t="inlineStr">
        <is>
          <t>3899 Peoria Way</t>
        </is>
      </c>
      <c r="D73" s="5" t="inlineStr">
        <is>
          <t>Denver County</t>
        </is>
      </c>
      <c r="E73" s="5" t="inlineStr">
        <is>
          <t>CO</t>
        </is>
      </c>
    </row>
    <row r="74">
      <c r="A74" s="6" t="inlineStr">
        <is>
          <t>Peoria Way Associates LLC</t>
        </is>
      </c>
      <c r="B74" s="5" t="inlineStr">
        <is>
          <t>01191-05-014</t>
        </is>
      </c>
      <c r="C74" s="6" t="inlineStr">
        <is>
          <t>4390-4430 Glencoe St</t>
        </is>
      </c>
      <c r="D74" s="5" t="inlineStr">
        <is>
          <t>Denver County</t>
        </is>
      </c>
      <c r="E74" s="5" t="inlineStr">
        <is>
          <t>CO</t>
        </is>
      </c>
    </row>
  </sheetData>
  <autoFilter ref="A4:E74"/>
  <mergeCells count="8">
    <mergeCell ref="A55:E55"/>
    <mergeCell ref="A12:E12"/>
    <mergeCell ref="A43:E43"/>
    <mergeCell ref="A2:E2"/>
    <mergeCell ref="A10:E10"/>
    <mergeCell ref="A68:E68"/>
    <mergeCell ref="A1:E1"/>
    <mergeCell ref="A70:E7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2026-07-30T22:56:27Z</dcterms:created>
  <dcterms:modified xmlns:dcterms="http://purl.org/dc/terms/" xmlns:xsi="http://www.w3.org/2001/XMLSchema-instance" xsi:type="dcterms:W3CDTF">2026-08-05T14:44:44Z</dcterms:modified>
</cp:coreProperties>
</file>