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 &amp; Conclusion" sheetId="1" state="visible" r:id="rId1"/>
    <sheet name="Comparables" sheetId="2" state="visible" r:id="rId2"/>
    <sheet name="Adjustment Grid" sheetId="3" state="visible" r:id="rId3"/>
    <sheet name="Market Conditions" sheetId="4" state="visible" r:id="rId4"/>
    <sheet name="Source Notes" sheetId="5" state="visible" r:id="rId5"/>
  </sheets>
  <definedNames>
    <definedName name="_xlnm._FilterDatabase" localSheetId="1" hidden="1">'Comparables'!$A$4:$AN$12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mm/dd/yyyy"/>
    <numFmt numFmtId="166" formatCode="0.0%"/>
    <numFmt numFmtId="167" formatCode="&quot;$&quot;#,##0.00"/>
    <numFmt numFmtId="168" formatCode="&quot;$&quot;#,##0"/>
    <numFmt numFmtId="169" formatCode="0.0"/>
    <numFmt numFmtId="170" formatCode="&quot;$&quot;#,##0.00;[Red](&quot;$&quot;#,##0.00)"/>
    <numFmt numFmtId="171" formatCode="+0.0%;-0.0%;0.0%"/>
    <numFmt numFmtId="172" formatCode="&quot;$&quot;#,##0&quot;/SF&quot;"/>
    <numFmt numFmtId="173" formatCode="0.000"/>
  </numFmts>
  <fonts count="6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C8A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" fontId="4" fillId="0" borderId="1" pivotButton="0" quotePrefix="0" xfId="0"/>
    <xf numFmtId="173" fontId="4" fillId="0" borderId="1" pivotButton="0" quotePrefix="0" xfId="0"/>
    <xf numFmtId="168" fontId="4" fillId="0" borderId="1" pivotButton="0" quotePrefix="0" xfId="0"/>
    <xf numFmtId="0" fontId="5" fillId="5" borderId="1" pivotButton="0" quotePrefix="0" xfId="0"/>
    <xf numFmtId="168" fontId="5" fillId="5" borderId="1" pivotButton="0" quotePrefix="0" xfId="0"/>
    <xf numFmtId="167" fontId="4" fillId="0" borderId="1" pivotButton="0" quotePrefix="0" xfId="0"/>
    <xf numFmtId="166" fontId="4" fillId="0" borderId="1" pivotButton="0" quotePrefix="0" xfId="0"/>
    <xf numFmtId="167" fontId="5" fillId="5" borderId="1" pivotButton="0" quotePrefix="0" xfId="0"/>
    <xf numFmtId="166" fontId="5" fillId="5" borderId="1" pivotButton="0" quotePrefix="0" xfId="0"/>
    <xf numFmtId="166" fontId="5" fillId="6" borderId="1" pivotButton="0" quotePrefix="0" xfId="0"/>
    <xf numFmtId="168" fontId="5" fillId="6" borderId="1" pivotButton="0" quotePrefix="0" xfId="0"/>
    <xf numFmtId="167" fontId="5" fillId="6" borderId="1" pivotButton="0" quotePrefix="0" xfId="0"/>
    <xf numFmtId="171" fontId="4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167" fontId="4" fillId="0" borderId="1" applyAlignment="1" pivotButton="0" quotePrefix="0" xfId="0">
      <alignment vertical="top"/>
    </xf>
    <xf numFmtId="168" fontId="4" fillId="0" borderId="1" applyAlignment="1" pivotButton="0" quotePrefix="0" xfId="0">
      <alignment vertical="top"/>
    </xf>
    <xf numFmtId="169" fontId="4" fillId="0" borderId="1" applyAlignment="1" pivotButton="0" quotePrefix="0" xfId="0">
      <alignment vertical="top"/>
    </xf>
    <xf numFmtId="2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/>
    </xf>
    <xf numFmtId="3" fontId="4" fillId="4" borderId="1" applyAlignment="1" pivotButton="0" quotePrefix="0" xfId="0">
      <alignment vertical="top"/>
    </xf>
    <xf numFmtId="166" fontId="4" fillId="4" borderId="1" applyAlignment="1" pivotButton="0" quotePrefix="0" xfId="0">
      <alignment vertical="top"/>
    </xf>
    <xf numFmtId="167" fontId="4" fillId="4" borderId="1" applyAlignment="1" pivotButton="0" quotePrefix="0" xfId="0">
      <alignment vertical="top"/>
    </xf>
    <xf numFmtId="168" fontId="4" fillId="4" borderId="1" applyAlignment="1" pivotButton="0" quotePrefix="0" xfId="0">
      <alignment vertical="top"/>
    </xf>
    <xf numFmtId="169" fontId="4" fillId="4" borderId="1" applyAlignment="1" pivotButton="0" quotePrefix="0" xfId="0">
      <alignment vertical="top"/>
    </xf>
    <xf numFmtId="2" fontId="4" fillId="4" borderId="1" applyAlignment="1" pivotButton="0" quotePrefix="0" xfId="0">
      <alignment vertical="top"/>
    </xf>
    <xf numFmtId="0" fontId="5" fillId="0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3" fontId="4" fillId="5" borderId="1" pivotButton="0" quotePrefix="0" xfId="0"/>
    <xf numFmtId="167" fontId="4" fillId="5" borderId="1" pivotButton="0" quotePrefix="0" xfId="0"/>
    <xf numFmtId="169" fontId="4" fillId="5" borderId="1" pivotButton="0" quotePrefix="0" xfId="0"/>
    <xf numFmtId="169" fontId="4" fillId="0" borderId="1" pivotButton="0" quotePrefix="0" xfId="0"/>
    <xf numFmtId="0" fontId="4" fillId="0" borderId="0" pivotButton="0" quotePrefix="0" xfId="0"/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170" fontId="4" fillId="0" borderId="1" applyAlignment="1" pivotButton="0" quotePrefix="0" xfId="0">
      <alignment vertical="center"/>
    </xf>
    <xf numFmtId="171" fontId="4" fillId="0" borderId="1" applyAlignment="1" pivotButton="0" quotePrefix="0" xfId="0">
      <alignment vertical="center"/>
    </xf>
    <xf numFmtId="170" fontId="5" fillId="7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3" fontId="4" fillId="4" borderId="1" applyAlignment="1" pivotButton="0" quotePrefix="0" xfId="0">
      <alignment vertical="center"/>
    </xf>
    <xf numFmtId="165" fontId="4" fillId="4" borderId="1" applyAlignment="1" pivotButton="0" quotePrefix="0" xfId="0">
      <alignment vertical="center"/>
    </xf>
    <xf numFmtId="170" fontId="4" fillId="4" borderId="1" applyAlignment="1" pivotButton="0" quotePrefix="0" xfId="0">
      <alignment vertical="center"/>
    </xf>
    <xf numFmtId="171" fontId="4" fillId="4" borderId="1" applyAlignment="1" pivotButton="0" quotePrefix="0" xfId="0">
      <alignment vertical="center"/>
    </xf>
    <xf numFmtId="3" fontId="5" fillId="5" borderId="1" pivotButton="0" quotePrefix="0" xfId="0"/>
    <xf numFmtId="171" fontId="5" fillId="0" borderId="1" pivotButton="0" quotePrefix="0" xfId="0"/>
    <xf numFmtId="166" fontId="4" fillId="0" borderId="1" applyAlignment="1" pivotButton="0" quotePrefix="0" xfId="0">
      <alignment vertical="center"/>
    </xf>
    <xf numFmtId="167" fontId="4" fillId="0" borderId="1" applyAlignment="1" pivotButton="0" quotePrefix="0" xfId="0">
      <alignment vertical="center"/>
    </xf>
    <xf numFmtId="169" fontId="4" fillId="0" borderId="1" applyAlignment="1" pivotButton="0" quotePrefix="0" xfId="0">
      <alignment vertical="center"/>
    </xf>
    <xf numFmtId="168" fontId="4" fillId="0" borderId="1" applyAlignment="1" pivotButton="0" quotePrefix="0" xfId="0">
      <alignment vertical="center"/>
    </xf>
    <xf numFmtId="172" fontId="4" fillId="0" borderId="1" applyAlignment="1" pivotButton="0" quotePrefix="0" xfId="0">
      <alignment vertical="center"/>
    </xf>
    <xf numFmtId="166" fontId="4" fillId="4" borderId="1" applyAlignment="1" pivotButton="0" quotePrefix="0" xfId="0">
      <alignment vertical="center"/>
    </xf>
    <xf numFmtId="167" fontId="4" fillId="4" borderId="1" applyAlignment="1" pivotButton="0" quotePrefix="0" xfId="0">
      <alignment vertical="center"/>
    </xf>
    <xf numFmtId="169" fontId="4" fillId="4" borderId="1" applyAlignment="1" pivotButton="0" quotePrefix="0" xfId="0">
      <alignment vertical="center"/>
    </xf>
    <xf numFmtId="168" fontId="4" fillId="4" borderId="1" applyAlignment="1" pivotButton="0" quotePrefix="0" xfId="0">
      <alignment vertical="center"/>
    </xf>
    <xf numFmtId="172" fontId="4" fillId="4" borderId="1" applyAlignment="1" pivotButton="0" quotePrefix="0" xfId="0">
      <alignment vertical="center"/>
    </xf>
    <xf numFmtId="10" fontId="4" fillId="0" borderId="1" pivotButton="0" quotePrefix="0" xfId="0"/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SUBJECT PROPERTY &amp; MARKET RENT CONCLUSION</t>
        </is>
      </c>
    </row>
    <row r="2">
      <c r="A2" s="2" t="inlineStr">
        <is>
          <t>Grease Monkey International, LLC  |  1521-1527 Peoria St, Aurora, CO 80010  |  Adams County  |  Assessment Year 2025/2026</t>
        </is>
      </c>
    </row>
    <row r="4" ht="32" customHeight="1">
      <c r="A4" s="3" t="inlineStr">
        <is>
          <t>Subject Property Facts</t>
        </is>
      </c>
      <c r="B4" s="3" t="inlineStr">
        <is>
          <t>Value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4" t="inlineStr">
        <is>
          <t>Client / Owner</t>
        </is>
      </c>
      <c r="B5" s="5" t="inlineStr">
        <is>
          <t>Grease Monkey International, LLC</t>
        </is>
      </c>
    </row>
    <row r="6">
      <c r="A6" s="4" t="inlineStr">
        <is>
          <t>Property Name</t>
        </is>
      </c>
      <c r="B6" s="5" t="inlineStr">
        <is>
          <t>1521-1527 Peoria St</t>
        </is>
      </c>
    </row>
    <row r="7">
      <c r="A7" s="4" t="inlineStr">
        <is>
          <t>Address</t>
        </is>
      </c>
      <c r="B7" s="5" t="inlineStr">
        <is>
          <t>1521-1527 Peoria St, Aurora, CO 80010</t>
        </is>
      </c>
    </row>
    <row r="8">
      <c r="A8" s="4" t="inlineStr">
        <is>
          <t>County</t>
        </is>
      </c>
      <c r="B8" s="5" t="inlineStr">
        <is>
          <t>Adams County</t>
        </is>
      </c>
    </row>
    <row r="9">
      <c r="A9" s="4" t="inlineStr">
        <is>
          <t>Parcel Number</t>
        </is>
      </c>
      <c r="B9" s="5" t="inlineStr">
        <is>
          <t>182335429010</t>
        </is>
      </c>
    </row>
    <row r="10">
      <c r="A10" s="4" t="inlineStr">
        <is>
          <t>Property Type</t>
        </is>
      </c>
      <c r="B10" s="5" t="inlineStr">
        <is>
          <t>Retail - Service Station</t>
        </is>
      </c>
    </row>
    <row r="11">
      <c r="A11" s="4" t="inlineStr">
        <is>
          <t>Net Leasable Area (SF)</t>
        </is>
      </c>
      <c r="B11" s="6" t="n">
        <v>4052</v>
      </c>
    </row>
    <row r="12">
      <c r="A12" s="4" t="inlineStr">
        <is>
          <t>Year of Construction</t>
        </is>
      </c>
      <c r="B12" s="7" t="n">
        <v>1982</v>
      </c>
    </row>
    <row r="13">
      <c r="A13" s="4" t="inlineStr">
        <is>
          <t>Site Size (Acres)</t>
        </is>
      </c>
      <c r="B13" s="8" t="n">
        <v>0.5</v>
      </c>
    </row>
    <row r="14">
      <c r="A14" s="4" t="inlineStr">
        <is>
          <t>Site Size (SF)</t>
        </is>
      </c>
      <c r="B14" s="6" t="n">
        <v>21780</v>
      </c>
    </row>
    <row r="15">
      <c r="A15" s="4" t="inlineStr">
        <is>
          <t>Land-to-Building Ratio</t>
        </is>
      </c>
      <c r="B15" s="5" t="inlineStr">
        <is>
          <t>5.38 : 1</t>
        </is>
      </c>
    </row>
    <row r="16">
      <c r="A16" s="4" t="inlineStr">
        <is>
          <t>Prepared By</t>
        </is>
      </c>
      <c r="B16" s="5" t="inlineStr">
        <is>
          <t>Declan Fassig, Ryan LLC (Agent)</t>
        </is>
      </c>
    </row>
    <row r="18" ht="32" customHeight="1">
      <c r="A18" s="3" t="inlineStr">
        <is>
          <t>Assessment / Value Summary</t>
        </is>
      </c>
      <c r="B18" s="3" t="inlineStr">
        <is>
          <t>2025/2026</t>
        </is>
      </c>
      <c r="C18" s="3" t="inlineStr">
        <is>
          <t>2023/2024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</row>
    <row r="19">
      <c r="A19" s="5" t="inlineStr">
        <is>
          <t>Land Value</t>
        </is>
      </c>
      <c r="B19" s="9" t="n">
        <v>453024</v>
      </c>
      <c r="C19" s="9" t="n">
        <v>383328</v>
      </c>
    </row>
    <row r="20">
      <c r="A20" s="5" t="inlineStr">
        <is>
          <t>Improvement Value</t>
        </is>
      </c>
      <c r="B20" s="9" t="n">
        <v>707317</v>
      </c>
      <c r="C20" s="9" t="n">
        <v>791752</v>
      </c>
    </row>
    <row r="21">
      <c r="A21" s="10" t="inlineStr">
        <is>
          <t>Total Actual Value</t>
        </is>
      </c>
      <c r="B21" s="11" t="n">
        <v>1160341</v>
      </c>
      <c r="C21" s="11" t="n">
        <v>1175080</v>
      </c>
    </row>
    <row r="22">
      <c r="A22" s="5" t="inlineStr">
        <is>
          <t>Total Value PSF</t>
        </is>
      </c>
      <c r="B22" s="12" t="n">
        <v>286.36</v>
      </c>
      <c r="C22" s="12" t="n">
        <v>290</v>
      </c>
    </row>
    <row r="23">
      <c r="A23" s="5" t="inlineStr">
        <is>
          <t>Land Value PSF</t>
        </is>
      </c>
      <c r="B23" s="12" t="n">
        <v>20.8</v>
      </c>
      <c r="C23" s="12" t="n">
        <v>17.6</v>
      </c>
    </row>
    <row r="24">
      <c r="A24" s="5" t="inlineStr">
        <is>
          <t>Value Change from Prior Year</t>
        </is>
      </c>
      <c r="B24" s="13" t="n">
        <v>-0.0125</v>
      </c>
    </row>
    <row r="26" ht="32" customHeight="1">
      <c r="A26" s="3" t="inlineStr">
        <is>
          <t>Taxpayer Proforma Income Analysis (PDF p. 3)</t>
        </is>
      </c>
      <c r="B26" s="3" t="inlineStr">
        <is>
          <t>Annual</t>
        </is>
      </c>
      <c r="C26" s="3" t="inlineStr">
        <is>
          <t>Per SF</t>
        </is>
      </c>
      <c r="D26" s="3" t="inlineStr">
        <is>
          <t>% PGI / % EGI</t>
        </is>
      </c>
      <c r="E26" s="3" t="inlineStr"/>
      <c r="F26" s="3" t="inlineStr"/>
      <c r="G26" s="3" t="inlineStr"/>
      <c r="H26" s="3" t="inlineStr"/>
      <c r="I26" s="3" t="inlineStr"/>
      <c r="J26" s="3" t="inlineStr"/>
    </row>
    <row r="27">
      <c r="A27" s="5" t="inlineStr">
        <is>
          <t>Potential Base Rent</t>
        </is>
      </c>
      <c r="B27" s="9" t="n">
        <v>81040</v>
      </c>
      <c r="C27" s="12" t="n">
        <v>20</v>
      </c>
      <c r="D27" s="13" t="n">
        <v>1</v>
      </c>
    </row>
    <row r="28">
      <c r="A28" s="10" t="inlineStr">
        <is>
          <t>Gross Potential Rent</t>
        </is>
      </c>
      <c r="B28" s="11" t="n">
        <v>81040</v>
      </c>
      <c r="C28" s="14" t="n">
        <v>20</v>
      </c>
      <c r="D28" s="15" t="n">
        <v>1</v>
      </c>
    </row>
    <row r="29">
      <c r="A29" s="5" t="inlineStr">
        <is>
          <t>Less: Vacancy Loss</t>
        </is>
      </c>
      <c r="B29" s="9" t="n">
        <v>-4862</v>
      </c>
      <c r="C29" s="12" t="n">
        <v>-1.2</v>
      </c>
      <c r="D29" s="13" t="n">
        <v>0.06</v>
      </c>
    </row>
    <row r="30">
      <c r="A30" s="10" t="inlineStr">
        <is>
          <t>Effective Gross Income</t>
        </is>
      </c>
      <c r="B30" s="11" t="n">
        <v>76178</v>
      </c>
      <c r="C30" s="14" t="n">
        <v>18.8</v>
      </c>
      <c r="D30" s="15" t="n">
        <v>0.9399999999999999</v>
      </c>
    </row>
    <row r="31">
      <c r="A31" s="5" t="inlineStr">
        <is>
          <t>Less: Total Operating Expenses</t>
        </is>
      </c>
      <c r="B31" s="9" t="n">
        <v>-6094</v>
      </c>
      <c r="C31" s="12" t="n">
        <v>-1.5</v>
      </c>
      <c r="D31" s="13" t="n">
        <v>0.08</v>
      </c>
    </row>
    <row r="32">
      <c r="A32" s="10" t="inlineStr">
        <is>
          <t>NET OPERATING INCOME</t>
        </is>
      </c>
      <c r="B32" s="11" t="n">
        <v>70083</v>
      </c>
      <c r="C32" s="14" t="n">
        <v>17.3</v>
      </c>
      <c r="D32" s="15" t="n">
        <v>0.92</v>
      </c>
    </row>
    <row r="33">
      <c r="A33" s="4" t="inlineStr">
        <is>
          <t>Capitalization Rate</t>
        </is>
      </c>
      <c r="B33" s="16" t="n">
        <v>0.075</v>
      </c>
    </row>
    <row r="34">
      <c r="A34" s="4" t="inlineStr">
        <is>
          <t>Indicated FMV</t>
        </is>
      </c>
      <c r="B34" s="17" t="n">
        <v>934445</v>
      </c>
    </row>
    <row r="35">
      <c r="A35" s="4" t="inlineStr">
        <is>
          <t>Indicated FMV of RE (Rounded)</t>
        </is>
      </c>
      <c r="B35" s="17" t="n">
        <v>934400</v>
      </c>
    </row>
    <row r="36">
      <c r="A36" s="4" t="inlineStr">
        <is>
          <t>Indicated FMV Per SF</t>
        </is>
      </c>
      <c r="B36" s="18" t="n">
        <v>230.6</v>
      </c>
    </row>
    <row r="37">
      <c r="A37" s="2" t="inlineStr">
        <is>
          <t>Note per source: market rent derived using the attached lease comps; cap rate derived from market reports (Denver community retail 7.50%).</t>
        </is>
      </c>
    </row>
    <row r="39" ht="32" customHeight="1">
      <c r="A39" s="3" t="inlineStr">
        <is>
          <t>MARKET RENT CONCLUSION - Comparable Support</t>
        </is>
      </c>
      <c r="B39" s="3" t="inlineStr">
        <is>
          <t>Rent $/SF (NNN)</t>
        </is>
      </c>
      <c r="C39" s="3" t="inlineStr">
        <is>
          <t>Indication vs. Subject $20.00/SF</t>
        </is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</row>
    <row r="40">
      <c r="A40" s="5" t="inlineStr">
        <is>
          <t>Raw asking rent - 8 comps (average)</t>
        </is>
      </c>
      <c r="B40" s="12">
        <f>Comparables!S17</f>
        <v/>
      </c>
      <c r="C40" s="19">
        <f>IF(B40=0,"",B40/20-1)</f>
        <v/>
      </c>
    </row>
    <row r="41">
      <c r="A41" s="5" t="inlineStr">
        <is>
          <t>Raw asking rent - 8 comps (median)</t>
        </is>
      </c>
      <c r="B41" s="12">
        <f>Comparables!T17</f>
        <v/>
      </c>
      <c r="C41" s="19">
        <f>IF(B41=0,"",B41/20-1)</f>
        <v/>
      </c>
    </row>
    <row r="42">
      <c r="A42" s="4" t="inlineStr">
        <is>
          <t>Adjusted NNN market rent - average of 8 comps</t>
        </is>
      </c>
      <c r="B42" s="18">
        <f>'Adjustment Grid'!N23</f>
        <v/>
      </c>
      <c r="C42" s="19">
        <f>IF(B42=0,"",B42/20-1)</f>
        <v/>
      </c>
    </row>
    <row r="43">
      <c r="A43" s="4" t="inlineStr">
        <is>
          <t>Adjusted NNN market rent - median of 8 comps</t>
        </is>
      </c>
      <c r="B43" s="18">
        <f>'Adjustment Grid'!N24</f>
        <v/>
      </c>
      <c r="C43" s="19">
        <f>IF(B43=0,"",B43/20-1)</f>
        <v/>
      </c>
    </row>
    <row r="44">
      <c r="A44" s="4" t="inlineStr">
        <is>
          <t>Subject proforma base rent (as filed)</t>
        </is>
      </c>
      <c r="B44" s="18" t="n">
        <v>20</v>
      </c>
      <c r="C44" s="20" t="n"/>
    </row>
    <row r="46">
      <c r="A46" s="2" t="inlineStr">
        <is>
          <t>Source: Grease Monkey International, LLC - 1521-1527 Peoria St - CO Property Tax 2025/2026 Analysis (Ryan, LLC / CoStar), PDF pp. 11-27.</t>
        </is>
      </c>
    </row>
    <row r="47">
      <c r="A47" s="2" t="inlineStr">
        <is>
          <t>Cells shown as formulas populate on open in Excel / Google Sheets.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26" customWidth="1" min="3" max="3"/>
    <col width="10" customWidth="1" min="4" max="4"/>
    <col width="8" customWidth="1" min="5" max="5"/>
    <col width="11" customWidth="1" min="6" max="6"/>
    <col width="12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  <col width="12" customWidth="1" min="16" max="16"/>
    <col width="12" customWidth="1" min="17" max="17"/>
    <col width="13" customWidth="1" min="18" max="18"/>
    <col width="11" customWidth="1" min="19" max="19"/>
    <col width="10" customWidth="1" min="20" max="20"/>
    <col width="12" customWidth="1" min="21" max="21"/>
    <col width="13" customWidth="1" min="22" max="22"/>
    <col width="9" customWidth="1" min="23" max="23"/>
    <col width="12" customWidth="1" min="24" max="24"/>
    <col width="26" customWidth="1" min="25" max="25"/>
    <col width="24" customWidth="1" min="26" max="26"/>
    <col width="34" customWidth="1" min="27" max="27"/>
    <col width="8" customWidth="1" min="28" max="28"/>
    <col width="12" customWidth="1" min="29" max="29"/>
    <col width="13" customWidth="1" min="30" max="30"/>
    <col width="13" customWidth="1" min="31" max="31"/>
    <col width="10" customWidth="1" min="32" max="32"/>
    <col width="11" customWidth="1" min="33" max="33"/>
    <col width="9" customWidth="1" min="34" max="34"/>
    <col width="13" customWidth="1" min="35" max="35"/>
    <col width="11" customWidth="1" min="36" max="36"/>
    <col width="26" customWidth="1" min="37" max="37"/>
    <col width="11" customWidth="1" min="38" max="38"/>
    <col width="11" customWidth="1" min="39" max="39"/>
    <col width="12" customWidth="1" min="40" max="40"/>
  </cols>
  <sheetData>
    <row r="1" ht="22" customHeight="1">
      <c r="A1" s="1" t="inlineStr">
        <is>
          <t>LEASE COMPARABLES - EXTRACTED DETAIL</t>
        </is>
      </c>
    </row>
    <row r="2">
      <c r="A2" s="2" t="inlineStr">
        <is>
          <t>8 retail lease transactions, Aurora CO (CoStar via Ryan, LLC). Signed June 2022 - February 2024.</t>
        </is>
      </c>
    </row>
    <row r="4" ht="32" customHeight="1">
      <c r="A4" s="3" t="inlineStr">
        <is>
          <t>Comp #</t>
        </is>
      </c>
      <c r="B4" s="3" t="inlineStr">
        <is>
          <t>Property Name</t>
        </is>
      </c>
      <c r="C4" s="3" t="inlineStr">
        <is>
          <t>Address</t>
        </is>
      </c>
      <c r="D4" s="3" t="inlineStr">
        <is>
          <t>City</t>
        </is>
      </c>
      <c r="E4" s="3" t="inlineStr">
        <is>
          <t>ZIP</t>
        </is>
      </c>
      <c r="F4" s="3" t="inlineStr">
        <is>
          <t>Submarket</t>
        </is>
      </c>
      <c r="G4" s="3" t="inlineStr">
        <is>
          <t>Sign Date</t>
        </is>
      </c>
      <c r="H4" s="3" t="inlineStr">
        <is>
          <t>Commencement</t>
        </is>
      </c>
      <c r="I4" s="3" t="inlineStr">
        <is>
          <t>Deal Type</t>
        </is>
      </c>
      <c r="J4" s="3" t="inlineStr">
        <is>
          <t>Lease Type</t>
        </is>
      </c>
      <c r="K4" s="3" t="inlineStr">
        <is>
          <t>Space Use</t>
        </is>
      </c>
      <c r="L4" s="3" t="inlineStr">
        <is>
          <t>SF Leased</t>
        </is>
      </c>
      <c r="M4" s="3" t="inlineStr">
        <is>
          <t>% of Building</t>
        </is>
      </c>
      <c r="N4" s="3" t="inlineStr">
        <is>
          <t>Rent Basis</t>
        </is>
      </c>
      <c r="O4" s="3" t="inlineStr">
        <is>
          <t>Asking Rent $/SF</t>
        </is>
      </c>
      <c r="P4" s="3" t="inlineStr">
        <is>
          <t>Starting Rent $/SF</t>
        </is>
      </c>
      <c r="Q4" s="3" t="inlineStr">
        <is>
          <t>Rent $/SF Used</t>
        </is>
      </c>
      <c r="R4" s="3" t="inlineStr">
        <is>
          <t>Annual Rent $</t>
        </is>
      </c>
      <c r="S4" s="3" t="inlineStr">
        <is>
          <t>Service Type</t>
        </is>
      </c>
      <c r="T4" s="3" t="inlineStr">
        <is>
          <t>CAM $/SF</t>
        </is>
      </c>
      <c r="U4" s="3" t="inlineStr">
        <is>
          <t>CAM Annual $</t>
        </is>
      </c>
      <c r="V4" s="3" t="inlineStr">
        <is>
          <t>Gross-Equiv. $/SF</t>
        </is>
      </c>
      <c r="W4" s="3" t="inlineStr">
        <is>
          <t>Term (Yrs)</t>
        </is>
      </c>
      <c r="X4" s="3" t="inlineStr">
        <is>
          <t>Expiration</t>
        </is>
      </c>
      <c r="Y4" s="3" t="inlineStr">
        <is>
          <t>Tenant</t>
        </is>
      </c>
      <c r="Z4" s="3" t="inlineStr">
        <is>
          <t>Landlord</t>
        </is>
      </c>
      <c r="AA4" s="3" t="inlineStr">
        <is>
          <t>Leasing Company</t>
        </is>
      </c>
      <c r="AB4" s="3" t="inlineStr">
        <is>
          <t>Bldg Class</t>
        </is>
      </c>
      <c r="AC4" s="3" t="inlineStr">
        <is>
          <t>Built / Renov.</t>
        </is>
      </c>
      <c r="AD4" s="3" t="inlineStr">
        <is>
          <t>Bldg Size (SF)</t>
        </is>
      </c>
      <c r="AE4" s="3" t="inlineStr">
        <is>
          <t>Land Area (SF)</t>
        </is>
      </c>
      <c r="AF4" s="3" t="inlineStr">
        <is>
          <t>Land (AC)</t>
        </is>
      </c>
      <c r="AG4" s="3" t="inlineStr">
        <is>
          <t>Bldg Type</t>
        </is>
      </c>
      <c r="AH4" s="3" t="inlineStr">
        <is>
          <t>Tenancy</t>
        </is>
      </c>
      <c r="AI4" s="3" t="inlineStr">
        <is>
          <t>Space Position</t>
        </is>
      </c>
      <c r="AJ4" s="3" t="inlineStr">
        <is>
          <t>Condition</t>
        </is>
      </c>
      <c r="AK4" s="3" t="inlineStr">
        <is>
          <t>Build-Out</t>
        </is>
      </c>
      <c r="AL4" s="3" t="inlineStr">
        <is>
          <t>Months on Market</t>
        </is>
      </c>
      <c r="AM4" s="3" t="inlineStr">
        <is>
          <t>Months Vacant</t>
        </is>
      </c>
      <c r="AN4" s="3" t="inlineStr">
        <is>
          <t>Source Pages</t>
        </is>
      </c>
    </row>
    <row r="5">
      <c r="A5" s="21" t="n">
        <v>1</v>
      </c>
      <c r="B5" s="22" t="inlineStr">
        <is>
          <t>Century Square Shopping Center</t>
        </is>
      </c>
      <c r="C5" s="22" t="inlineStr">
        <is>
          <t>10300-10498 E Colfax Ave</t>
        </is>
      </c>
      <c r="D5" s="21" t="inlineStr">
        <is>
          <t>Aurora</t>
        </is>
      </c>
      <c r="E5" s="21" t="inlineStr">
        <is>
          <t>80010</t>
        </is>
      </c>
      <c r="F5" s="21" t="inlineStr">
        <is>
          <t>Central</t>
        </is>
      </c>
      <c r="G5" s="23" t="n">
        <v>45329</v>
      </c>
      <c r="H5" s="23" t="n">
        <v>45359</v>
      </c>
      <c r="I5" s="21" t="inlineStr">
        <is>
          <t>Direct</t>
        </is>
      </c>
      <c r="J5" s="21" t="inlineStr">
        <is>
          <t>New Lease</t>
        </is>
      </c>
      <c r="K5" s="21" t="inlineStr">
        <is>
          <t>Retail</t>
        </is>
      </c>
      <c r="L5" s="24" t="n">
        <v>1285</v>
      </c>
      <c r="M5" s="25" t="n">
        <v>0.117</v>
      </c>
      <c r="N5" s="21" t="inlineStr">
        <is>
          <t>Asking</t>
        </is>
      </c>
      <c r="O5" s="26" t="n">
        <v>30</v>
      </c>
      <c r="P5" s="26" t="n"/>
      <c r="Q5" s="26" t="n">
        <v>30</v>
      </c>
      <c r="R5" s="27" t="n">
        <v>38550</v>
      </c>
      <c r="S5" s="21" t="inlineStr">
        <is>
          <t>NNN</t>
        </is>
      </c>
      <c r="T5" s="26" t="n">
        <v>7</v>
      </c>
      <c r="U5" s="27" t="n">
        <v>8995</v>
      </c>
      <c r="V5" s="26" t="n">
        <v>37</v>
      </c>
      <c r="W5" s="28" t="n"/>
      <c r="X5" s="23" t="n"/>
      <c r="Y5" s="22" t="n"/>
      <c r="Z5" s="22" t="inlineStr">
        <is>
          <t>The Daniel Group</t>
        </is>
      </c>
      <c r="AA5" s="22" t="inlineStr">
        <is>
          <t>Daniel Group Ltd The</t>
        </is>
      </c>
      <c r="AB5" s="21" t="inlineStr">
        <is>
          <t>C</t>
        </is>
      </c>
      <c r="AC5" s="21" t="inlineStr">
        <is>
          <t>1985/2008</t>
        </is>
      </c>
      <c r="AD5" s="24" t="n">
        <v>10943</v>
      </c>
      <c r="AE5" s="24" t="n">
        <v>41818</v>
      </c>
      <c r="AF5" s="29" t="n">
        <v>0.96</v>
      </c>
      <c r="AG5" s="21" t="inlineStr">
        <is>
          <t>Storefront</t>
        </is>
      </c>
      <c r="AH5" s="21" t="inlineStr">
        <is>
          <t>Multi</t>
        </is>
      </c>
      <c r="AI5" s="21" t="inlineStr">
        <is>
          <t>Outparcel</t>
        </is>
      </c>
      <c r="AJ5" s="21" t="inlineStr">
        <is>
          <t>Excellent</t>
        </is>
      </c>
      <c r="AK5" s="22" t="inlineStr">
        <is>
          <t>Shell Space</t>
        </is>
      </c>
      <c r="AL5" s="28" t="n">
        <v>20</v>
      </c>
      <c r="AM5" s="28" t="n">
        <v>21</v>
      </c>
      <c r="AN5" s="21" t="inlineStr">
        <is>
          <t>13-14</t>
        </is>
      </c>
    </row>
    <row r="6">
      <c r="A6" s="30" t="n">
        <v>2</v>
      </c>
      <c r="B6" s="31" t="inlineStr">
        <is>
          <t>Hoffman Heights Shopping Center</t>
        </is>
      </c>
      <c r="C6" s="31" t="inlineStr">
        <is>
          <t>710-750 Peoria St</t>
        </is>
      </c>
      <c r="D6" s="30" t="inlineStr">
        <is>
          <t>Aurora</t>
        </is>
      </c>
      <c r="E6" s="30" t="inlineStr">
        <is>
          <t>80011</t>
        </is>
      </c>
      <c r="F6" s="30" t="inlineStr">
        <is>
          <t>Aurora</t>
        </is>
      </c>
      <c r="G6" s="32" t="n">
        <v>45244</v>
      </c>
      <c r="H6" s="32" t="n">
        <v>45274</v>
      </c>
      <c r="I6" s="30" t="inlineStr">
        <is>
          <t>Sublet</t>
        </is>
      </c>
      <c r="J6" s="30" t="inlineStr">
        <is>
          <t>New Lease</t>
        </is>
      </c>
      <c r="K6" s="30" t="inlineStr">
        <is>
          <t>Retail</t>
        </is>
      </c>
      <c r="L6" s="33" t="n">
        <v>3750</v>
      </c>
      <c r="M6" s="34" t="n">
        <v>0.052</v>
      </c>
      <c r="N6" s="30" t="inlineStr">
        <is>
          <t>Asking</t>
        </is>
      </c>
      <c r="O6" s="35" t="n">
        <v>15</v>
      </c>
      <c r="P6" s="35" t="n"/>
      <c r="Q6" s="35" t="n">
        <v>15</v>
      </c>
      <c r="R6" s="36" t="n">
        <v>56250</v>
      </c>
      <c r="S6" s="30" t="inlineStr">
        <is>
          <t>NNN</t>
        </is>
      </c>
      <c r="T6" s="35" t="n">
        <v>5.95</v>
      </c>
      <c r="U6" s="36" t="n">
        <v>22313</v>
      </c>
      <c r="V6" s="35" t="n">
        <v>20.95</v>
      </c>
      <c r="W6" s="37" t="n"/>
      <c r="X6" s="32" t="n"/>
      <c r="Y6" s="31" t="n"/>
      <c r="Z6" s="31" t="inlineStr">
        <is>
          <t>Goodman Realty Group</t>
        </is>
      </c>
      <c r="AA6" s="31" t="inlineStr">
        <is>
          <t>Antonoff &amp; Company / Fairbairn Commercial</t>
        </is>
      </c>
      <c r="AB6" s="30" t="inlineStr">
        <is>
          <t>B</t>
        </is>
      </c>
      <c r="AC6" s="30" t="inlineStr">
        <is>
          <t>1960/1995</t>
        </is>
      </c>
      <c r="AD6" s="33" t="n">
        <v>71692</v>
      </c>
      <c r="AE6" s="33" t="n">
        <v>566280</v>
      </c>
      <c r="AF6" s="38" t="n">
        <v>13</v>
      </c>
      <c r="AG6" s="30" t="inlineStr">
        <is>
          <t>Storefront</t>
        </is>
      </c>
      <c r="AH6" s="30" t="inlineStr">
        <is>
          <t>Multi</t>
        </is>
      </c>
      <c r="AI6" s="30" t="n"/>
      <c r="AJ6" s="30" t="n"/>
      <c r="AK6" s="31" t="n"/>
      <c r="AL6" s="37" t="n">
        <v>6.4</v>
      </c>
      <c r="AM6" s="37" t="n">
        <v>7.4</v>
      </c>
      <c r="AN6" s="30" t="inlineStr">
        <is>
          <t>15-16</t>
        </is>
      </c>
    </row>
    <row r="7">
      <c r="A7" s="21" t="n">
        <v>3</v>
      </c>
      <c r="B7" s="22" t="inlineStr">
        <is>
          <t>Hoffman Heights Shopping Center</t>
        </is>
      </c>
      <c r="C7" s="22" t="inlineStr">
        <is>
          <t>710-750 Peoria St</t>
        </is>
      </c>
      <c r="D7" s="21" t="inlineStr">
        <is>
          <t>Aurora</t>
        </is>
      </c>
      <c r="E7" s="21" t="inlineStr">
        <is>
          <t>80011</t>
        </is>
      </c>
      <c r="F7" s="21" t="inlineStr">
        <is>
          <t>Aurora</t>
        </is>
      </c>
      <c r="G7" s="23" t="n">
        <v>45244</v>
      </c>
      <c r="H7" s="23" t="n">
        <v>45274</v>
      </c>
      <c r="I7" s="21" t="inlineStr">
        <is>
          <t>Sublet</t>
        </is>
      </c>
      <c r="J7" s="21" t="inlineStr">
        <is>
          <t>New Lease</t>
        </is>
      </c>
      <c r="K7" s="21" t="inlineStr">
        <is>
          <t>Retail</t>
        </is>
      </c>
      <c r="L7" s="24" t="n">
        <v>1100</v>
      </c>
      <c r="M7" s="25" t="n">
        <v>0.015</v>
      </c>
      <c r="N7" s="21" t="inlineStr">
        <is>
          <t>Asking</t>
        </is>
      </c>
      <c r="O7" s="26" t="n">
        <v>25</v>
      </c>
      <c r="P7" s="26" t="n"/>
      <c r="Q7" s="26" t="n">
        <v>25</v>
      </c>
      <c r="R7" s="27" t="n">
        <v>27500</v>
      </c>
      <c r="S7" s="21" t="inlineStr">
        <is>
          <t>NNN</t>
        </is>
      </c>
      <c r="T7" s="26" t="n">
        <v>5.95</v>
      </c>
      <c r="U7" s="27" t="n">
        <v>6545</v>
      </c>
      <c r="V7" s="26" t="n">
        <v>30.95</v>
      </c>
      <c r="W7" s="28" t="n"/>
      <c r="X7" s="23" t="n"/>
      <c r="Y7" s="22" t="n"/>
      <c r="Z7" s="22" t="inlineStr">
        <is>
          <t>Goodman Realty Group</t>
        </is>
      </c>
      <c r="AA7" s="22" t="inlineStr">
        <is>
          <t>Antonoff &amp; Company / Fairbairn Commercial</t>
        </is>
      </c>
      <c r="AB7" s="21" t="inlineStr">
        <is>
          <t>B</t>
        </is>
      </c>
      <c r="AC7" s="21" t="inlineStr">
        <is>
          <t>1960/1995</t>
        </is>
      </c>
      <c r="AD7" s="24" t="n">
        <v>71692</v>
      </c>
      <c r="AE7" s="24" t="n">
        <v>566280</v>
      </c>
      <c r="AF7" s="29" t="n">
        <v>13</v>
      </c>
      <c r="AG7" s="21" t="inlineStr">
        <is>
          <t>Storefront</t>
        </is>
      </c>
      <c r="AH7" s="21" t="inlineStr">
        <is>
          <t>Multi</t>
        </is>
      </c>
      <c r="AI7" s="21" t="inlineStr">
        <is>
          <t>End Cap</t>
        </is>
      </c>
      <c r="AJ7" s="21" t="n"/>
      <c r="AK7" s="22" t="n"/>
      <c r="AL7" s="28" t="n">
        <v>6.1</v>
      </c>
      <c r="AM7" s="28" t="n">
        <v>1.4</v>
      </c>
      <c r="AN7" s="21" t="inlineStr">
        <is>
          <t>17-18</t>
        </is>
      </c>
    </row>
    <row r="8">
      <c r="A8" s="30" t="n">
        <v>4</v>
      </c>
      <c r="B8" s="31" t="inlineStr">
        <is>
          <t>10690 Del Mar Pky</t>
        </is>
      </c>
      <c r="C8" s="31" t="inlineStr">
        <is>
          <t>10690 Del Mar Pky</t>
        </is>
      </c>
      <c r="D8" s="30" t="inlineStr">
        <is>
          <t>Aurora</t>
        </is>
      </c>
      <c r="E8" s="30" t="inlineStr">
        <is>
          <t>80010</t>
        </is>
      </c>
      <c r="F8" s="30" t="inlineStr">
        <is>
          <t>Aurora</t>
        </is>
      </c>
      <c r="G8" s="32" t="n">
        <v>45035</v>
      </c>
      <c r="H8" s="32" t="n">
        <v>45035</v>
      </c>
      <c r="I8" s="30" t="inlineStr">
        <is>
          <t>Direct</t>
        </is>
      </c>
      <c r="J8" s="30" t="inlineStr">
        <is>
          <t>New Lease</t>
        </is>
      </c>
      <c r="K8" s="30" t="inlineStr">
        <is>
          <t>Retail</t>
        </is>
      </c>
      <c r="L8" s="33" t="n">
        <v>4250</v>
      </c>
      <c r="M8" s="34" t="n">
        <v>0.113</v>
      </c>
      <c r="N8" s="30" t="inlineStr">
        <is>
          <t>Starting</t>
        </is>
      </c>
      <c r="O8" s="35" t="n">
        <v>15</v>
      </c>
      <c r="P8" s="35" t="n">
        <v>15</v>
      </c>
      <c r="Q8" s="35" t="n">
        <v>15</v>
      </c>
      <c r="R8" s="36" t="n">
        <v>63750</v>
      </c>
      <c r="S8" s="30" t="inlineStr">
        <is>
          <t>NNN</t>
        </is>
      </c>
      <c r="T8" s="35" t="n"/>
      <c r="U8" s="36" t="n"/>
      <c r="V8" s="35" t="n">
        <v>15</v>
      </c>
      <c r="W8" s="37" t="n">
        <v>10</v>
      </c>
      <c r="X8" s="32" t="n">
        <v>48688</v>
      </c>
      <c r="Y8" s="31" t="inlineStr">
        <is>
          <t>Community Medical Services</t>
        </is>
      </c>
      <c r="Z8" s="31" t="inlineStr">
        <is>
          <t>Excell Fund Brokerage</t>
        </is>
      </c>
      <c r="AA8" s="31" t="inlineStr">
        <is>
          <t>Excell Fund Brokerage (Cresa - tenant rep)</t>
        </is>
      </c>
      <c r="AB8" s="30" t="inlineStr">
        <is>
          <t>C</t>
        </is>
      </c>
      <c r="AC8" s="30" t="inlineStr">
        <is>
          <t>1960</t>
        </is>
      </c>
      <c r="AD8" s="33" t="n">
        <v>37500</v>
      </c>
      <c r="AE8" s="33" t="n">
        <v>149628</v>
      </c>
      <c r="AF8" s="38" t="n">
        <v>3.43</v>
      </c>
      <c r="AG8" s="30" t="inlineStr">
        <is>
          <t>Retail</t>
        </is>
      </c>
      <c r="AH8" s="30" t="inlineStr">
        <is>
          <t>Multi</t>
        </is>
      </c>
      <c r="AI8" s="30" t="inlineStr">
        <is>
          <t>In-Line</t>
        </is>
      </c>
      <c r="AJ8" s="30" t="inlineStr">
        <is>
          <t>Average</t>
        </is>
      </c>
      <c r="AK8" s="31" t="inlineStr">
        <is>
          <t>Full Standard Retail Build-Out</t>
        </is>
      </c>
      <c r="AL8" s="37" t="n">
        <v>3.3</v>
      </c>
      <c r="AM8" s="37" t="n">
        <v>2.6</v>
      </c>
      <c r="AN8" s="30" t="inlineStr">
        <is>
          <t>19-20</t>
        </is>
      </c>
    </row>
    <row r="9">
      <c r="A9" s="21" t="n">
        <v>5</v>
      </c>
      <c r="B9" s="22" t="inlineStr">
        <is>
          <t>Hoffman Heights Shopping Center</t>
        </is>
      </c>
      <c r="C9" s="22" t="inlineStr">
        <is>
          <t>710-750 Peoria St</t>
        </is>
      </c>
      <c r="D9" s="21" t="inlineStr">
        <is>
          <t>Aurora</t>
        </is>
      </c>
      <c r="E9" s="21" t="inlineStr">
        <is>
          <t>80011</t>
        </is>
      </c>
      <c r="F9" s="21" t="inlineStr">
        <is>
          <t>Aurora</t>
        </is>
      </c>
      <c r="G9" s="23" t="n">
        <v>45015</v>
      </c>
      <c r="H9" s="23" t="n">
        <v>45017</v>
      </c>
      <c r="I9" s="21" t="inlineStr">
        <is>
          <t>Sublet</t>
        </is>
      </c>
      <c r="J9" s="21" t="inlineStr">
        <is>
          <t>New Lease</t>
        </is>
      </c>
      <c r="K9" s="21" t="inlineStr">
        <is>
          <t>Retail</t>
        </is>
      </c>
      <c r="L9" s="24" t="n">
        <v>3750</v>
      </c>
      <c r="M9" s="25" t="n">
        <v>0.052</v>
      </c>
      <c r="N9" s="21" t="inlineStr">
        <is>
          <t>Asking</t>
        </is>
      </c>
      <c r="O9" s="26" t="n">
        <v>15</v>
      </c>
      <c r="P9" s="26" t="n"/>
      <c r="Q9" s="26" t="n">
        <v>15</v>
      </c>
      <c r="R9" s="27" t="n">
        <v>56250</v>
      </c>
      <c r="S9" s="21" t="inlineStr">
        <is>
          <t>NNN</t>
        </is>
      </c>
      <c r="T9" s="26" t="n">
        <v>5.42</v>
      </c>
      <c r="U9" s="27" t="n">
        <v>20325</v>
      </c>
      <c r="V9" s="26" t="n">
        <v>20.42</v>
      </c>
      <c r="W9" s="28" t="n"/>
      <c r="X9" s="23" t="n"/>
      <c r="Y9" s="22" t="n"/>
      <c r="Z9" s="22" t="inlineStr">
        <is>
          <t>Goodman Realty Group</t>
        </is>
      </c>
      <c r="AA9" s="22" t="inlineStr">
        <is>
          <t>Antonoff &amp; Company / Fairbairn Commercial</t>
        </is>
      </c>
      <c r="AB9" s="21" t="inlineStr">
        <is>
          <t>B</t>
        </is>
      </c>
      <c r="AC9" s="21" t="inlineStr">
        <is>
          <t>1960/1995</t>
        </is>
      </c>
      <c r="AD9" s="24" t="n">
        <v>71692</v>
      </c>
      <c r="AE9" s="24" t="n">
        <v>566280</v>
      </c>
      <c r="AF9" s="29" t="n">
        <v>13</v>
      </c>
      <c r="AG9" s="21" t="inlineStr">
        <is>
          <t>Storefront</t>
        </is>
      </c>
      <c r="AH9" s="21" t="inlineStr">
        <is>
          <t>Multi</t>
        </is>
      </c>
      <c r="AI9" s="21" t="n"/>
      <c r="AJ9" s="21" t="n"/>
      <c r="AK9" s="22" t="n"/>
      <c r="AL9" s="28" t="n">
        <v>6.5</v>
      </c>
      <c r="AM9" s="28" t="n">
        <v>3</v>
      </c>
      <c r="AN9" s="21" t="inlineStr">
        <is>
          <t>21-22</t>
        </is>
      </c>
    </row>
    <row r="10">
      <c r="A10" s="30" t="n">
        <v>6</v>
      </c>
      <c r="B10" s="31" t="inlineStr">
        <is>
          <t>Hoffman Heights Shopping Center</t>
        </is>
      </c>
      <c r="C10" s="31" t="inlineStr">
        <is>
          <t>710-750 Peoria St</t>
        </is>
      </c>
      <c r="D10" s="30" t="inlineStr">
        <is>
          <t>Aurora</t>
        </is>
      </c>
      <c r="E10" s="30" t="inlineStr">
        <is>
          <t>80011</t>
        </is>
      </c>
      <c r="F10" s="30" t="inlineStr">
        <is>
          <t>Aurora</t>
        </is>
      </c>
      <c r="G10" s="32" t="n">
        <v>45005</v>
      </c>
      <c r="H10" s="32" t="n">
        <v>45017</v>
      </c>
      <c r="I10" s="30" t="inlineStr">
        <is>
          <t>Sublet</t>
        </is>
      </c>
      <c r="J10" s="30" t="inlineStr">
        <is>
          <t>New Lease</t>
        </is>
      </c>
      <c r="K10" s="30" t="inlineStr">
        <is>
          <t>Retail</t>
        </is>
      </c>
      <c r="L10" s="33" t="n">
        <v>3840</v>
      </c>
      <c r="M10" s="34" t="n">
        <v>0.054</v>
      </c>
      <c r="N10" s="30" t="inlineStr">
        <is>
          <t>Starting</t>
        </is>
      </c>
      <c r="O10" s="35" t="n">
        <v>15</v>
      </c>
      <c r="P10" s="35" t="n">
        <v>12.5</v>
      </c>
      <c r="Q10" s="35" t="n">
        <v>12.5</v>
      </c>
      <c r="R10" s="36" t="n">
        <v>48000</v>
      </c>
      <c r="S10" s="30" t="inlineStr">
        <is>
          <t>NNN</t>
        </is>
      </c>
      <c r="T10" s="35" t="n"/>
      <c r="U10" s="36" t="n"/>
      <c r="V10" s="35" t="n">
        <v>12.5</v>
      </c>
      <c r="W10" s="37" t="n">
        <v>5</v>
      </c>
      <c r="X10" s="32" t="n">
        <v>46844</v>
      </c>
      <c r="Y10" s="31" t="inlineStr">
        <is>
          <t>Comunidad Latino LLC</t>
        </is>
      </c>
      <c r="Z10" s="31" t="inlineStr">
        <is>
          <t>Goodman Realty Group</t>
        </is>
      </c>
      <c r="AA10" s="31" t="inlineStr">
        <is>
          <t>Antonoff &amp; Company / Fairbairn (HomeSmart - tenant rep)</t>
        </is>
      </c>
      <c r="AB10" s="30" t="inlineStr">
        <is>
          <t>B</t>
        </is>
      </c>
      <c r="AC10" s="30" t="inlineStr">
        <is>
          <t>1960/1995</t>
        </is>
      </c>
      <c r="AD10" s="33" t="n">
        <v>71692</v>
      </c>
      <c r="AE10" s="33" t="n">
        <v>566280</v>
      </c>
      <c r="AF10" s="38" t="n">
        <v>13</v>
      </c>
      <c r="AG10" s="30" t="inlineStr">
        <is>
          <t>Storefront</t>
        </is>
      </c>
      <c r="AH10" s="30" t="inlineStr">
        <is>
          <t>Multi</t>
        </is>
      </c>
      <c r="AI10" s="30" t="n"/>
      <c r="AJ10" s="30" t="n"/>
      <c r="AK10" s="31" t="n"/>
      <c r="AL10" s="37" t="n">
        <v>6.7</v>
      </c>
      <c r="AM10" s="37" t="n"/>
      <c r="AN10" s="30" t="inlineStr">
        <is>
          <t>23-24</t>
        </is>
      </c>
    </row>
    <row r="11">
      <c r="A11" s="21" t="n">
        <v>7</v>
      </c>
      <c r="B11" s="22" t="inlineStr">
        <is>
          <t>Bank of the West</t>
        </is>
      </c>
      <c r="C11" s="22" t="inlineStr">
        <is>
          <t>10401 E Colfax Ave</t>
        </is>
      </c>
      <c r="D11" s="21" t="inlineStr">
        <is>
          <t>Aurora</t>
        </is>
      </c>
      <c r="E11" s="21" t="inlineStr">
        <is>
          <t>80010</t>
        </is>
      </c>
      <c r="F11" s="21" t="inlineStr">
        <is>
          <t>Aurora</t>
        </is>
      </c>
      <c r="G11" s="23" t="n">
        <v>44789</v>
      </c>
      <c r="H11" s="23" t="n">
        <v>44805</v>
      </c>
      <c r="I11" s="21" t="inlineStr">
        <is>
          <t>Direct</t>
        </is>
      </c>
      <c r="J11" s="21" t="inlineStr">
        <is>
          <t>New Lease</t>
        </is>
      </c>
      <c r="K11" s="21" t="inlineStr">
        <is>
          <t>Retail</t>
        </is>
      </c>
      <c r="L11" s="24" t="n">
        <v>1886</v>
      </c>
      <c r="M11" s="25" t="n">
        <v>0.186</v>
      </c>
      <c r="N11" s="21" t="inlineStr">
        <is>
          <t>Asking</t>
        </is>
      </c>
      <c r="O11" s="26" t="n">
        <v>24</v>
      </c>
      <c r="P11" s="26" t="n"/>
      <c r="Q11" s="26" t="n">
        <v>24</v>
      </c>
      <c r="R11" s="27" t="n">
        <v>45264</v>
      </c>
      <c r="S11" s="21" t="inlineStr">
        <is>
          <t>MG</t>
        </is>
      </c>
      <c r="T11" s="26" t="n"/>
      <c r="U11" s="27" t="n"/>
      <c r="V11" s="26" t="n">
        <v>24</v>
      </c>
      <c r="W11" s="28" t="n"/>
      <c r="X11" s="23" t="n"/>
      <c r="Y11" s="22" t="n"/>
      <c r="Z11" s="22" t="n"/>
      <c r="AA11" s="22" t="inlineStr">
        <is>
          <t>CBRE</t>
        </is>
      </c>
      <c r="AB11" s="21" t="inlineStr">
        <is>
          <t>B</t>
        </is>
      </c>
      <c r="AC11" s="21" t="inlineStr">
        <is>
          <t>1979/2007</t>
        </is>
      </c>
      <c r="AD11" s="24" t="n">
        <v>10157</v>
      </c>
      <c r="AE11" s="24" t="n">
        <v>37462</v>
      </c>
      <c r="AF11" s="29" t="n">
        <v>0.86</v>
      </c>
      <c r="AG11" s="21" t="inlineStr">
        <is>
          <t>Office</t>
        </is>
      </c>
      <c r="AH11" s="21" t="inlineStr">
        <is>
          <t>Multi</t>
        </is>
      </c>
      <c r="AI11" s="21" t="n"/>
      <c r="AJ11" s="21" t="n"/>
      <c r="AK11" s="22" t="n"/>
      <c r="AL11" s="28" t="n">
        <v>8.800000000000001</v>
      </c>
      <c r="AM11" s="28" t="n">
        <v>9.300000000000001</v>
      </c>
      <c r="AN11" s="21" t="inlineStr">
        <is>
          <t>25</t>
        </is>
      </c>
    </row>
    <row r="12">
      <c r="A12" s="30" t="n">
        <v>8</v>
      </c>
      <c r="B12" s="31" t="inlineStr">
        <is>
          <t>1408 N Del Mar Pky</t>
        </is>
      </c>
      <c r="C12" s="31" t="inlineStr">
        <is>
          <t>1408 N Del Mar Pky</t>
        </is>
      </c>
      <c r="D12" s="30" t="inlineStr">
        <is>
          <t>Aurora</t>
        </is>
      </c>
      <c r="E12" s="30" t="inlineStr">
        <is>
          <t>80010</t>
        </is>
      </c>
      <c r="F12" s="30" t="inlineStr">
        <is>
          <t>Central</t>
        </is>
      </c>
      <c r="G12" s="32" t="n">
        <v>44742</v>
      </c>
      <c r="H12" s="32" t="n">
        <v>44772</v>
      </c>
      <c r="I12" s="30" t="inlineStr">
        <is>
          <t>Direct</t>
        </is>
      </c>
      <c r="J12" s="30" t="inlineStr">
        <is>
          <t>New Lease</t>
        </is>
      </c>
      <c r="K12" s="30" t="inlineStr">
        <is>
          <t>Retail</t>
        </is>
      </c>
      <c r="L12" s="33" t="n">
        <v>1418</v>
      </c>
      <c r="M12" s="34" t="n">
        <v>0.269</v>
      </c>
      <c r="N12" s="30" t="inlineStr">
        <is>
          <t>Asking</t>
        </is>
      </c>
      <c r="O12" s="35" t="n">
        <v>16</v>
      </c>
      <c r="P12" s="35" t="n"/>
      <c r="Q12" s="35" t="n">
        <v>16</v>
      </c>
      <c r="R12" s="36" t="n">
        <v>22688</v>
      </c>
      <c r="S12" s="30" t="inlineStr">
        <is>
          <t>NNN</t>
        </is>
      </c>
      <c r="T12" s="35" t="n"/>
      <c r="U12" s="36" t="n"/>
      <c r="V12" s="35" t="n">
        <v>16</v>
      </c>
      <c r="W12" s="37" t="n"/>
      <c r="X12" s="32" t="n"/>
      <c r="Y12" s="31" t="n"/>
      <c r="Z12" s="31" t="inlineStr">
        <is>
          <t>Maria Del Carmen Mora</t>
        </is>
      </c>
      <c r="AA12" s="31" t="inlineStr">
        <is>
          <t>Capital Property Group</t>
        </is>
      </c>
      <c r="AB12" s="30" t="inlineStr">
        <is>
          <t>C</t>
        </is>
      </c>
      <c r="AC12" s="30" t="inlineStr">
        <is>
          <t>1973</t>
        </is>
      </c>
      <c r="AD12" s="33" t="n">
        <v>5278</v>
      </c>
      <c r="AE12" s="33" t="n">
        <v>11761</v>
      </c>
      <c r="AF12" s="38" t="n">
        <v>0.27</v>
      </c>
      <c r="AG12" s="30" t="inlineStr">
        <is>
          <t>Storefront</t>
        </is>
      </c>
      <c r="AH12" s="30" t="inlineStr">
        <is>
          <t>Multi</t>
        </is>
      </c>
      <c r="AI12" s="30" t="inlineStr">
        <is>
          <t>End Cap</t>
        </is>
      </c>
      <c r="AJ12" s="30" t="inlineStr">
        <is>
          <t>Excellent</t>
        </is>
      </c>
      <c r="AK12" s="31" t="inlineStr">
        <is>
          <t>Full Standard Retail Build-Out</t>
        </is>
      </c>
      <c r="AL12" s="37" t="n">
        <v>29</v>
      </c>
      <c r="AM12" s="37" t="n">
        <v>30</v>
      </c>
      <c r="AN12" s="30" t="inlineStr">
        <is>
          <t>26-27</t>
        </is>
      </c>
    </row>
    <row r="14">
      <c r="A14" s="39" t="inlineStr">
        <is>
          <t>SUMMARY STATISTICS</t>
        </is>
      </c>
    </row>
    <row r="15">
      <c r="P15" s="40" t="inlineStr">
        <is>
          <t>Metric</t>
        </is>
      </c>
      <c r="Q15" s="41" t="inlineStr">
        <is>
          <t>Count</t>
        </is>
      </c>
      <c r="R15" s="41" t="inlineStr">
        <is>
          <t>Low</t>
        </is>
      </c>
      <c r="S15" s="41" t="inlineStr">
        <is>
          <t>Average</t>
        </is>
      </c>
      <c r="T15" s="41" t="inlineStr">
        <is>
          <t>Median</t>
        </is>
      </c>
      <c r="U15" s="41" t="inlineStr">
        <is>
          <t>High</t>
        </is>
      </c>
    </row>
    <row r="16">
      <c r="P16" s="4" t="inlineStr">
        <is>
          <t>Rent $/SF used (all 8)</t>
        </is>
      </c>
      <c r="Q16" s="42">
        <f>COUNT(Q5:Q12)</f>
        <v/>
      </c>
      <c r="R16" s="43">
        <f>MIN(Q5:Q12)</f>
        <v/>
      </c>
      <c r="S16" s="43">
        <f>AVERAGE(Q5:Q12)</f>
        <v/>
      </c>
      <c r="T16" s="43">
        <f>MEDIAN(Q5:Q12)</f>
        <v/>
      </c>
      <c r="U16" s="43">
        <f>MAX(Q5:Q12)</f>
        <v/>
      </c>
    </row>
    <row r="17">
      <c r="P17" s="4" t="inlineStr">
        <is>
          <t>Asking Rent $/SF</t>
        </is>
      </c>
      <c r="Q17" s="42">
        <f>COUNT(O5:O12)</f>
        <v/>
      </c>
      <c r="R17" s="43">
        <f>MIN(O5:O12)</f>
        <v/>
      </c>
      <c r="S17" s="43">
        <f>AVERAGE(O5:O12)</f>
        <v/>
      </c>
      <c r="T17" s="43">
        <f>MEDIAN(O5:O12)</f>
        <v/>
      </c>
      <c r="U17" s="43">
        <f>MAX(O5:O12)</f>
        <v/>
      </c>
    </row>
    <row r="18">
      <c r="P18" s="4" t="inlineStr">
        <is>
          <t>SF Leased</t>
        </is>
      </c>
      <c r="Q18" s="42">
        <f>COUNT(L5:L12)</f>
        <v/>
      </c>
      <c r="R18" s="42">
        <f>MIN(L5:L12)</f>
        <v/>
      </c>
      <c r="S18" s="42">
        <f>AVERAGE(L5:L12)</f>
        <v/>
      </c>
      <c r="T18" s="42">
        <f>MEDIAN(L5:L12)</f>
        <v/>
      </c>
      <c r="U18" s="42">
        <f>MAX(L5:L12)</f>
        <v/>
      </c>
    </row>
    <row r="19">
      <c r="P19" s="4" t="inlineStr">
        <is>
          <t>Gross-Equivalent $/SF</t>
        </is>
      </c>
      <c r="Q19" s="42">
        <f>COUNT(V5:V12)</f>
        <v/>
      </c>
      <c r="R19" s="43">
        <f>MIN(V5:V12)</f>
        <v/>
      </c>
      <c r="S19" s="43">
        <f>AVERAGE(V5:V12)</f>
        <v/>
      </c>
      <c r="T19" s="43">
        <f>MEDIAN(V5:V12)</f>
        <v/>
      </c>
      <c r="U19" s="43">
        <f>MAX(V5:V12)</f>
        <v/>
      </c>
    </row>
    <row r="20">
      <c r="P20" s="4" t="inlineStr">
        <is>
          <t>Months on Market</t>
        </is>
      </c>
      <c r="Q20" s="42">
        <f>COUNT(AL5:AL12)</f>
        <v/>
      </c>
      <c r="R20" s="44">
        <f>MIN(AL5:AL12)</f>
        <v/>
      </c>
      <c r="S20" s="44">
        <f>AVERAGE(AL5:AL12)</f>
        <v/>
      </c>
      <c r="T20" s="44">
        <f>MEDIAN(AL5:AL12)</f>
        <v/>
      </c>
      <c r="U20" s="44">
        <f>MAX(AL5:AL12)</f>
        <v/>
      </c>
    </row>
    <row r="22">
      <c r="P22" s="39" t="inlineStr">
        <is>
          <t>CoStar-published summary statistics (PDF p. 11), for cross-check:</t>
        </is>
      </c>
    </row>
    <row r="23">
      <c r="P23" s="5" t="inlineStr">
        <is>
          <t>Asking Rent per SF</t>
        </is>
      </c>
      <c r="Q23" s="6" t="n">
        <v>8</v>
      </c>
      <c r="R23" s="12" t="n">
        <v>15</v>
      </c>
      <c r="S23" s="12" t="n">
        <v>19.38</v>
      </c>
      <c r="T23" s="12" t="n">
        <v>15.5</v>
      </c>
      <c r="U23" s="12" t="n">
        <v>30</v>
      </c>
    </row>
    <row r="24">
      <c r="P24" s="5" t="inlineStr">
        <is>
          <t>Starting Rent per SF</t>
        </is>
      </c>
      <c r="Q24" s="6" t="n">
        <v>2</v>
      </c>
      <c r="R24" s="12" t="n">
        <v>12.5</v>
      </c>
      <c r="S24" s="12" t="n">
        <v>13.75</v>
      </c>
      <c r="T24" s="12" t="n">
        <v>13.75</v>
      </c>
      <c r="U24" s="12" t="n">
        <v>15</v>
      </c>
    </row>
    <row r="25">
      <c r="P25" s="5" t="inlineStr">
        <is>
          <t>Asking Rent Discount</t>
        </is>
      </c>
      <c r="Q25" s="6" t="n">
        <v>2</v>
      </c>
      <c r="R25" s="13" t="n">
        <v>0</v>
      </c>
      <c r="S25" s="13" t="n">
        <v>0.083</v>
      </c>
      <c r="T25" s="13" t="n">
        <v>0.083</v>
      </c>
      <c r="U25" s="13" t="n">
        <v>0.167</v>
      </c>
    </row>
    <row r="26">
      <c r="P26" s="5" t="inlineStr">
        <is>
          <t>Lease Size (SF)</t>
        </is>
      </c>
      <c r="Q26" s="6" t="n">
        <v>8</v>
      </c>
      <c r="R26" s="6" t="n">
        <v>1100</v>
      </c>
      <c r="S26" s="6" t="n">
        <v>2660</v>
      </c>
      <c r="T26" s="6" t="n">
        <v>2818</v>
      </c>
      <c r="U26" s="6" t="n">
        <v>4250</v>
      </c>
    </row>
    <row r="27">
      <c r="P27" s="5" t="inlineStr">
        <is>
          <t>Term (Years)</t>
        </is>
      </c>
      <c r="Q27" s="6" t="n">
        <v>2</v>
      </c>
      <c r="R27" s="45" t="n">
        <v>5</v>
      </c>
      <c r="S27" s="45" t="n">
        <v>7.5</v>
      </c>
      <c r="T27" s="45" t="n">
        <v>7.5</v>
      </c>
      <c r="U27" s="45" t="n">
        <v>10</v>
      </c>
    </row>
    <row r="28">
      <c r="P28" s="5" t="inlineStr">
        <is>
          <t>Months on Market</t>
        </is>
      </c>
      <c r="Q28" s="6" t="n">
        <v>8</v>
      </c>
      <c r="R28" s="45" t="n">
        <v>3</v>
      </c>
      <c r="S28" s="45" t="n">
        <v>11</v>
      </c>
      <c r="T28" s="45" t="n">
        <v>6</v>
      </c>
      <c r="U28" s="45" t="n">
        <v>29</v>
      </c>
    </row>
    <row r="30">
      <c r="A30" s="2" t="inlineStr">
        <is>
          <t>Note: Effective rent, improvement allowance and free rent were not reported for any of the 8 transactions.</t>
        </is>
      </c>
    </row>
    <row r="31">
      <c r="A31" s="2" t="inlineStr">
        <is>
          <t>Source: Grease Monkey International, LLC - 1521-1527 Peoria St - CO Property Tax 2025/2026 Analysis (Ryan, LLC / CoStar), PDF pp. 11-27.</t>
        </is>
      </c>
    </row>
  </sheetData>
  <autoFilter ref="A4:AN12"/>
  <mergeCells count="2">
    <mergeCell ref="A2:AN2"/>
    <mergeCell ref="A1:A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2" customWidth="1" min="2" max="2"/>
    <col width="11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4" customWidth="1" min="14" max="14"/>
    <col width="40" customWidth="1" min="15" max="15"/>
  </cols>
  <sheetData>
    <row r="1" ht="22" customHeight="1">
      <c r="A1" s="1" t="inlineStr">
        <is>
          <t>LEASE COMPARABLE ADJUSTMENT GRID -&gt; INDICATED MARKET RENT</t>
        </is>
      </c>
    </row>
    <row r="2">
      <c r="A2" s="2" t="inlineStr">
        <is>
          <t>Level-of-value date 06/30/2024 (Colorado 2025/2026 reassessment). All indications on a triple-net (NNN) basis.</t>
        </is>
      </c>
    </row>
    <row r="4">
      <c r="A4" s="39" t="inlineStr">
        <is>
          <t>ADJUSTMENT ASSUMPTIONS (editable - grid recalculates)</t>
        </is>
      </c>
    </row>
    <row r="5">
      <c r="A5" s="46" t="inlineStr">
        <is>
          <t>Adj 1 - Asking-to-starting rent discount</t>
        </is>
      </c>
      <c r="C5" s="16" t="n">
        <v>0.083</v>
      </c>
      <c r="D5" s="2" t="inlineStr">
        <is>
          <t>CoStar-reported average asking-rent discount for this comp set (PDF p. 11); applied to asking-rent-only comps.</t>
        </is>
      </c>
    </row>
    <row r="6">
      <c r="A6" s="46" t="inlineStr">
        <is>
          <t>Adj 2 - MG-to-NNN expense load ($/SF)</t>
        </is>
      </c>
      <c r="C6" s="18" t="n">
        <v>6.08</v>
      </c>
      <c r="D6" s="2" t="inlineStr">
        <is>
          <t>Average reported CAM of the four comps disclosing it ($7.00, $5.95, $5.95, $5.42). Deducted from the one Modified Gross comp.</t>
        </is>
      </c>
    </row>
    <row r="7">
      <c r="A7" s="46" t="inlineStr">
        <is>
          <t>Adj 3 - Market conditions, annual rent growth</t>
        </is>
      </c>
      <c r="C7" s="16" t="n">
        <v>0.035</v>
      </c>
      <c r="D7" s="2" t="inlineStr">
        <is>
          <t>Submarket asking-rent YOY growth reported across the comp set (3.2%-6.6%); 3.5% applied straight-line to 06/30/2024.</t>
        </is>
      </c>
    </row>
    <row r="8">
      <c r="A8" s="46" t="inlineStr">
        <is>
          <t>Adj 4 - Size premium, spaces under 2,000 SF</t>
        </is>
      </c>
      <c r="C8" s="16" t="n">
        <v>-0.05</v>
      </c>
      <c r="D8" s="2" t="inlineStr">
        <is>
          <t>Small-suite $/SF premium removed; subject NLA is 4,052 SF.</t>
        </is>
      </c>
    </row>
    <row r="9">
      <c r="A9" s="46" t="inlineStr">
        <is>
          <t>Sublet transaction adjustment</t>
        </is>
      </c>
      <c r="C9" s="16" t="n">
        <v>0</v>
      </c>
      <c r="D9" s="2" t="inlineStr">
        <is>
          <t>Set to 0%; sublets are flagged as secondary reliability rather than quantitatively adjusted.</t>
        </is>
      </c>
    </row>
    <row r="11" ht="32" customHeight="1">
      <c r="A11" s="3" t="inlineStr">
        <is>
          <t>Comp #</t>
        </is>
      </c>
      <c r="B11" s="3" t="inlineStr">
        <is>
          <t>Property / Address</t>
        </is>
      </c>
      <c r="C11" s="3" t="inlineStr">
        <is>
          <t>SF Leased</t>
        </is>
      </c>
      <c r="D11" s="3" t="inlineStr">
        <is>
          <t>Sign Date</t>
        </is>
      </c>
      <c r="E11" s="3" t="inlineStr">
        <is>
          <t>Rent Basis</t>
        </is>
      </c>
      <c r="F11" s="3" t="inlineStr">
        <is>
          <t>Quoted Rent $/SF</t>
        </is>
      </c>
      <c r="G11" s="3" t="inlineStr">
        <is>
          <t>Service Type</t>
        </is>
      </c>
      <c r="H11" s="3" t="inlineStr">
        <is>
          <t>Adj 1: Rent Basis</t>
        </is>
      </c>
      <c r="I11" s="3" t="inlineStr">
        <is>
          <t>Adj 2: Expense Basis to NNN</t>
        </is>
      </c>
      <c r="J11" s="3" t="inlineStr">
        <is>
          <t>Adj 3: Market Conditions</t>
        </is>
      </c>
      <c r="K11" s="3" t="inlineStr">
        <is>
          <t>Adj 4: Size</t>
        </is>
      </c>
      <c r="L11" s="3" t="inlineStr">
        <is>
          <t>Net $ Adjustment</t>
        </is>
      </c>
      <c r="M11" s="3" t="inlineStr">
        <is>
          <t>Total Adj %</t>
        </is>
      </c>
      <c r="N11" s="3" t="inlineStr">
        <is>
          <t>Adjusted NNN Rent $/SF</t>
        </is>
      </c>
      <c r="O11" s="3" t="inlineStr">
        <is>
          <t>Reliability / Comment</t>
        </is>
      </c>
    </row>
    <row r="12">
      <c r="A12" s="47" t="n">
        <v>1</v>
      </c>
      <c r="B12" s="48" t="inlineStr">
        <is>
          <t>Century Square Shopping Center - 10300-10498 E Colfax Ave</t>
        </is>
      </c>
      <c r="C12" s="49" t="n">
        <v>1285</v>
      </c>
      <c r="D12" s="50" t="n">
        <v>45329</v>
      </c>
      <c r="E12" s="47" t="inlineStr">
        <is>
          <t>Asking</t>
        </is>
      </c>
      <c r="F12" s="51" t="n">
        <v>30</v>
      </c>
      <c r="G12" s="47" t="inlineStr">
        <is>
          <t>NNN</t>
        </is>
      </c>
      <c r="H12" s="51">
        <f>-F12*$C$5</f>
        <v/>
      </c>
      <c r="I12" s="51" t="n">
        <v>0</v>
      </c>
      <c r="J12" s="51">
        <f>(F12+H12+I12)*$C$7*0.394</f>
        <v/>
      </c>
      <c r="K12" s="51">
        <f>(F12+H12+I12+J12)*$C$8</f>
        <v/>
      </c>
      <c r="L12" s="51">
        <f>SUM(H12:K12)</f>
        <v/>
      </c>
      <c r="M12" s="52">
        <f>L12/F12</f>
        <v/>
      </c>
      <c r="N12" s="53">
        <f>F12+L12</f>
        <v/>
      </c>
      <c r="O12" s="48" t="inlineStr">
        <is>
          <t>Direct lease - primary support (small suite)</t>
        </is>
      </c>
    </row>
    <row r="13">
      <c r="A13" s="54" t="n">
        <v>2</v>
      </c>
      <c r="B13" s="55" t="inlineStr">
        <is>
          <t>Hoffman Heights Shopping Center - 710-750 Peoria St</t>
        </is>
      </c>
      <c r="C13" s="56" t="n">
        <v>3750</v>
      </c>
      <c r="D13" s="57" t="n">
        <v>45244</v>
      </c>
      <c r="E13" s="54" t="inlineStr">
        <is>
          <t>Asking</t>
        </is>
      </c>
      <c r="F13" s="58" t="n">
        <v>15</v>
      </c>
      <c r="G13" s="54" t="inlineStr">
        <is>
          <t>NNN</t>
        </is>
      </c>
      <c r="H13" s="58">
        <f>-F13*$C$5</f>
        <v/>
      </c>
      <c r="I13" s="58" t="n">
        <v>0</v>
      </c>
      <c r="J13" s="58">
        <f>(F13+H13+I13)*$C$7*0.627</f>
        <v/>
      </c>
      <c r="K13" s="58" t="n">
        <v>0</v>
      </c>
      <c r="L13" s="58">
        <f>SUM(H13:K13)</f>
        <v/>
      </c>
      <c r="M13" s="59">
        <f>L13/F13</f>
        <v/>
      </c>
      <c r="N13" s="53">
        <f>F13+L13</f>
        <v/>
      </c>
      <c r="O13" s="55" t="inlineStr">
        <is>
          <t>Sublet - secondary support</t>
        </is>
      </c>
    </row>
    <row r="14">
      <c r="A14" s="47" t="n">
        <v>3</v>
      </c>
      <c r="B14" s="48" t="inlineStr">
        <is>
          <t>Hoffman Heights Shopping Center - 710-750 Peoria St</t>
        </is>
      </c>
      <c r="C14" s="49" t="n">
        <v>1100</v>
      </c>
      <c r="D14" s="50" t="n">
        <v>45244</v>
      </c>
      <c r="E14" s="47" t="inlineStr">
        <is>
          <t>Asking</t>
        </is>
      </c>
      <c r="F14" s="51" t="n">
        <v>25</v>
      </c>
      <c r="G14" s="47" t="inlineStr">
        <is>
          <t>NNN</t>
        </is>
      </c>
      <c r="H14" s="51">
        <f>-F14*$C$5</f>
        <v/>
      </c>
      <c r="I14" s="51" t="n">
        <v>0</v>
      </c>
      <c r="J14" s="51">
        <f>(F14+H14+I14)*$C$7*0.627</f>
        <v/>
      </c>
      <c r="K14" s="51">
        <f>(F14+H14+I14+J14)*$C$8</f>
        <v/>
      </c>
      <c r="L14" s="51">
        <f>SUM(H14:K14)</f>
        <v/>
      </c>
      <c r="M14" s="52">
        <f>L14/F14</f>
        <v/>
      </c>
      <c r="N14" s="53">
        <f>F14+L14</f>
        <v/>
      </c>
      <c r="O14" s="48" t="inlineStr">
        <is>
          <t>Sublet - secondary support (small suite)</t>
        </is>
      </c>
    </row>
    <row r="15">
      <c r="A15" s="54" t="n">
        <v>4</v>
      </c>
      <c r="B15" s="55" t="inlineStr">
        <is>
          <t>10690 Del Mar Pky - 10690 Del Mar Pky</t>
        </is>
      </c>
      <c r="C15" s="56" t="n">
        <v>4250</v>
      </c>
      <c r="D15" s="57" t="n">
        <v>45035</v>
      </c>
      <c r="E15" s="54" t="inlineStr">
        <is>
          <t>Starting</t>
        </is>
      </c>
      <c r="F15" s="58" t="n">
        <v>15</v>
      </c>
      <c r="G15" s="54" t="inlineStr">
        <is>
          <t>NNN</t>
        </is>
      </c>
      <c r="H15" s="58" t="n">
        <v>0</v>
      </c>
      <c r="I15" s="58" t="n">
        <v>0</v>
      </c>
      <c r="J15" s="58">
        <f>(F15+H15+I15)*$C$7*1.199</f>
        <v/>
      </c>
      <c r="K15" s="58" t="n">
        <v>0</v>
      </c>
      <c r="L15" s="58">
        <f>SUM(H15:K15)</f>
        <v/>
      </c>
      <c r="M15" s="59">
        <f>L15/F15</f>
        <v/>
      </c>
      <c r="N15" s="53">
        <f>F15+L15</f>
        <v/>
      </c>
      <c r="O15" s="55" t="inlineStr">
        <is>
          <t>Direct lease - primary support (actual contract rent)</t>
        </is>
      </c>
    </row>
    <row r="16">
      <c r="A16" s="47" t="n">
        <v>5</v>
      </c>
      <c r="B16" s="48" t="inlineStr">
        <is>
          <t>Hoffman Heights Shopping Center - 710-750 Peoria St</t>
        </is>
      </c>
      <c r="C16" s="49" t="n">
        <v>3750</v>
      </c>
      <c r="D16" s="50" t="n">
        <v>45015</v>
      </c>
      <c r="E16" s="47" t="inlineStr">
        <is>
          <t>Asking</t>
        </is>
      </c>
      <c r="F16" s="51" t="n">
        <v>15</v>
      </c>
      <c r="G16" s="47" t="inlineStr">
        <is>
          <t>NNN</t>
        </is>
      </c>
      <c r="H16" s="51">
        <f>-F16*$C$5</f>
        <v/>
      </c>
      <c r="I16" s="51" t="n">
        <v>0</v>
      </c>
      <c r="J16" s="51">
        <f>(F16+H16+I16)*$C$7*1.254</f>
        <v/>
      </c>
      <c r="K16" s="51" t="n">
        <v>0</v>
      </c>
      <c r="L16" s="51">
        <f>SUM(H16:K16)</f>
        <v/>
      </c>
      <c r="M16" s="52">
        <f>L16/F16</f>
        <v/>
      </c>
      <c r="N16" s="53">
        <f>F16+L16</f>
        <v/>
      </c>
      <c r="O16" s="48" t="inlineStr">
        <is>
          <t>Sublet - secondary support</t>
        </is>
      </c>
    </row>
    <row r="17">
      <c r="A17" s="54" t="n">
        <v>6</v>
      </c>
      <c r="B17" s="55" t="inlineStr">
        <is>
          <t>Hoffman Heights Shopping Center - 710-750 Peoria St</t>
        </is>
      </c>
      <c r="C17" s="56" t="n">
        <v>3840</v>
      </c>
      <c r="D17" s="57" t="n">
        <v>45005</v>
      </c>
      <c r="E17" s="54" t="inlineStr">
        <is>
          <t>Starting</t>
        </is>
      </c>
      <c r="F17" s="58" t="n">
        <v>12.5</v>
      </c>
      <c r="G17" s="54" t="inlineStr">
        <is>
          <t>NNN</t>
        </is>
      </c>
      <c r="H17" s="58" t="n">
        <v>0</v>
      </c>
      <c r="I17" s="58" t="n">
        <v>0</v>
      </c>
      <c r="J17" s="58">
        <f>(F17+H17+I17)*$C$7*1.281</f>
        <v/>
      </c>
      <c r="K17" s="58" t="n">
        <v>0</v>
      </c>
      <c r="L17" s="58">
        <f>SUM(H17:K17)</f>
        <v/>
      </c>
      <c r="M17" s="59">
        <f>L17/F17</f>
        <v/>
      </c>
      <c r="N17" s="53">
        <f>F17+L17</f>
        <v/>
      </c>
      <c r="O17" s="55" t="inlineStr">
        <is>
          <t>Sublet - secondary support (actual contract rent)</t>
        </is>
      </c>
    </row>
    <row r="18">
      <c r="A18" s="47" t="n">
        <v>7</v>
      </c>
      <c r="B18" s="48" t="inlineStr">
        <is>
          <t>Bank of the West - 10401 E Colfax Ave</t>
        </is>
      </c>
      <c r="C18" s="49" t="n">
        <v>1886</v>
      </c>
      <c r="D18" s="50" t="n">
        <v>44789</v>
      </c>
      <c r="E18" s="47" t="inlineStr">
        <is>
          <t>Asking</t>
        </is>
      </c>
      <c r="F18" s="51" t="n">
        <v>24</v>
      </c>
      <c r="G18" s="47" t="inlineStr">
        <is>
          <t>MG</t>
        </is>
      </c>
      <c r="H18" s="51">
        <f>-F18*$C$5</f>
        <v/>
      </c>
      <c r="I18" s="51">
        <f>-$C$6</f>
        <v/>
      </c>
      <c r="J18" s="51">
        <f>(F18+H18+I18)*$C$7*1.873</f>
        <v/>
      </c>
      <c r="K18" s="51">
        <f>(F18+H18+I18+J18)*$C$8</f>
        <v/>
      </c>
      <c r="L18" s="51">
        <f>SUM(H18:K18)</f>
        <v/>
      </c>
      <c r="M18" s="52">
        <f>L18/F18</f>
        <v/>
      </c>
      <c r="N18" s="53">
        <f>F18+L18</f>
        <v/>
      </c>
      <c r="O18" s="48" t="inlineStr">
        <is>
          <t>Direct lease - primary support (MG converted to NNN; small suite; office-type bldg)</t>
        </is>
      </c>
    </row>
    <row r="19">
      <c r="A19" s="54" t="n">
        <v>8</v>
      </c>
      <c r="B19" s="55" t="inlineStr">
        <is>
          <t>1408 N Del Mar Pky - 1408 N Del Mar Pky</t>
        </is>
      </c>
      <c r="C19" s="56" t="n">
        <v>1418</v>
      </c>
      <c r="D19" s="57" t="n">
        <v>44742</v>
      </c>
      <c r="E19" s="54" t="inlineStr">
        <is>
          <t>Asking</t>
        </is>
      </c>
      <c r="F19" s="58" t="n">
        <v>16</v>
      </c>
      <c r="G19" s="54" t="inlineStr">
        <is>
          <t>NNN</t>
        </is>
      </c>
      <c r="H19" s="58">
        <f>-F19*$C$5</f>
        <v/>
      </c>
      <c r="I19" s="58" t="n">
        <v>0</v>
      </c>
      <c r="J19" s="58">
        <f>(F19+H19+I19)*$C$7*2.001</f>
        <v/>
      </c>
      <c r="K19" s="58">
        <f>(F19+H19+I19+J19)*$C$8</f>
        <v/>
      </c>
      <c r="L19" s="58">
        <f>SUM(H19:K19)</f>
        <v/>
      </c>
      <c r="M19" s="59">
        <f>L19/F19</f>
        <v/>
      </c>
      <c r="N19" s="53">
        <f>F19+L19</f>
        <v/>
      </c>
      <c r="O19" s="55" t="inlineStr">
        <is>
          <t>Direct lease - primary support (small suite)</t>
        </is>
      </c>
    </row>
    <row r="21">
      <c r="L21" s="4" t="inlineStr">
        <is>
          <t>Count of comparables</t>
        </is>
      </c>
      <c r="N21" s="60">
        <f>COUNT(N12:N19)</f>
        <v/>
      </c>
    </row>
    <row r="22">
      <c r="L22" s="4" t="inlineStr">
        <is>
          <t>Low - adjusted NNN rent</t>
        </is>
      </c>
      <c r="N22" s="14">
        <f>MIN(N12:N19)</f>
        <v/>
      </c>
    </row>
    <row r="23">
      <c r="L23" s="4" t="inlineStr">
        <is>
          <t>AVERAGE - adjusted NNN rent (all 8)</t>
        </is>
      </c>
      <c r="N23" s="14">
        <f>AVERAGE(N12:N19)</f>
        <v/>
      </c>
    </row>
    <row r="24">
      <c r="L24" s="4" t="inlineStr">
        <is>
          <t>MEDIAN - adjusted NNN rent (all 8)</t>
        </is>
      </c>
      <c r="N24" s="14">
        <f>MEDIAN(N12:N19)</f>
        <v/>
      </c>
    </row>
    <row r="25">
      <c r="L25" s="4" t="inlineStr">
        <is>
          <t>High - adjusted NNN rent</t>
        </is>
      </c>
      <c r="N25" s="14">
        <f>MAX(N12:N19)</f>
        <v/>
      </c>
    </row>
    <row r="26">
      <c r="L26" s="4" t="inlineStr">
        <is>
          <t>Average - DIRECT leases only (comps 1, 4, 7, 8)</t>
        </is>
      </c>
      <c r="N26" s="14">
        <f>AVERAGE(N12,N15,N18,N19)</f>
        <v/>
      </c>
    </row>
    <row r="27">
      <c r="L27" s="4" t="inlineStr">
        <is>
          <t>Average - SUBLET leases only (comps 2, 3, 5, 6)</t>
        </is>
      </c>
      <c r="N27" s="14">
        <f>AVERAGE(N13,N14,N16,N17)</f>
        <v/>
      </c>
    </row>
    <row r="28">
      <c r="L28" s="4" t="inlineStr">
        <is>
          <t>Average - comps 3,000+ SF (closest to subject 4,052 SF)</t>
        </is>
      </c>
      <c r="N28" s="14">
        <f>AVERAGE(N13,N15,N16,N17)</f>
        <v/>
      </c>
    </row>
    <row r="30">
      <c r="L30" s="39" t="inlineStr">
        <is>
          <t>Subject proforma base rent as filed</t>
        </is>
      </c>
      <c r="N30" s="18" t="n">
        <v>20</v>
      </c>
    </row>
    <row r="31">
      <c r="L31" s="39" t="inlineStr">
        <is>
          <t>Filed rent vs. adjusted average</t>
        </is>
      </c>
      <c r="N31" s="61">
        <f>N30/N23-1</f>
        <v/>
      </c>
    </row>
    <row r="33">
      <c r="A33" s="2" t="inlineStr">
        <is>
          <t>Adjustment method:</t>
        </is>
      </c>
    </row>
    <row r="34">
      <c r="A34" s="2" t="inlineStr">
        <is>
          <t xml:space="preserve">  Adj 1 - Rent Basis: asking rents are reduced by the comp set's own reported asking-rent discount to approximate contract (starting) rent. Comps 4 and 6 report actual starting rent and take no adjustment.</t>
        </is>
      </c>
    </row>
    <row r="35">
      <c r="A35" s="2" t="inlineStr">
        <is>
          <t xml:space="preserve">  Adj 2 - Expense Basis: comp 7 is quoted Modified Gross; the average reported CAM load is deducted to state it on the same NNN basis as the subject and the other seven comps.</t>
        </is>
      </c>
    </row>
    <row r="36">
      <c r="A36" s="2" t="inlineStr">
        <is>
          <t xml:space="preserve">  Adj 3 - Market Conditions: straight-line rent growth from each sign date to the 06/30/2024 level-of-value date.</t>
        </is>
      </c>
    </row>
    <row r="37">
      <c r="A37" s="2" t="inlineStr">
        <is>
          <t xml:space="preserve">  Adj 4 - Size: comps under 2,000 SF (1, 3, 7, 8) carry a small-suite premium that the subject's 4,052 SF does not command.</t>
        </is>
      </c>
    </row>
    <row r="38">
      <c r="A38" s="2" t="inlineStr">
        <is>
          <t xml:space="preserve">  Not adjusted: location (all comps are Aurora / E Colfax - Peoria corridor, same trade area as the subject), space use (all retail), and floor (all ground floor).</t>
        </is>
      </c>
    </row>
    <row r="39">
      <c r="A39" s="46" t="inlineStr"/>
    </row>
    <row r="40">
      <c r="A40" s="2" t="inlineStr">
        <is>
          <t>Reliability note: four of the eight transactions are sublets at a single property (Hoffman Heights, 710-750 Peoria St) and are asking rather than contract rents; they are directionally useful but carry less weight than the direct leases.</t>
        </is>
      </c>
    </row>
    <row r="41">
      <c r="A41" s="2" t="inlineStr">
        <is>
          <t>The subject is a freestanding service-station / quick-lube improvement, while every comparable is in-line or outparcel multi-tenant retail. No like-use (automotive service) comparable is included in the source package.</t>
        </is>
      </c>
    </row>
    <row r="42">
      <c r="A42" s="2" t="inlineStr">
        <is>
          <t>Source: Grease Monkey International, LLC - 1521-1527 Peoria St - CO Property Tax 2025/2026 Analysis (Ryan, LLC / CoStar), PDF pp. 11-27.</t>
        </is>
      </c>
    </row>
  </sheetData>
  <mergeCells count="17">
    <mergeCell ref="L31:M31"/>
    <mergeCell ref="L26:M26"/>
    <mergeCell ref="L22:M22"/>
    <mergeCell ref="A2:O2"/>
    <mergeCell ref="A7:B7"/>
    <mergeCell ref="L21:M21"/>
    <mergeCell ref="L24:M24"/>
    <mergeCell ref="A5:B5"/>
    <mergeCell ref="A1:O1"/>
    <mergeCell ref="L25:M25"/>
    <mergeCell ref="L27:M27"/>
    <mergeCell ref="L23:M23"/>
    <mergeCell ref="A9:B9"/>
    <mergeCell ref="L28:M28"/>
    <mergeCell ref="A8:B8"/>
    <mergeCell ref="A6:B6"/>
    <mergeCell ref="L30:M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10" customWidth="1" min="3" max="3"/>
    <col width="13" customWidth="1" min="4" max="4"/>
    <col width="11" customWidth="1" min="5" max="5"/>
    <col width="13" customWidth="1" min="6" max="6"/>
    <col width="14" customWidth="1" min="7" max="7"/>
    <col width="14" customWidth="1" min="8" max="8"/>
    <col width="12" customWidth="1" min="9" max="9"/>
    <col width="13" customWidth="1" min="10" max="10"/>
    <col width="12" customWidth="1" min="11" max="11"/>
    <col width="15" customWidth="1" min="12" max="12"/>
    <col width="13" customWidth="1" min="13" max="13"/>
    <col width="16" customWidth="1" min="14" max="14"/>
    <col width="13" customWidth="1" min="15" max="15"/>
  </cols>
  <sheetData>
    <row r="1" ht="22" customHeight="1">
      <c r="A1" s="1" t="inlineStr">
        <is>
          <t>MARKET CONDITIONS REPORTED WITH EACH COMPARABLE</t>
        </is>
      </c>
    </row>
    <row r="2">
      <c r="A2" s="2" t="inlineStr">
        <is>
          <t>CoStar submarket and market statistics as of each comparable's transaction quarter.</t>
        </is>
      </c>
    </row>
    <row r="4" ht="32" customHeight="1">
      <c r="A4" s="3" t="inlineStr">
        <is>
          <t>Comp #</t>
        </is>
      </c>
      <c r="B4" s="3" t="inlineStr">
        <is>
          <t>Property / Address</t>
        </is>
      </c>
      <c r="C4" s="3" t="inlineStr">
        <is>
          <t>Period</t>
        </is>
      </c>
      <c r="D4" s="3" t="inlineStr">
        <is>
          <t>Subject Vacancy</t>
        </is>
      </c>
      <c r="E4" s="3" t="inlineStr">
        <is>
          <t>Subject YOY</t>
        </is>
      </c>
      <c r="F4" s="3" t="inlineStr">
        <is>
          <t>Submarket Vacancy</t>
        </is>
      </c>
      <c r="G4" s="3" t="inlineStr">
        <is>
          <t>Submarket Rent $/SF</t>
        </is>
      </c>
      <c r="H4" s="3" t="inlineStr">
        <is>
          <t>Submarket Rent YOY</t>
        </is>
      </c>
      <c r="I4" s="3" t="inlineStr">
        <is>
          <t>Market Vacancy</t>
        </is>
      </c>
      <c r="J4" s="3" t="inlineStr">
        <is>
          <t>Market Rent $/SF</t>
        </is>
      </c>
      <c r="K4" s="3" t="inlineStr">
        <is>
          <t>Market Rent YOY</t>
        </is>
      </c>
      <c r="L4" s="3" t="inlineStr">
        <is>
          <t>12-Mo Leased (SF)</t>
        </is>
      </c>
      <c r="M4" s="3" t="inlineStr">
        <is>
          <t>Months on Market</t>
        </is>
      </c>
      <c r="N4" s="3" t="inlineStr">
        <is>
          <t>12-Mo Sales Volume</t>
        </is>
      </c>
      <c r="O4" s="3" t="inlineStr">
        <is>
          <t>Sale Price $/SF</t>
        </is>
      </c>
    </row>
    <row r="5">
      <c r="A5" s="47" t="n">
        <v>1</v>
      </c>
      <c r="B5" s="48" t="inlineStr">
        <is>
          <t>Century Square Shopping Center - 10300-10498 E Colfax Ave</t>
        </is>
      </c>
      <c r="C5" s="47" t="inlineStr">
        <is>
          <t>2024 Q1</t>
        </is>
      </c>
      <c r="D5" s="62" t="n">
        <v>0</v>
      </c>
      <c r="E5" s="52" t="n">
        <v>-0.117</v>
      </c>
      <c r="F5" s="62" t="n">
        <v>0.041</v>
      </c>
      <c r="G5" s="63" t="n">
        <v>25.83</v>
      </c>
      <c r="H5" s="52" t="n">
        <v>0.032</v>
      </c>
      <c r="I5" s="62" t="n">
        <v>0.038</v>
      </c>
      <c r="J5" s="63" t="n">
        <v>26.12</v>
      </c>
      <c r="K5" s="52" t="n">
        <v>0.035</v>
      </c>
      <c r="L5" s="49" t="n">
        <v>429250</v>
      </c>
      <c r="M5" s="64" t="n">
        <v>7.2</v>
      </c>
      <c r="N5" s="65" t="n">
        <v>85490000</v>
      </c>
      <c r="O5" s="66" t="n">
        <v>310</v>
      </c>
    </row>
    <row r="6">
      <c r="A6" s="54" t="n">
        <v>2</v>
      </c>
      <c r="B6" s="55" t="inlineStr">
        <is>
          <t>Hoffman Heights Shopping Center - 710-750 Peoria St</t>
        </is>
      </c>
      <c r="C6" s="54" t="inlineStr">
        <is>
          <t>2023 Q4</t>
        </is>
      </c>
      <c r="D6" s="67" t="n">
        <v>0.067</v>
      </c>
      <c r="E6" s="59" t="n">
        <v>-0.08</v>
      </c>
      <c r="F6" s="67" t="n">
        <v>0.028</v>
      </c>
      <c r="G6" s="68" t="n">
        <v>19.56</v>
      </c>
      <c r="H6" s="59" t="n">
        <v>0.042</v>
      </c>
      <c r="I6" s="67" t="n">
        <v>0.041</v>
      </c>
      <c r="J6" s="68" t="n">
        <v>25.95</v>
      </c>
      <c r="K6" s="59" t="n">
        <v>0.039</v>
      </c>
      <c r="L6" s="56" t="n">
        <v>319861</v>
      </c>
      <c r="M6" s="69" t="n">
        <v>12.2</v>
      </c>
      <c r="N6" s="70" t="n">
        <v>55740000</v>
      </c>
      <c r="O6" s="71" t="n">
        <v>275</v>
      </c>
    </row>
    <row r="7">
      <c r="A7" s="47" t="n">
        <v>3</v>
      </c>
      <c r="B7" s="48" t="inlineStr">
        <is>
          <t>Hoffman Heights Shopping Center - 710-750 Peoria St</t>
        </is>
      </c>
      <c r="C7" s="47" t="inlineStr">
        <is>
          <t>2023 Q4</t>
        </is>
      </c>
      <c r="D7" s="62" t="n">
        <v>0.067</v>
      </c>
      <c r="E7" s="52" t="n">
        <v>-0.08</v>
      </c>
      <c r="F7" s="62" t="n">
        <v>0.028</v>
      </c>
      <c r="G7" s="63" t="n">
        <v>19.56</v>
      </c>
      <c r="H7" s="52" t="n">
        <v>0.042</v>
      </c>
      <c r="I7" s="62" t="n">
        <v>0.041</v>
      </c>
      <c r="J7" s="63" t="n">
        <v>25.95</v>
      </c>
      <c r="K7" s="52" t="n">
        <v>0.039</v>
      </c>
      <c r="L7" s="49" t="n">
        <v>319861</v>
      </c>
      <c r="M7" s="64" t="n">
        <v>12.2</v>
      </c>
      <c r="N7" s="65" t="n">
        <v>55740000</v>
      </c>
      <c r="O7" s="66" t="n">
        <v>275</v>
      </c>
    </row>
    <row r="8">
      <c r="A8" s="54" t="n">
        <v>4</v>
      </c>
      <c r="B8" s="55" t="inlineStr">
        <is>
          <t>10690 Del Mar Pky - 10690 Del Mar Pky</t>
        </is>
      </c>
      <c r="C8" s="54" t="inlineStr">
        <is>
          <t>2023 Q2</t>
        </is>
      </c>
      <c r="D8" s="67" t="n">
        <v>0</v>
      </c>
      <c r="E8" s="59" t="n">
        <v>0</v>
      </c>
      <c r="F8" s="67" t="n">
        <v>0.035</v>
      </c>
      <c r="G8" s="68" t="n">
        <v>18.93</v>
      </c>
      <c r="H8" s="59" t="n">
        <v>0.043</v>
      </c>
      <c r="I8" s="67" t="n">
        <v>0.039</v>
      </c>
      <c r="J8" s="68" t="n">
        <v>25.42</v>
      </c>
      <c r="K8" s="59" t="n">
        <v>0.04</v>
      </c>
      <c r="L8" s="56" t="n">
        <v>274237</v>
      </c>
      <c r="M8" s="69" t="n">
        <v>10.4</v>
      </c>
      <c r="N8" s="70" t="n">
        <v>35960000</v>
      </c>
      <c r="O8" s="71" t="n">
        <v>407</v>
      </c>
    </row>
    <row r="9">
      <c r="A9" s="47" t="n">
        <v>5</v>
      </c>
      <c r="B9" s="48" t="inlineStr">
        <is>
          <t>Hoffman Heights Shopping Center - 710-750 Peoria St</t>
        </is>
      </c>
      <c r="C9" s="47" t="inlineStr">
        <is>
          <t>2023 Q1</t>
        </is>
      </c>
      <c r="D9" s="62" t="n">
        <v>0.186</v>
      </c>
      <c r="E9" s="52" t="n">
        <v>0.186</v>
      </c>
      <c r="F9" s="62" t="n">
        <v>0.041</v>
      </c>
      <c r="G9" s="63" t="n">
        <v>18.99</v>
      </c>
      <c r="H9" s="52" t="n">
        <v>0.044</v>
      </c>
      <c r="I9" s="62" t="n">
        <v>0.037</v>
      </c>
      <c r="J9" s="63" t="n">
        <v>25.23</v>
      </c>
      <c r="K9" s="52" t="n">
        <v>0.043</v>
      </c>
      <c r="L9" s="49" t="n">
        <v>243351</v>
      </c>
      <c r="M9" s="64" t="n">
        <v>7.4</v>
      </c>
      <c r="N9" s="65" t="n">
        <v>56910000</v>
      </c>
      <c r="O9" s="66" t="n">
        <v>249</v>
      </c>
    </row>
    <row r="10">
      <c r="A10" s="54" t="n">
        <v>6</v>
      </c>
      <c r="B10" s="55" t="inlineStr">
        <is>
          <t>Hoffman Heights Shopping Center - 710-750 Peoria St</t>
        </is>
      </c>
      <c r="C10" s="54" t="inlineStr">
        <is>
          <t>2023 Q1</t>
        </is>
      </c>
      <c r="D10" s="67" t="n">
        <v>0.186</v>
      </c>
      <c r="E10" s="59" t="n">
        <v>0.186</v>
      </c>
      <c r="F10" s="67" t="n">
        <v>0.041</v>
      </c>
      <c r="G10" s="68" t="n">
        <v>18.99</v>
      </c>
      <c r="H10" s="59" t="n">
        <v>0.044</v>
      </c>
      <c r="I10" s="67" t="n">
        <v>0.037</v>
      </c>
      <c r="J10" s="68" t="n">
        <v>25.23</v>
      </c>
      <c r="K10" s="59" t="n">
        <v>0.043</v>
      </c>
      <c r="L10" s="56" t="n">
        <v>243351</v>
      </c>
      <c r="M10" s="69" t="n">
        <v>7.4</v>
      </c>
      <c r="N10" s="70" t="n">
        <v>54950000</v>
      </c>
      <c r="O10" s="71" t="n">
        <v>252</v>
      </c>
    </row>
    <row r="11">
      <c r="A11" s="47" t="n">
        <v>7</v>
      </c>
      <c r="B11" s="48" t="inlineStr">
        <is>
          <t>Bank of the West - 10401 E Colfax Ave</t>
        </is>
      </c>
      <c r="C11" s="47" t="inlineStr">
        <is>
          <t>2022 Q3</t>
        </is>
      </c>
      <c r="D11" s="62" t="n">
        <v>0</v>
      </c>
      <c r="E11" s="52" t="n">
        <v>0</v>
      </c>
      <c r="F11" s="62" t="n">
        <v>0.092</v>
      </c>
      <c r="G11" s="63" t="n">
        <v>24.15</v>
      </c>
      <c r="H11" s="52" t="n">
        <v>0.022</v>
      </c>
      <c r="I11" s="62" t="n">
        <v>0.146</v>
      </c>
      <c r="J11" s="63" t="n">
        <v>28.99</v>
      </c>
      <c r="K11" s="52" t="n">
        <v>0.013</v>
      </c>
      <c r="L11" s="49" t="n">
        <v>472940</v>
      </c>
      <c r="M11" s="64" t="n">
        <v>15.6</v>
      </c>
      <c r="N11" s="65" t="n">
        <v>51710000</v>
      </c>
      <c r="O11" s="66" t="n">
        <v>99</v>
      </c>
    </row>
    <row r="12">
      <c r="A12" s="54" t="n">
        <v>8</v>
      </c>
      <c r="B12" s="55" t="inlineStr">
        <is>
          <t>1408 N Del Mar Pky - 1408 N Del Mar Pky</t>
        </is>
      </c>
      <c r="C12" s="54" t="inlineStr">
        <is>
          <t>2022 Q2</t>
        </is>
      </c>
      <c r="D12" s="67" t="n">
        <v>0.269</v>
      </c>
      <c r="E12" s="59" t="n">
        <v>0</v>
      </c>
      <c r="F12" s="67" t="n">
        <v>0.035</v>
      </c>
      <c r="G12" s="68" t="n">
        <v>24.15</v>
      </c>
      <c r="H12" s="59" t="n">
        <v>0.035</v>
      </c>
      <c r="I12" s="67" t="n">
        <v>0.043</v>
      </c>
      <c r="J12" s="68" t="n">
        <v>24.44</v>
      </c>
      <c r="K12" s="59" t="n">
        <v>0.04</v>
      </c>
      <c r="L12" s="56" t="n">
        <v>440639</v>
      </c>
      <c r="M12" s="69" t="n">
        <v>9.199999999999999</v>
      </c>
      <c r="N12" s="70" t="n">
        <v>270570000</v>
      </c>
      <c r="O12" s="71" t="n">
        <v>283</v>
      </c>
    </row>
    <row r="15">
      <c r="A15" s="39" t="inlineStr">
        <is>
          <t>Denver retail capitalization rates (PDF p. 8)</t>
        </is>
      </c>
    </row>
    <row r="16" ht="32" customHeight="1">
      <c r="A16" s="3" t="inlineStr">
        <is>
          <t>Category</t>
        </is>
      </c>
      <c r="B16" s="3" t="inlineStr">
        <is>
          <t>Denver, CO</t>
        </is>
      </c>
      <c r="C16" s="3" t="inlineStr">
        <is>
          <t>West Region</t>
        </is>
      </c>
      <c r="D16" s="3" t="inlineStr">
        <is>
          <t>National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</row>
    <row r="17">
      <c r="A17" s="5" t="inlineStr">
        <is>
          <t>Community Retail</t>
        </is>
      </c>
      <c r="B17" s="72" t="n">
        <v>0.075</v>
      </c>
      <c r="C17" s="72" t="n">
        <v>0.0655</v>
      </c>
      <c r="D17" s="72" t="n">
        <v>0.065</v>
      </c>
    </row>
    <row r="18">
      <c r="A18" s="5" t="inlineStr">
        <is>
          <t>Neighborhood Retail</t>
        </is>
      </c>
      <c r="B18" s="72" t="n">
        <v>0.0659</v>
      </c>
      <c r="C18" s="72" t="n">
        <v>0.0725</v>
      </c>
      <c r="D18" s="72" t="n">
        <v>0.0726</v>
      </c>
    </row>
    <row r="19">
      <c r="A19" s="2" t="inlineStr">
        <is>
          <t>The 7.50% rate applied in the taxpayer's proforma matches the Denver community-retail indication.</t>
        </is>
      </c>
    </row>
    <row r="21">
      <c r="A21" s="2" t="inlineStr">
        <is>
          <t>Source: Grease Monkey International, LLC - 1521-1527 Peoria St - CO Property Tax 2025/2026 Analysis (Ryan, LLC / CoStar), PDF pp. 11-27.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90" customWidth="1" min="3" max="3"/>
  </cols>
  <sheetData>
    <row r="1" ht="22" customHeight="1">
      <c r="A1" s="1" t="inlineStr">
        <is>
          <t>SOURCE INDEX, METHOD &amp; DATA GAPS</t>
        </is>
      </c>
    </row>
    <row r="3" ht="32" customHeight="1">
      <c r="A3" s="3" t="inlineStr">
        <is>
          <t>Item</t>
        </is>
      </c>
      <c r="B3" s="3" t="inlineStr">
        <is>
          <t>Reference</t>
        </is>
      </c>
      <c r="C3" s="3" t="inlineStr">
        <is>
          <t>Detail</t>
        </is>
      </c>
    </row>
    <row r="4">
      <c r="A4" s="22" t="inlineStr">
        <is>
          <t>Source document</t>
        </is>
      </c>
      <c r="B4" s="22" t="inlineStr">
        <is>
          <t>PDF, 27 pages</t>
        </is>
      </c>
      <c r="C4" s="22" t="inlineStr">
        <is>
          <t>Grease_Monkey_International_LLC_CO_PT_20252026_1521_Peoria_St_Analysis_20260805.pdf</t>
        </is>
      </c>
    </row>
    <row r="5">
      <c r="A5" s="22" t="inlineStr">
        <is>
          <t>Subject / client</t>
        </is>
      </c>
      <c r="B5" s="22" t="inlineStr">
        <is>
          <t>p. 1-3</t>
        </is>
      </c>
      <c r="C5" s="22" t="inlineStr">
        <is>
          <t>Grease Monkey International, LLC - 1521-1527 Peoria St, Aurora CO 80010, Adams County, parcel 182335429010</t>
        </is>
      </c>
    </row>
    <row r="6">
      <c r="A6" s="22" t="inlineStr">
        <is>
          <t>Preparer</t>
        </is>
      </c>
      <c r="B6" s="22" t="inlineStr">
        <is>
          <t>p. 1</t>
        </is>
      </c>
      <c r="C6" s="22" t="inlineStr">
        <is>
          <t>Declan Fassig, Ryan LLC, acting as agent - 720.303.5198 - declan.fassig@ryan.com</t>
        </is>
      </c>
    </row>
    <row r="7">
      <c r="A7" s="22" t="inlineStr">
        <is>
          <t>Comparable data</t>
        </is>
      </c>
      <c r="B7" s="22" t="inlineStr">
        <is>
          <t>p. 11-27</t>
        </is>
      </c>
      <c r="C7" s="22" t="inlineStr">
        <is>
          <t>CoStar Group lease comps, licensed to Ryan, LLC (license 1702672), run 8/5/2026</t>
        </is>
      </c>
    </row>
    <row r="8">
      <c r="A8" s="22" t="inlineStr">
        <is>
          <t>Comps extracted</t>
        </is>
      </c>
      <c r="B8" s="22" t="inlineStr">
        <is>
          <t>8 of 8</t>
        </is>
      </c>
      <c r="C8" s="22" t="inlineStr">
        <is>
          <t>All lease transactions in the source package were captured; none were omitted.</t>
        </is>
      </c>
    </row>
    <row r="9">
      <c r="A9" s="22" t="inlineStr">
        <is>
          <t>Comp map</t>
        </is>
      </c>
      <c r="B9" s="22" t="inlineStr">
        <is>
          <t>p. 11</t>
        </is>
      </c>
      <c r="C9" s="22" t="inlineStr">
        <is>
          <t>Map graphic only - no distance-to-subject figures published; not extracted.</t>
        </is>
      </c>
    </row>
    <row r="10">
      <c r="A10" s="22" t="inlineStr">
        <is>
          <t>Excluded from this workbook</t>
        </is>
      </c>
      <c r="B10" s="22" t="inlineStr">
        <is>
          <t>p. 4-10</t>
        </is>
      </c>
      <c r="C10" s="22" t="inlineStr">
        <is>
          <t>Market overview, SitusAMC narrative, cap-rate charts (p. 8 summarized on Market Conditions tab) and blank pages 9-10.</t>
        </is>
      </c>
    </row>
    <row r="11">
      <c r="A11" s="22" t="inlineStr">
        <is>
          <t>Level of value date</t>
        </is>
      </c>
      <c r="B11" s="22" t="inlineStr">
        <is>
          <t>06/30/2024</t>
        </is>
      </c>
      <c r="C11" s="22" t="inlineStr">
        <is>
          <t>Colorado 2025/2026 reassessment cycle appraisal date; used for the market-conditions adjustment.</t>
        </is>
      </c>
    </row>
    <row r="12">
      <c r="A12" s="73" t="inlineStr">
        <is>
          <t>DATA GAP - effective rent</t>
        </is>
      </c>
      <c r="B12" s="74" t="inlineStr">
        <is>
          <t>p. 11</t>
        </is>
      </c>
      <c r="C12" s="74" t="inlineStr">
        <is>
          <t>Effective rent per SF not reported for any of the 8 deals (0 of 8).</t>
        </is>
      </c>
    </row>
    <row r="13">
      <c r="A13" s="73" t="inlineStr">
        <is>
          <t>DATA GAP - concessions</t>
        </is>
      </c>
      <c r="B13" s="74" t="inlineStr">
        <is>
          <t>p. 11</t>
        </is>
      </c>
      <c r="C13" s="74" t="inlineStr">
        <is>
          <t>Improvement allowance and months of free rent not reported for any deal (0 of 8).</t>
        </is>
      </c>
    </row>
    <row r="14">
      <c r="A14" s="73" t="inlineStr">
        <is>
          <t>DATA GAP - lease term</t>
        </is>
      </c>
      <c r="B14" s="74" t="inlineStr">
        <is>
          <t>p. 11</t>
        </is>
      </c>
      <c r="C14" s="74" t="inlineStr">
        <is>
          <t>Term reported for only 2 of 8 deals (comp 4 = 10 yrs, comp 6 = 5 yrs).</t>
        </is>
      </c>
    </row>
    <row r="15">
      <c r="A15" s="73" t="inlineStr">
        <is>
          <t>DATA GAP - starting rent</t>
        </is>
      </c>
      <c r="B15" s="74" t="inlineStr">
        <is>
          <t>p. 11</t>
        </is>
      </c>
      <c r="C15" s="74" t="inlineStr">
        <is>
          <t>Contract/starting rent reported for only 2 of 8 deals; the other 6 are asking rents.</t>
        </is>
      </c>
    </row>
    <row r="16">
      <c r="A16" s="73" t="inlineStr">
        <is>
          <t>DATA GAP - CAM</t>
        </is>
      </c>
      <c r="B16" s="74" t="inlineStr">
        <is>
          <t>p. 13-27</t>
        </is>
      </c>
      <c r="C16" s="74" t="inlineStr">
        <is>
          <t>CAM disclosed for 4 of 8 deals ($7.00, $5.95, $5.95, $5.42 per SF).</t>
        </is>
      </c>
    </row>
    <row r="17">
      <c r="A17" s="73" t="inlineStr">
        <is>
          <t>DATA GAP - tenant name</t>
        </is>
      </c>
      <c r="B17" s="74" t="inlineStr">
        <is>
          <t>p. 13-27</t>
        </is>
      </c>
      <c r="C17" s="74" t="inlineStr">
        <is>
          <t>Tenant identified for only 2 of 8 deals (Community Medical Services; Comunidad Latino LLC).</t>
        </is>
      </c>
    </row>
    <row r="18">
      <c r="A18" s="73" t="inlineStr">
        <is>
          <t>CONCENTRATION</t>
        </is>
      </c>
      <c r="B18" s="74" t="inlineStr">
        <is>
          <t>comps 2,3,5,6</t>
        </is>
      </c>
      <c r="C18" s="74" t="inlineStr">
        <is>
          <t>Half the comp set is sublease activity at one property, Hoffman Heights Shopping Center, 710-750 Peoria St.</t>
        </is>
      </c>
    </row>
    <row r="19">
      <c r="A19" s="73" t="inlineStr">
        <is>
          <t>USE MISMATCH</t>
        </is>
      </c>
      <c r="B19" s="74" t="inlineStr">
        <is>
          <t>all comps</t>
        </is>
      </c>
      <c r="C19" s="74" t="inlineStr">
        <is>
          <t>Subject is a freestanding service station / quick-lube; all 8 comps are in-line or outparcel multi-tenant retail. No automotive-service comp is in the package.</t>
        </is>
      </c>
    </row>
    <row r="20">
      <c r="A20" s="22" t="inlineStr">
        <is>
          <t>Formulas</t>
        </is>
      </c>
      <c r="B20" s="22" t="inlineStr">
        <is>
          <t>all tabs</t>
        </is>
      </c>
      <c r="C20" s="22" t="inlineStr">
        <is>
          <t>Summary, statistic and adjustment cells are live formulas; they populate on open in Excel or Google Sheets.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2026-08-05T20:45:55Z</dcterms:created>
  <dcterms:modified xsi:type="dcterms:W3CDTF">2026-08-05T20:45:56Z</dcterms:modified>
</cp:coreProperties>
</file>